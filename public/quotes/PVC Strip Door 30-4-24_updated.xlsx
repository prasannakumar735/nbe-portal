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ate1904="1"/>
  <mc:AlternateContent xmlns:mc="http://schemas.openxmlformats.org/markup-compatibility/2006">
    <mc:Choice Requires="x15">
      <x15ac:absPath xmlns:x15ac="http://schemas.microsoft.com/office/spreadsheetml/2010/11/ac" url="C:\Users\pmech\Desktop\PVC Strip Curtains\"/>
    </mc:Choice>
  </mc:AlternateContent>
  <xr:revisionPtr revIDLastSave="0" documentId="13_ncr:1_{0C2DB331-51F2-421F-AFD3-794BA68E1BAB}" xr6:coauthVersionLast="47" xr6:coauthVersionMax="47" xr10:uidLastSave="{00000000-0000-0000-0000-000000000000}"/>
  <bookViews>
    <workbookView xWindow="-98" yWindow="-98" windowWidth="19396" windowHeight="11475" tabRatio="265" xr2:uid="{00000000-000D-0000-FFFF-FFFF00000000}"/>
  </bookViews>
  <sheets>
    <sheet name="Product 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2" i="18" l="1"/>
  <c r="S26" i="18" l="1"/>
  <c r="S25" i="18"/>
  <c r="P19" i="18"/>
  <c r="H144" i="18" s="1"/>
  <c r="Q19" i="18"/>
  <c r="F183" i="18"/>
  <c r="H183" i="18"/>
  <c r="U183" i="18"/>
  <c r="Q32" i="18"/>
  <c r="X183" i="18"/>
  <c r="U182" i="18"/>
  <c r="X182" i="18"/>
  <c r="F135" i="18"/>
  <c r="I10" i="18"/>
  <c r="I29" i="18"/>
  <c r="I31" i="18" s="1"/>
  <c r="I35" i="18" s="1"/>
  <c r="I33" i="18"/>
  <c r="H135" i="18"/>
  <c r="AB135" i="18" s="1"/>
  <c r="U135" i="18"/>
  <c r="X135" i="18"/>
  <c r="F134" i="18"/>
  <c r="I69" i="18"/>
  <c r="F64" i="18"/>
  <c r="R14" i="18"/>
  <c r="H64" i="18" s="1"/>
  <c r="R8" i="18"/>
  <c r="J8" i="18" s="1"/>
  <c r="K66" i="18"/>
  <c r="K64" i="18"/>
  <c r="R13" i="18"/>
  <c r="R12" i="18" s="1"/>
  <c r="U134" i="18"/>
  <c r="X134" i="18"/>
  <c r="F145" i="18"/>
  <c r="H145" i="18"/>
  <c r="AB145" i="18" s="1"/>
  <c r="U145" i="18"/>
  <c r="X145" i="18"/>
  <c r="U144" i="18"/>
  <c r="X144" i="18"/>
  <c r="F169" i="18"/>
  <c r="H169" i="18"/>
  <c r="U169" i="18"/>
  <c r="X169" i="18"/>
  <c r="U168" i="18"/>
  <c r="X168" i="18"/>
  <c r="F123" i="18"/>
  <c r="H123" i="18"/>
  <c r="J123" i="18" s="1"/>
  <c r="L123" i="18" s="1"/>
  <c r="R123" i="18" s="1"/>
  <c r="V123" i="18" s="1"/>
  <c r="U123" i="18"/>
  <c r="X123" i="18"/>
  <c r="U122" i="18"/>
  <c r="X122" i="18"/>
  <c r="F131" i="18"/>
  <c r="H131" i="18"/>
  <c r="AB131" i="18" s="1"/>
  <c r="U131" i="18"/>
  <c r="X131" i="18"/>
  <c r="U130" i="18"/>
  <c r="X130" i="18"/>
  <c r="F117" i="18"/>
  <c r="H117" i="18"/>
  <c r="J117" i="18" s="1"/>
  <c r="L117" i="18" s="1"/>
  <c r="R117" i="18" s="1"/>
  <c r="V117" i="18" s="1"/>
  <c r="U117" i="18"/>
  <c r="X117" i="18"/>
  <c r="U116" i="18"/>
  <c r="X116" i="18"/>
  <c r="F138" i="18"/>
  <c r="S8" i="18"/>
  <c r="S28" i="18"/>
  <c r="F189" i="18"/>
  <c r="H189" i="18"/>
  <c r="U189" i="18"/>
  <c r="X189" i="18"/>
  <c r="U188" i="18"/>
  <c r="X188" i="18"/>
  <c r="F143" i="18"/>
  <c r="H143" i="18"/>
  <c r="J143" i="18" s="1"/>
  <c r="L143" i="18" s="1"/>
  <c r="R143" i="18" s="1"/>
  <c r="V143" i="18" s="1"/>
  <c r="U143" i="18"/>
  <c r="X143" i="18"/>
  <c r="U142" i="18"/>
  <c r="X142" i="18"/>
  <c r="H112" i="18"/>
  <c r="F112" i="18"/>
  <c r="H113" i="18"/>
  <c r="J113" i="18" s="1"/>
  <c r="L113" i="18" s="1"/>
  <c r="R113" i="18" s="1"/>
  <c r="V113" i="18" s="1"/>
  <c r="F113" i="18"/>
  <c r="H115" i="18"/>
  <c r="AB115" i="18" s="1"/>
  <c r="F115" i="18"/>
  <c r="J115" i="18"/>
  <c r="L115" i="18" s="1"/>
  <c r="R115" i="18" s="1"/>
  <c r="V115" i="18" s="1"/>
  <c r="H119" i="18"/>
  <c r="F119" i="18"/>
  <c r="H121" i="18"/>
  <c r="J121" i="18" s="1"/>
  <c r="L121" i="18" s="1"/>
  <c r="R121" i="18" s="1"/>
  <c r="V121" i="18" s="1"/>
  <c r="F121" i="18"/>
  <c r="H124" i="18"/>
  <c r="F124" i="18"/>
  <c r="H125" i="18"/>
  <c r="J125" i="18" s="1"/>
  <c r="L125" i="18" s="1"/>
  <c r="R125" i="18" s="1"/>
  <c r="V125" i="18" s="1"/>
  <c r="W125" i="18" s="1"/>
  <c r="F125" i="18"/>
  <c r="H126" i="18"/>
  <c r="F126" i="18"/>
  <c r="H127" i="18"/>
  <c r="F127" i="18"/>
  <c r="AB127" i="18" s="1"/>
  <c r="H129" i="18"/>
  <c r="J129" i="18" s="1"/>
  <c r="L129" i="18" s="1"/>
  <c r="R129" i="18" s="1"/>
  <c r="V129" i="18" s="1"/>
  <c r="F129" i="18"/>
  <c r="AB129" i="18" s="1"/>
  <c r="H133" i="18"/>
  <c r="J133" i="18" s="1"/>
  <c r="L133" i="18" s="1"/>
  <c r="R133" i="18" s="1"/>
  <c r="V133" i="18" s="1"/>
  <c r="F133" i="18"/>
  <c r="H136" i="18"/>
  <c r="F136" i="18"/>
  <c r="H137" i="18"/>
  <c r="J137" i="18" s="1"/>
  <c r="L137" i="18" s="1"/>
  <c r="R137" i="18" s="1"/>
  <c r="V137" i="18" s="1"/>
  <c r="F137" i="18"/>
  <c r="H138" i="18"/>
  <c r="H139" i="18"/>
  <c r="F139" i="18"/>
  <c r="F140" i="18"/>
  <c r="H141" i="18"/>
  <c r="F141" i="18"/>
  <c r="H147" i="18"/>
  <c r="AB147" i="18" s="1"/>
  <c r="F147" i="18"/>
  <c r="H151" i="18"/>
  <c r="H152" i="18"/>
  <c r="J152" i="18" s="1"/>
  <c r="L152" i="18" s="1"/>
  <c r="R152" i="18" s="1"/>
  <c r="V152" i="18" s="1"/>
  <c r="W152" i="18" s="1"/>
  <c r="F152" i="18"/>
  <c r="H153" i="18"/>
  <c r="F153" i="18"/>
  <c r="H154" i="18"/>
  <c r="F154" i="18"/>
  <c r="AB154" i="18" s="1"/>
  <c r="H155" i="18"/>
  <c r="F155" i="18"/>
  <c r="F156" i="18"/>
  <c r="F157" i="18"/>
  <c r="H158" i="18"/>
  <c r="F158" i="18"/>
  <c r="H160" i="18"/>
  <c r="F160" i="18"/>
  <c r="F161" i="18"/>
  <c r="H162" i="18"/>
  <c r="J162" i="18" s="1"/>
  <c r="L162" i="18" s="1"/>
  <c r="R162" i="18" s="1"/>
  <c r="V162" i="18" s="1"/>
  <c r="F162" i="18"/>
  <c r="F166" i="18"/>
  <c r="H167" i="18"/>
  <c r="F167" i="18"/>
  <c r="H170" i="18"/>
  <c r="F170" i="18"/>
  <c r="H171" i="18"/>
  <c r="F171" i="18"/>
  <c r="H172" i="18"/>
  <c r="H173" i="18"/>
  <c r="F173" i="18"/>
  <c r="F174" i="18"/>
  <c r="H175" i="18"/>
  <c r="J175" i="18" s="1"/>
  <c r="L175" i="18" s="1"/>
  <c r="R175" i="18" s="1"/>
  <c r="V175" i="18" s="1"/>
  <c r="F175" i="18"/>
  <c r="H176" i="18"/>
  <c r="H177" i="18"/>
  <c r="F177" i="18"/>
  <c r="H178" i="18"/>
  <c r="F178" i="18"/>
  <c r="H179" i="18"/>
  <c r="F179" i="18"/>
  <c r="AB179" i="18" s="1"/>
  <c r="H180" i="18"/>
  <c r="H181" i="18"/>
  <c r="F181" i="18"/>
  <c r="H184" i="18"/>
  <c r="H185" i="18"/>
  <c r="J185" i="18" s="1"/>
  <c r="L185" i="18" s="1"/>
  <c r="R185" i="18" s="1"/>
  <c r="V185" i="18" s="1"/>
  <c r="F185" i="18"/>
  <c r="H186" i="18"/>
  <c r="F186" i="18"/>
  <c r="H187" i="18"/>
  <c r="F187" i="18"/>
  <c r="F190" i="18"/>
  <c r="H191" i="18"/>
  <c r="J191" i="18" s="1"/>
  <c r="L191" i="18" s="1"/>
  <c r="R191" i="18" s="1"/>
  <c r="V191" i="18" s="1"/>
  <c r="W191" i="18" s="1"/>
  <c r="Z191" i="18" s="1"/>
  <c r="Y191" i="18" s="1"/>
  <c r="F191" i="18"/>
  <c r="F195" i="18"/>
  <c r="H197" i="18"/>
  <c r="F197" i="18"/>
  <c r="H199" i="18"/>
  <c r="H201" i="18"/>
  <c r="F201" i="18"/>
  <c r="H203" i="18"/>
  <c r="F203" i="18"/>
  <c r="H205" i="18"/>
  <c r="F205" i="18"/>
  <c r="H210" i="18"/>
  <c r="F210" i="18"/>
  <c r="F215" i="18"/>
  <c r="F217" i="18"/>
  <c r="F219" i="18"/>
  <c r="F221" i="18"/>
  <c r="F222" i="18"/>
  <c r="H226" i="18"/>
  <c r="F226" i="18"/>
  <c r="H227" i="18"/>
  <c r="F227" i="18"/>
  <c r="J227" i="18"/>
  <c r="L227" i="18" s="1"/>
  <c r="R227" i="18" s="1"/>
  <c r="V227" i="18" s="1"/>
  <c r="H228" i="18"/>
  <c r="F228" i="18"/>
  <c r="H229" i="18"/>
  <c r="F229" i="18"/>
  <c r="H230" i="18"/>
  <c r="F230" i="18"/>
  <c r="H231" i="18"/>
  <c r="F231" i="18"/>
  <c r="J231" i="18"/>
  <c r="L231" i="18" s="1"/>
  <c r="R231" i="18" s="1"/>
  <c r="V231" i="18" s="1"/>
  <c r="H232" i="18"/>
  <c r="F232" i="18"/>
  <c r="H233" i="18"/>
  <c r="J233" i="18" s="1"/>
  <c r="L233" i="18" s="1"/>
  <c r="R233" i="18" s="1"/>
  <c r="F233" i="18"/>
  <c r="H234" i="18"/>
  <c r="F234" i="18"/>
  <c r="H235" i="18"/>
  <c r="F235" i="18"/>
  <c r="J235" i="18"/>
  <c r="L235" i="18"/>
  <c r="R235" i="18" s="1"/>
  <c r="V235" i="18" s="1"/>
  <c r="H236" i="18"/>
  <c r="F236" i="18"/>
  <c r="H237" i="18"/>
  <c r="F237" i="18"/>
  <c r="H238" i="18"/>
  <c r="F238" i="18"/>
  <c r="H239" i="18"/>
  <c r="J239" i="18" s="1"/>
  <c r="L239" i="18" s="1"/>
  <c r="R239" i="18" s="1"/>
  <c r="V239" i="18" s="1"/>
  <c r="F239" i="18"/>
  <c r="H243" i="18"/>
  <c r="F243" i="18"/>
  <c r="H244" i="18"/>
  <c r="F244" i="18"/>
  <c r="H245" i="18"/>
  <c r="F245" i="18"/>
  <c r="H246" i="18"/>
  <c r="J246" i="18" s="1"/>
  <c r="L246" i="18" s="1"/>
  <c r="R246" i="18" s="1"/>
  <c r="V246" i="18" s="1"/>
  <c r="F246" i="18"/>
  <c r="F247" i="18"/>
  <c r="H248" i="18"/>
  <c r="F248" i="18"/>
  <c r="F249" i="18"/>
  <c r="H250" i="18"/>
  <c r="J250" i="18" s="1"/>
  <c r="L250" i="18" s="1"/>
  <c r="R250" i="18" s="1"/>
  <c r="V250" i="18" s="1"/>
  <c r="F250" i="18"/>
  <c r="H251" i="18"/>
  <c r="F251" i="18"/>
  <c r="H252" i="18"/>
  <c r="F252" i="18"/>
  <c r="H253" i="18"/>
  <c r="F253" i="18"/>
  <c r="H254" i="18"/>
  <c r="J254" i="18" s="1"/>
  <c r="L254" i="18" s="1"/>
  <c r="R254" i="18" s="1"/>
  <c r="V254" i="18" s="1"/>
  <c r="F254" i="18"/>
  <c r="H255" i="18"/>
  <c r="F255" i="18"/>
  <c r="H256" i="18"/>
  <c r="F256" i="18"/>
  <c r="H260" i="18"/>
  <c r="F260" i="18"/>
  <c r="H261" i="18"/>
  <c r="F261" i="18"/>
  <c r="J261" i="18"/>
  <c r="L261" i="18" s="1"/>
  <c r="R261" i="18" s="1"/>
  <c r="H262" i="18"/>
  <c r="F262" i="18"/>
  <c r="H263" i="18"/>
  <c r="F263" i="18"/>
  <c r="H264" i="18"/>
  <c r="F264" i="18"/>
  <c r="H265" i="18"/>
  <c r="F265" i="18"/>
  <c r="J265" i="18" s="1"/>
  <c r="L265" i="18" s="1"/>
  <c r="R265" i="18" s="1"/>
  <c r="V265" i="18" s="1"/>
  <c r="W265" i="18" s="1"/>
  <c r="H266" i="18"/>
  <c r="F266" i="18"/>
  <c r="H267" i="18"/>
  <c r="F267" i="18"/>
  <c r="J267" i="18" s="1"/>
  <c r="L267" i="18" s="1"/>
  <c r="R267" i="18" s="1"/>
  <c r="V267" i="18" s="1"/>
  <c r="H268" i="18"/>
  <c r="F268" i="18"/>
  <c r="H269" i="18"/>
  <c r="F269" i="18"/>
  <c r="J269" i="18"/>
  <c r="L269" i="18" s="1"/>
  <c r="R269" i="18" s="1"/>
  <c r="V269" i="18" s="1"/>
  <c r="W269" i="18" s="1"/>
  <c r="H270" i="18"/>
  <c r="F270" i="18"/>
  <c r="H271" i="18"/>
  <c r="F271" i="18"/>
  <c r="H272" i="18"/>
  <c r="F272" i="18"/>
  <c r="H273" i="18"/>
  <c r="J273" i="18" s="1"/>
  <c r="L273" i="18" s="1"/>
  <c r="R273" i="18" s="1"/>
  <c r="V273" i="18" s="1"/>
  <c r="W273" i="18" s="1"/>
  <c r="F273" i="18"/>
  <c r="H278" i="18"/>
  <c r="F278" i="18"/>
  <c r="H279" i="18"/>
  <c r="F279" i="18"/>
  <c r="J279" i="18" s="1"/>
  <c r="L279" i="18" s="1"/>
  <c r="R279" i="18" s="1"/>
  <c r="V279" i="18" s="1"/>
  <c r="H280" i="18"/>
  <c r="F280" i="18"/>
  <c r="H281" i="18"/>
  <c r="F281" i="18"/>
  <c r="J281" i="18"/>
  <c r="L281" i="18" s="1"/>
  <c r="R281" i="18" s="1"/>
  <c r="V281" i="18" s="1"/>
  <c r="F282" i="18"/>
  <c r="H283" i="18"/>
  <c r="F283" i="18"/>
  <c r="F284" i="18"/>
  <c r="H285" i="18"/>
  <c r="J285" i="18" s="1"/>
  <c r="F285" i="18"/>
  <c r="L285" i="18"/>
  <c r="R285" i="18" s="1"/>
  <c r="H286" i="18"/>
  <c r="F286" i="18"/>
  <c r="H287" i="18"/>
  <c r="F287" i="18"/>
  <c r="J287" i="18" s="1"/>
  <c r="L287" i="18" s="1"/>
  <c r="R287" i="18"/>
  <c r="H288" i="18"/>
  <c r="F288" i="18"/>
  <c r="H289" i="18"/>
  <c r="F289" i="18"/>
  <c r="J289" i="18"/>
  <c r="L289" i="18" s="1"/>
  <c r="R289" i="18" s="1"/>
  <c r="V289" i="18" s="1"/>
  <c r="H290" i="18"/>
  <c r="F290" i="18"/>
  <c r="H291" i="18"/>
  <c r="J291" i="18" s="1"/>
  <c r="L291" i="18" s="1"/>
  <c r="R291" i="18" s="1"/>
  <c r="F291" i="18"/>
  <c r="H295" i="18"/>
  <c r="F295" i="18"/>
  <c r="H296" i="18"/>
  <c r="F296" i="18"/>
  <c r="H297" i="18"/>
  <c r="F297" i="18"/>
  <c r="H298" i="18"/>
  <c r="F298" i="18"/>
  <c r="H299" i="18"/>
  <c r="F299" i="18"/>
  <c r="H300" i="18"/>
  <c r="F300" i="18"/>
  <c r="H301" i="18"/>
  <c r="F301" i="18"/>
  <c r="H302" i="18"/>
  <c r="F302" i="18"/>
  <c r="H303" i="18"/>
  <c r="F303" i="18"/>
  <c r="H304" i="18"/>
  <c r="F304" i="18"/>
  <c r="H305" i="18"/>
  <c r="F305" i="18"/>
  <c r="H306" i="18"/>
  <c r="F306" i="18"/>
  <c r="J306" i="18" s="1"/>
  <c r="L306" i="18" s="1"/>
  <c r="R306" i="18" s="1"/>
  <c r="V306" i="18" s="1"/>
  <c r="H307" i="18"/>
  <c r="F307" i="18"/>
  <c r="H308" i="18"/>
  <c r="F308" i="18"/>
  <c r="H310" i="18"/>
  <c r="F310" i="18"/>
  <c r="H311" i="18"/>
  <c r="F311" i="18"/>
  <c r="H312" i="18"/>
  <c r="F312" i="18"/>
  <c r="H313" i="18"/>
  <c r="F313" i="18"/>
  <c r="H314" i="18"/>
  <c r="F314" i="18"/>
  <c r="H315" i="18"/>
  <c r="F315" i="18"/>
  <c r="J315" i="18" s="1"/>
  <c r="L315" i="18" s="1"/>
  <c r="R315" i="18" s="1"/>
  <c r="V315" i="18" s="1"/>
  <c r="H316" i="18"/>
  <c r="F316" i="18"/>
  <c r="H317" i="18"/>
  <c r="F317" i="18"/>
  <c r="H318" i="18"/>
  <c r="F318" i="18"/>
  <c r="H319" i="18"/>
  <c r="F319" i="18"/>
  <c r="H320" i="18"/>
  <c r="F320" i="18"/>
  <c r="H321" i="18"/>
  <c r="F321" i="18"/>
  <c r="H322" i="18"/>
  <c r="F322" i="18"/>
  <c r="H323" i="18"/>
  <c r="F323" i="18"/>
  <c r="J323" i="18" s="1"/>
  <c r="L323" i="18" s="1"/>
  <c r="R323" i="18" s="1"/>
  <c r="V323" i="18" s="1"/>
  <c r="H325" i="18"/>
  <c r="F325" i="18"/>
  <c r="H326" i="18"/>
  <c r="F326" i="18"/>
  <c r="H327" i="18"/>
  <c r="F327" i="18"/>
  <c r="H328" i="18"/>
  <c r="F328" i="18"/>
  <c r="H329" i="18"/>
  <c r="F329" i="18"/>
  <c r="H330" i="18"/>
  <c r="F330" i="18"/>
  <c r="H331" i="18"/>
  <c r="F331" i="18"/>
  <c r="H332" i="18"/>
  <c r="F332" i="18"/>
  <c r="H333" i="18"/>
  <c r="F333" i="18"/>
  <c r="H334" i="18"/>
  <c r="F334" i="18"/>
  <c r="J334" i="18"/>
  <c r="L334" i="18" s="1"/>
  <c r="R334" i="18" s="1"/>
  <c r="H335" i="18"/>
  <c r="F335" i="18"/>
  <c r="H336" i="18"/>
  <c r="F336" i="18"/>
  <c r="H337" i="18"/>
  <c r="F337" i="18"/>
  <c r="H338" i="18"/>
  <c r="F338" i="18"/>
  <c r="H342" i="18"/>
  <c r="F342" i="18"/>
  <c r="H343" i="18"/>
  <c r="F343" i="18"/>
  <c r="J343" i="18" s="1"/>
  <c r="L343" i="18" s="1"/>
  <c r="R343" i="18" s="1"/>
  <c r="V343" i="18" s="1"/>
  <c r="J347" i="18"/>
  <c r="L347" i="18" s="1"/>
  <c r="R347" i="18" s="1"/>
  <c r="I57" i="18" s="1"/>
  <c r="H351" i="18"/>
  <c r="F351" i="18"/>
  <c r="H352" i="18"/>
  <c r="F352" i="18"/>
  <c r="J352" i="18" s="1"/>
  <c r="L352" i="18" s="1"/>
  <c r="R352" i="18" s="1"/>
  <c r="V352" i="18" s="1"/>
  <c r="H353" i="18"/>
  <c r="F353" i="18"/>
  <c r="F355" i="18"/>
  <c r="L86" i="18"/>
  <c r="N86" i="18"/>
  <c r="P86" i="18" s="1"/>
  <c r="H356" i="18" s="1"/>
  <c r="J356" i="18" s="1"/>
  <c r="L356" i="18" s="1"/>
  <c r="R356" i="18" s="1"/>
  <c r="V356" i="18" s="1"/>
  <c r="F356" i="18"/>
  <c r="N100" i="18"/>
  <c r="P100" i="18" s="1"/>
  <c r="H357" i="18" s="1"/>
  <c r="F357" i="18"/>
  <c r="H359" i="18"/>
  <c r="F359" i="18"/>
  <c r="H360" i="18"/>
  <c r="F360" i="18"/>
  <c r="H361" i="18"/>
  <c r="F361" i="18"/>
  <c r="H363" i="18"/>
  <c r="F363" i="18"/>
  <c r="H364" i="18"/>
  <c r="J364" i="18" s="1"/>
  <c r="L364" i="18" s="1"/>
  <c r="R364" i="18" s="1"/>
  <c r="V364" i="18" s="1"/>
  <c r="F364" i="18"/>
  <c r="H365" i="18"/>
  <c r="F365" i="18"/>
  <c r="F367" i="18"/>
  <c r="L92" i="18"/>
  <c r="N92" i="18"/>
  <c r="Q92" i="18" s="1"/>
  <c r="P92" i="18"/>
  <c r="H368" i="18"/>
  <c r="J368" i="18" s="1"/>
  <c r="L368" i="18" s="1"/>
  <c r="R368" i="18" s="1"/>
  <c r="V368" i="18" s="1"/>
  <c r="W368" i="18" s="1"/>
  <c r="F368" i="18"/>
  <c r="H370" i="18"/>
  <c r="F370" i="18"/>
  <c r="H371" i="18"/>
  <c r="J371" i="18" s="1"/>
  <c r="L371" i="18" s="1"/>
  <c r="R371" i="18" s="1"/>
  <c r="V371" i="18" s="1"/>
  <c r="W371" i="18" s="1"/>
  <c r="F371" i="18"/>
  <c r="H372" i="18"/>
  <c r="F372" i="18"/>
  <c r="P380" i="18"/>
  <c r="AL75" i="18"/>
  <c r="AJ14" i="18"/>
  <c r="S29" i="18"/>
  <c r="AG14" i="18"/>
  <c r="AE14" i="18"/>
  <c r="AD14" i="18"/>
  <c r="AI13" i="18"/>
  <c r="AH13" i="18"/>
  <c r="AG13" i="18"/>
  <c r="AF13" i="18"/>
  <c r="AE13" i="18"/>
  <c r="AD13" i="18"/>
  <c r="AB121" i="18"/>
  <c r="AB137" i="18"/>
  <c r="AB227" i="18"/>
  <c r="AB231" i="18"/>
  <c r="AB233" i="18"/>
  <c r="AB235" i="18"/>
  <c r="AB239" i="18"/>
  <c r="AB347" i="18"/>
  <c r="AE12" i="18"/>
  <c r="Q83" i="18"/>
  <c r="Q84" i="18"/>
  <c r="Q86" i="18"/>
  <c r="Q87" i="18"/>
  <c r="Q88" i="18"/>
  <c r="Q89" i="18"/>
  <c r="Q90" i="18"/>
  <c r="Q93" i="18"/>
  <c r="Q94" i="18"/>
  <c r="Q99" i="18"/>
  <c r="Q100" i="18"/>
  <c r="Q101" i="18"/>
  <c r="Q102" i="18"/>
  <c r="AH11" i="18"/>
  <c r="AE11" i="18"/>
  <c r="S13" i="18"/>
  <c r="AI10" i="18" s="1"/>
  <c r="S32" i="18"/>
  <c r="AE10" i="18" s="1"/>
  <c r="AC46" i="18"/>
  <c r="AN46" i="18" s="1"/>
  <c r="AN49" i="18" s="1"/>
  <c r="AN45" i="18"/>
  <c r="AJ55" i="18"/>
  <c r="AJ51" i="18"/>
  <c r="AN80" i="18"/>
  <c r="AN81" i="18"/>
  <c r="AL81" i="18"/>
  <c r="U256" i="18"/>
  <c r="X256" i="18"/>
  <c r="U255" i="18"/>
  <c r="X255" i="18"/>
  <c r="U254" i="18"/>
  <c r="W254" i="18" s="1"/>
  <c r="X254" i="18"/>
  <c r="U253" i="18"/>
  <c r="X253" i="18"/>
  <c r="U252" i="18"/>
  <c r="X252" i="18"/>
  <c r="U251" i="18"/>
  <c r="X251" i="18"/>
  <c r="U250" i="18"/>
  <c r="X250" i="18"/>
  <c r="U249" i="18"/>
  <c r="X249" i="18"/>
  <c r="U248" i="18"/>
  <c r="X248" i="18"/>
  <c r="U247" i="18"/>
  <c r="X247" i="18"/>
  <c r="U246" i="18"/>
  <c r="X246" i="18"/>
  <c r="U245" i="18"/>
  <c r="X245" i="18"/>
  <c r="U244" i="18"/>
  <c r="X244" i="18"/>
  <c r="U243" i="18"/>
  <c r="X243" i="18"/>
  <c r="U291" i="18"/>
  <c r="V291" i="18"/>
  <c r="W291" i="18"/>
  <c r="X291" i="18"/>
  <c r="U290" i="18"/>
  <c r="X290" i="18"/>
  <c r="U289" i="18"/>
  <c r="W289" i="18" s="1"/>
  <c r="X289" i="18"/>
  <c r="U288" i="18"/>
  <c r="X288" i="18"/>
  <c r="U287" i="18"/>
  <c r="V287" i="18"/>
  <c r="W287" i="18"/>
  <c r="X287" i="18"/>
  <c r="U286" i="18"/>
  <c r="X286" i="18"/>
  <c r="U285" i="18"/>
  <c r="W285" i="18" s="1"/>
  <c r="V285" i="18"/>
  <c r="X285" i="18"/>
  <c r="U284" i="18"/>
  <c r="X284" i="18"/>
  <c r="U283" i="18"/>
  <c r="X283" i="18"/>
  <c r="U282" i="18"/>
  <c r="X282" i="18"/>
  <c r="U281" i="18"/>
  <c r="W281" i="18" s="1"/>
  <c r="X281" i="18"/>
  <c r="U280" i="18"/>
  <c r="X280" i="18"/>
  <c r="U279" i="18"/>
  <c r="W279" i="18" s="1"/>
  <c r="X279" i="18"/>
  <c r="U278" i="18"/>
  <c r="X278" i="18"/>
  <c r="L84" i="18"/>
  <c r="N84" i="18" s="1"/>
  <c r="P84" i="18" s="1"/>
  <c r="N99" i="18"/>
  <c r="P99" i="18" s="1"/>
  <c r="U121" i="18"/>
  <c r="X121" i="18"/>
  <c r="U120" i="18"/>
  <c r="X120" i="18"/>
  <c r="U173" i="18"/>
  <c r="X173" i="18"/>
  <c r="U172" i="18"/>
  <c r="X172" i="18"/>
  <c r="F209" i="18"/>
  <c r="H209" i="18"/>
  <c r="H211" i="18"/>
  <c r="U158" i="18"/>
  <c r="X158" i="18"/>
  <c r="U157" i="18"/>
  <c r="X157" i="18"/>
  <c r="S20" i="18"/>
  <c r="S19" i="18"/>
  <c r="S17" i="18"/>
  <c r="S16" i="18"/>
  <c r="H206" i="18"/>
  <c r="J206" i="18" s="1"/>
  <c r="L206" i="18" s="1"/>
  <c r="H204" i="18"/>
  <c r="H202" i="18"/>
  <c r="J202" i="18" s="1"/>
  <c r="L202" i="18" s="1"/>
  <c r="H200" i="18"/>
  <c r="H198" i="18"/>
  <c r="J198" i="18" s="1"/>
  <c r="L198" i="18" s="1"/>
  <c r="H196" i="18"/>
  <c r="F211" i="18"/>
  <c r="F206" i="18"/>
  <c r="F204" i="18"/>
  <c r="F202" i="18"/>
  <c r="F200" i="18"/>
  <c r="F198" i="18"/>
  <c r="F196" i="18"/>
  <c r="AZ75" i="18"/>
  <c r="X69" i="18"/>
  <c r="X74" i="18"/>
  <c r="AW34" i="18"/>
  <c r="AV34" i="18"/>
  <c r="AW32" i="18"/>
  <c r="AV32" i="18"/>
  <c r="AW31" i="18"/>
  <c r="AV31" i="18"/>
  <c r="W36" i="18"/>
  <c r="AV16" i="18"/>
  <c r="AS16" i="18"/>
  <c r="AS43" i="18"/>
  <c r="AS41" i="18"/>
  <c r="U147" i="18"/>
  <c r="X147" i="18"/>
  <c r="U146" i="18"/>
  <c r="X146" i="18"/>
  <c r="S23" i="18"/>
  <c r="S22" i="18"/>
  <c r="M76" i="18"/>
  <c r="U137" i="18"/>
  <c r="X137" i="18"/>
  <c r="U136" i="18"/>
  <c r="X136" i="18"/>
  <c r="BB45" i="18"/>
  <c r="AQ46" i="18"/>
  <c r="R1" i="18"/>
  <c r="BB46" i="18"/>
  <c r="AX55" i="18"/>
  <c r="AX51" i="18"/>
  <c r="X371" i="18"/>
  <c r="X372" i="18"/>
  <c r="X368" i="18"/>
  <c r="X364" i="18"/>
  <c r="X365" i="18"/>
  <c r="X360" i="18"/>
  <c r="X361" i="18"/>
  <c r="X356" i="18"/>
  <c r="X357" i="18"/>
  <c r="X352" i="18"/>
  <c r="X353" i="18"/>
  <c r="X370" i="18"/>
  <c r="X367" i="18"/>
  <c r="X363" i="18"/>
  <c r="X359" i="18"/>
  <c r="X355" i="18"/>
  <c r="X351" i="18"/>
  <c r="X347" i="18"/>
  <c r="X343" i="18"/>
  <c r="X342" i="18"/>
  <c r="X326" i="18"/>
  <c r="X327" i="18"/>
  <c r="X328" i="18"/>
  <c r="X329" i="18"/>
  <c r="X330" i="18"/>
  <c r="X331" i="18"/>
  <c r="X332" i="18"/>
  <c r="X333" i="18"/>
  <c r="X334" i="18"/>
  <c r="X335" i="18"/>
  <c r="X336" i="18"/>
  <c r="X337" i="18"/>
  <c r="X338" i="18"/>
  <c r="X325" i="18"/>
  <c r="X311" i="18"/>
  <c r="X312" i="18"/>
  <c r="X313" i="18"/>
  <c r="X314" i="18"/>
  <c r="X315" i="18"/>
  <c r="X316" i="18"/>
  <c r="X317" i="18"/>
  <c r="X318" i="18"/>
  <c r="X319" i="18"/>
  <c r="X320" i="18"/>
  <c r="X321" i="18"/>
  <c r="X322" i="18"/>
  <c r="X323" i="18"/>
  <c r="X310" i="18"/>
  <c r="X308" i="18"/>
  <c r="X307" i="18"/>
  <c r="X306" i="18"/>
  <c r="X305" i="18"/>
  <c r="X304" i="18"/>
  <c r="X303" i="18"/>
  <c r="X302" i="18"/>
  <c r="X301" i="18"/>
  <c r="X300" i="18"/>
  <c r="X299" i="18"/>
  <c r="X298" i="18"/>
  <c r="X297" i="18"/>
  <c r="X296" i="18"/>
  <c r="X295" i="18"/>
  <c r="X261" i="18"/>
  <c r="X262" i="18"/>
  <c r="X263" i="18"/>
  <c r="X264" i="18"/>
  <c r="X265" i="18"/>
  <c r="X266" i="18"/>
  <c r="X267" i="18"/>
  <c r="X268" i="18"/>
  <c r="X269" i="18"/>
  <c r="X270" i="18"/>
  <c r="X271" i="18"/>
  <c r="X272" i="18"/>
  <c r="X273" i="18"/>
  <c r="X260" i="18"/>
  <c r="X239" i="18"/>
  <c r="X238" i="18"/>
  <c r="X237" i="18"/>
  <c r="X236" i="18"/>
  <c r="X235" i="18"/>
  <c r="X234" i="18"/>
  <c r="X233" i="18"/>
  <c r="X232" i="18"/>
  <c r="X231" i="18"/>
  <c r="X230" i="18"/>
  <c r="X229" i="18"/>
  <c r="X228" i="18"/>
  <c r="X227" i="18"/>
  <c r="X226" i="18"/>
  <c r="X222" i="18"/>
  <c r="X221" i="18"/>
  <c r="X219" i="18"/>
  <c r="X217" i="18"/>
  <c r="X215" i="18"/>
  <c r="X209" i="18"/>
  <c r="X210" i="18"/>
  <c r="X211" i="18"/>
  <c r="X208" i="18"/>
  <c r="X196" i="18"/>
  <c r="X197" i="18"/>
  <c r="X198" i="18"/>
  <c r="X199" i="18"/>
  <c r="X200" i="18"/>
  <c r="X201" i="18"/>
  <c r="X202" i="18"/>
  <c r="X203" i="18"/>
  <c r="X204" i="18"/>
  <c r="X205" i="18"/>
  <c r="X206" i="18"/>
  <c r="X195" i="18"/>
  <c r="X167" i="18"/>
  <c r="X170" i="18"/>
  <c r="X171" i="18"/>
  <c r="X174" i="18"/>
  <c r="X175" i="18"/>
  <c r="X176" i="18"/>
  <c r="X177" i="18"/>
  <c r="X178" i="18"/>
  <c r="X179" i="18"/>
  <c r="X180" i="18"/>
  <c r="X181" i="18"/>
  <c r="X184" i="18"/>
  <c r="X185" i="18"/>
  <c r="X186" i="18"/>
  <c r="X187" i="18"/>
  <c r="X190" i="18"/>
  <c r="X191" i="18"/>
  <c r="X166" i="18"/>
  <c r="X152" i="18"/>
  <c r="X153" i="18"/>
  <c r="X154" i="18"/>
  <c r="X155" i="18"/>
  <c r="X156" i="18"/>
  <c r="X159" i="18"/>
  <c r="X160" i="18"/>
  <c r="X161" i="18"/>
  <c r="X162" i="18"/>
  <c r="X151" i="18"/>
  <c r="X113" i="18"/>
  <c r="X114" i="18"/>
  <c r="X115" i="18"/>
  <c r="X118" i="18"/>
  <c r="X119" i="18"/>
  <c r="X124" i="18"/>
  <c r="X125" i="18"/>
  <c r="X126" i="18"/>
  <c r="X127" i="18"/>
  <c r="X128" i="18"/>
  <c r="X129" i="18"/>
  <c r="X132" i="18"/>
  <c r="X133" i="18"/>
  <c r="X138" i="18"/>
  <c r="X139" i="18"/>
  <c r="X140" i="18"/>
  <c r="X141" i="18"/>
  <c r="L41" i="18"/>
  <c r="P76" i="18"/>
  <c r="K76" i="18"/>
  <c r="S36" i="18"/>
  <c r="L94" i="18"/>
  <c r="N94" i="18" s="1"/>
  <c r="P94" i="18" s="1"/>
  <c r="U112" i="18"/>
  <c r="U113" i="18"/>
  <c r="U114" i="18"/>
  <c r="U115" i="18"/>
  <c r="U118" i="18"/>
  <c r="U119" i="18"/>
  <c r="U124" i="18"/>
  <c r="U125" i="18"/>
  <c r="U126" i="18"/>
  <c r="U127" i="18"/>
  <c r="U128" i="18"/>
  <c r="U129" i="18"/>
  <c r="U132" i="18"/>
  <c r="U133" i="18"/>
  <c r="U138" i="18"/>
  <c r="U139" i="18"/>
  <c r="U140" i="18"/>
  <c r="U141" i="18"/>
  <c r="U151" i="18"/>
  <c r="U152" i="18"/>
  <c r="U153" i="18"/>
  <c r="U154" i="18"/>
  <c r="U155" i="18"/>
  <c r="U156" i="18"/>
  <c r="U159" i="18"/>
  <c r="U160" i="18"/>
  <c r="U161" i="18"/>
  <c r="U162" i="18"/>
  <c r="U166" i="18"/>
  <c r="U167" i="18"/>
  <c r="U170" i="18"/>
  <c r="U171" i="18"/>
  <c r="U174" i="18"/>
  <c r="U175" i="18"/>
  <c r="U176" i="18"/>
  <c r="U177" i="18"/>
  <c r="U178" i="18"/>
  <c r="U179" i="18"/>
  <c r="U180" i="18"/>
  <c r="U181" i="18"/>
  <c r="U184" i="18"/>
  <c r="U185" i="18"/>
  <c r="U186" i="18"/>
  <c r="U187" i="18"/>
  <c r="U190" i="18"/>
  <c r="U191" i="18"/>
  <c r="U195" i="18"/>
  <c r="U197" i="18"/>
  <c r="U199" i="18"/>
  <c r="U201" i="18"/>
  <c r="U203" i="18"/>
  <c r="U205" i="18"/>
  <c r="U208" i="18"/>
  <c r="U210" i="18"/>
  <c r="U215" i="18"/>
  <c r="U217" i="18"/>
  <c r="U219" i="18"/>
  <c r="U221" i="18"/>
  <c r="U222" i="18"/>
  <c r="U226" i="18"/>
  <c r="U228" i="18"/>
  <c r="U230" i="18"/>
  <c r="U232" i="18"/>
  <c r="U234" i="18"/>
  <c r="U236" i="18"/>
  <c r="U238" i="18"/>
  <c r="U260" i="18"/>
  <c r="U262" i="18"/>
  <c r="U264" i="18"/>
  <c r="U266" i="18"/>
  <c r="U268" i="18"/>
  <c r="U270" i="18"/>
  <c r="U272" i="18"/>
  <c r="U295" i="18"/>
  <c r="U297" i="18"/>
  <c r="U299" i="18"/>
  <c r="U301" i="18"/>
  <c r="U303" i="18"/>
  <c r="U305" i="18"/>
  <c r="U307" i="18"/>
  <c r="U310" i="18"/>
  <c r="U312" i="18"/>
  <c r="U314" i="18"/>
  <c r="U316" i="18"/>
  <c r="U318" i="18"/>
  <c r="U320" i="18"/>
  <c r="U322" i="18"/>
  <c r="U325" i="18"/>
  <c r="U327" i="18"/>
  <c r="U329" i="18"/>
  <c r="U331" i="18"/>
  <c r="U333" i="18"/>
  <c r="U335" i="18"/>
  <c r="U337" i="18"/>
  <c r="U342" i="18"/>
  <c r="U351" i="18"/>
  <c r="U355" i="18"/>
  <c r="U359" i="18"/>
  <c r="U363" i="18"/>
  <c r="U367" i="18"/>
  <c r="U370" i="18"/>
  <c r="U227" i="18"/>
  <c r="U229" i="18"/>
  <c r="U231" i="18"/>
  <c r="V233" i="18"/>
  <c r="U233" i="18"/>
  <c r="W233" i="18" s="1"/>
  <c r="U235" i="18"/>
  <c r="U237" i="18"/>
  <c r="U239" i="18"/>
  <c r="V261" i="18"/>
  <c r="U261" i="18"/>
  <c r="W261" i="18" s="1"/>
  <c r="U263" i="18"/>
  <c r="U265" i="18"/>
  <c r="U267" i="18"/>
  <c r="U269" i="18"/>
  <c r="U271" i="18"/>
  <c r="U273" i="18"/>
  <c r="U296" i="18"/>
  <c r="U298" i="18"/>
  <c r="U300" i="18"/>
  <c r="U302" i="18"/>
  <c r="U304" i="18"/>
  <c r="U306" i="18"/>
  <c r="U308" i="18"/>
  <c r="U311" i="18"/>
  <c r="U313" i="18"/>
  <c r="U315" i="18"/>
  <c r="U317" i="18"/>
  <c r="U319" i="18"/>
  <c r="U321" i="18"/>
  <c r="U323" i="18"/>
  <c r="U326" i="18"/>
  <c r="U328" i="18"/>
  <c r="U330" i="18"/>
  <c r="U332" i="18"/>
  <c r="V334" i="18"/>
  <c r="U334" i="18"/>
  <c r="W334" i="18" s="1"/>
  <c r="U336" i="18"/>
  <c r="U338" i="18"/>
  <c r="U368" i="18"/>
  <c r="U371" i="18"/>
  <c r="U372" i="18"/>
  <c r="U343" i="18"/>
  <c r="U352" i="18"/>
  <c r="U356" i="18"/>
  <c r="U360" i="18"/>
  <c r="U364" i="18"/>
  <c r="U353" i="18"/>
  <c r="U357" i="18"/>
  <c r="U361" i="18"/>
  <c r="U365" i="18"/>
  <c r="U347" i="18"/>
  <c r="V347" i="18"/>
  <c r="K29" i="18"/>
  <c r="K10" i="18"/>
  <c r="S14" i="18"/>
  <c r="AW29" i="18"/>
  <c r="AW25" i="18"/>
  <c r="AW17" i="18"/>
  <c r="AW16" i="18"/>
  <c r="AV29" i="18"/>
  <c r="AV25" i="18"/>
  <c r="AV23" i="18"/>
  <c r="AV22" i="18"/>
  <c r="AV17" i="18"/>
  <c r="L88" i="18"/>
  <c r="N88" i="18" s="1"/>
  <c r="P88" i="18" s="1"/>
  <c r="L90" i="18"/>
  <c r="N90" i="18" s="1"/>
  <c r="P90" i="18" s="1"/>
  <c r="X63" i="18"/>
  <c r="AX44" i="18"/>
  <c r="AU44" i="18"/>
  <c r="AS44" i="18"/>
  <c r="AR44" i="18"/>
  <c r="AW43" i="18"/>
  <c r="AV43" i="18"/>
  <c r="AU43" i="18"/>
  <c r="AT43" i="18"/>
  <c r="AR43" i="18"/>
  <c r="AU42" i="18"/>
  <c r="AS42" i="18"/>
  <c r="AV41" i="18"/>
  <c r="AW40" i="18"/>
  <c r="AS40" i="18"/>
  <c r="AV39" i="18"/>
  <c r="AS39" i="18"/>
  <c r="P49" i="18"/>
  <c r="S34" i="18"/>
  <c r="N101" i="18"/>
  <c r="P101" i="18"/>
  <c r="N102" i="18"/>
  <c r="P102" i="18"/>
  <c r="BP357" i="18"/>
  <c r="AV13" i="18"/>
  <c r="AZ8" i="18"/>
  <c r="AS22" i="18"/>
  <c r="AS17" i="18"/>
  <c r="AS14" i="18"/>
  <c r="AS11" i="18"/>
  <c r="AS10" i="18"/>
  <c r="AB178" i="18" l="1"/>
  <c r="J317" i="18"/>
  <c r="L317" i="18" s="1"/>
  <c r="R317" i="18" s="1"/>
  <c r="V317" i="18" s="1"/>
  <c r="J300" i="18"/>
  <c r="L300" i="18" s="1"/>
  <c r="R300" i="18" s="1"/>
  <c r="V300" i="18" s="1"/>
  <c r="W300" i="18" s="1"/>
  <c r="Z300" i="18" s="1"/>
  <c r="Y300" i="18" s="1"/>
  <c r="J326" i="18"/>
  <c r="L326" i="18" s="1"/>
  <c r="R326" i="18" s="1"/>
  <c r="V326" i="18" s="1"/>
  <c r="W326" i="18" s="1"/>
  <c r="J308" i="18"/>
  <c r="L308" i="18" s="1"/>
  <c r="R308" i="18" s="1"/>
  <c r="V308" i="18" s="1"/>
  <c r="W308" i="18" s="1"/>
  <c r="Z308" i="18" s="1"/>
  <c r="Y308" i="18" s="1"/>
  <c r="J321" i="18"/>
  <c r="L321" i="18" s="1"/>
  <c r="R321" i="18" s="1"/>
  <c r="V321" i="18" s="1"/>
  <c r="W321" i="18" s="1"/>
  <c r="Z321" i="18" s="1"/>
  <c r="Y321" i="18" s="1"/>
  <c r="W315" i="18"/>
  <c r="J365" i="18"/>
  <c r="L365" i="18" s="1"/>
  <c r="R365" i="18" s="1"/>
  <c r="V365" i="18" s="1"/>
  <c r="W365" i="18" s="1"/>
  <c r="W306" i="18"/>
  <c r="J353" i="18"/>
  <c r="L353" i="18" s="1"/>
  <c r="R353" i="18" s="1"/>
  <c r="V353" i="18" s="1"/>
  <c r="W353" i="18" s="1"/>
  <c r="J311" i="18"/>
  <c r="L311" i="18" s="1"/>
  <c r="R311" i="18" s="1"/>
  <c r="V311" i="18" s="1"/>
  <c r="W311" i="18" s="1"/>
  <c r="Z311" i="18" s="1"/>
  <c r="Y311" i="18" s="1"/>
  <c r="J372" i="18"/>
  <c r="L372" i="18" s="1"/>
  <c r="R372" i="18" s="1"/>
  <c r="V372" i="18" s="1"/>
  <c r="J169" i="18"/>
  <c r="L169" i="18" s="1"/>
  <c r="R169" i="18" s="1"/>
  <c r="V169" i="18" s="1"/>
  <c r="J363" i="18"/>
  <c r="L363" i="18" s="1"/>
  <c r="R363" i="18" s="1"/>
  <c r="V363" i="18" s="1"/>
  <c r="W363" i="18" s="1"/>
  <c r="Z363" i="18" s="1"/>
  <c r="Y363" i="18" s="1"/>
  <c r="AB152" i="18"/>
  <c r="AB133" i="18"/>
  <c r="W117" i="18"/>
  <c r="J200" i="18"/>
  <c r="L200" i="18" s="1"/>
  <c r="AB113" i="18"/>
  <c r="AB153" i="18"/>
  <c r="J318" i="18"/>
  <c r="L318" i="18" s="1"/>
  <c r="R318" i="18" s="1"/>
  <c r="V318" i="18" s="1"/>
  <c r="W318" i="18" s="1"/>
  <c r="Z318" i="18" s="1"/>
  <c r="Y318" i="18" s="1"/>
  <c r="J310" i="18"/>
  <c r="L310" i="18" s="1"/>
  <c r="R310" i="18" s="1"/>
  <c r="V310" i="18" s="1"/>
  <c r="J260" i="18"/>
  <c r="L260" i="18" s="1"/>
  <c r="R260" i="18" s="1"/>
  <c r="V260" i="18" s="1"/>
  <c r="W260" i="18" s="1"/>
  <c r="Z260" i="18" s="1"/>
  <c r="Y260" i="18" s="1"/>
  <c r="F208" i="18"/>
  <c r="H190" i="18"/>
  <c r="J190" i="18" s="1"/>
  <c r="L190" i="18" s="1"/>
  <c r="R190" i="18" s="1"/>
  <c r="V190" i="18" s="1"/>
  <c r="W190" i="18" s="1"/>
  <c r="Z190" i="18" s="1"/>
  <c r="Y190" i="18" s="1"/>
  <c r="H166" i="18"/>
  <c r="AB166" i="18" s="1"/>
  <c r="F118" i="18"/>
  <c r="J301" i="18"/>
  <c r="L301" i="18" s="1"/>
  <c r="R301" i="18" s="1"/>
  <c r="V301" i="18" s="1"/>
  <c r="W301" i="18" s="1"/>
  <c r="Z301" i="18" s="1"/>
  <c r="Y301" i="18" s="1"/>
  <c r="H208" i="18"/>
  <c r="J208" i="18" s="1"/>
  <c r="L208" i="18" s="1"/>
  <c r="R208" i="18" s="1"/>
  <c r="V208" i="18" s="1"/>
  <c r="W208" i="18" s="1"/>
  <c r="Z208" i="18" s="1"/>
  <c r="Y208" i="18" s="1"/>
  <c r="F176" i="18"/>
  <c r="F132" i="18"/>
  <c r="H118" i="18"/>
  <c r="AB118" i="18" s="1"/>
  <c r="AV40" i="18"/>
  <c r="AH10" i="18"/>
  <c r="J232" i="18"/>
  <c r="L232" i="18" s="1"/>
  <c r="R232" i="18" s="1"/>
  <c r="V232" i="18" s="1"/>
  <c r="W232" i="18" s="1"/>
  <c r="Z232" i="18" s="1"/>
  <c r="Y232" i="18" s="1"/>
  <c r="J238" i="18"/>
  <c r="L238" i="18" s="1"/>
  <c r="R238" i="18" s="1"/>
  <c r="V238" i="18" s="1"/>
  <c r="W238" i="18" s="1"/>
  <c r="Z238" i="18" s="1"/>
  <c r="Y238" i="18" s="1"/>
  <c r="L64" i="18"/>
  <c r="M64" i="18" s="1"/>
  <c r="O64" i="18" s="1"/>
  <c r="J230" i="18"/>
  <c r="L230" i="18" s="1"/>
  <c r="R230" i="18" s="1"/>
  <c r="V230" i="18" s="1"/>
  <c r="AB236" i="18"/>
  <c r="AB186" i="18"/>
  <c r="H188" i="18"/>
  <c r="AB234" i="18"/>
  <c r="F199" i="18"/>
  <c r="J199" i="18" s="1"/>
  <c r="L199" i="18" s="1"/>
  <c r="R199" i="18" s="1"/>
  <c r="V199" i="18" s="1"/>
  <c r="W199" i="18" s="1"/>
  <c r="Z199" i="18" s="1"/>
  <c r="F184" i="18"/>
  <c r="J184" i="18" s="1"/>
  <c r="L184" i="18" s="1"/>
  <c r="R184" i="18" s="1"/>
  <c r="V184" i="18" s="1"/>
  <c r="W184" i="18" s="1"/>
  <c r="Z184" i="18" s="1"/>
  <c r="H174" i="18"/>
  <c r="H146" i="18"/>
  <c r="AB184" i="18"/>
  <c r="AB232" i="18"/>
  <c r="AB238" i="18"/>
  <c r="J204" i="18"/>
  <c r="L204" i="18" s="1"/>
  <c r="AB191" i="18"/>
  <c r="AB125" i="18"/>
  <c r="J173" i="18"/>
  <c r="L173" i="18" s="1"/>
  <c r="R173" i="18" s="1"/>
  <c r="V173" i="18" s="1"/>
  <c r="AB158" i="18"/>
  <c r="AB141" i="18"/>
  <c r="W227" i="18"/>
  <c r="W235" i="18"/>
  <c r="W231" i="18"/>
  <c r="W267" i="18"/>
  <c r="J263" i="18"/>
  <c r="L263" i="18" s="1"/>
  <c r="R263" i="18" s="1"/>
  <c r="V263" i="18" s="1"/>
  <c r="W263" i="18" s="1"/>
  <c r="J304" i="18"/>
  <c r="L304" i="18" s="1"/>
  <c r="R304" i="18" s="1"/>
  <c r="V304" i="18" s="1"/>
  <c r="W304" i="18" s="1"/>
  <c r="Z304" i="18" s="1"/>
  <c r="Y304" i="18" s="1"/>
  <c r="J127" i="18"/>
  <c r="L127" i="18" s="1"/>
  <c r="R127" i="18" s="1"/>
  <c r="V127" i="18" s="1"/>
  <c r="W127" i="18" s="1"/>
  <c r="Z127" i="18" s="1"/>
  <c r="Y127" i="18" s="1"/>
  <c r="AB143" i="18"/>
  <c r="Z233" i="18"/>
  <c r="Y233" i="18" s="1"/>
  <c r="J360" i="18"/>
  <c r="L360" i="18" s="1"/>
  <c r="R360" i="18" s="1"/>
  <c r="V360" i="18" s="1"/>
  <c r="W360" i="18" s="1"/>
  <c r="Z360" i="18" s="1"/>
  <c r="Y360" i="18" s="1"/>
  <c r="AN82" i="18"/>
  <c r="J319" i="18"/>
  <c r="L319" i="18" s="1"/>
  <c r="R319" i="18" s="1"/>
  <c r="V319" i="18" s="1"/>
  <c r="W319" i="18" s="1"/>
  <c r="Z319" i="18" s="1"/>
  <c r="Y319" i="18" s="1"/>
  <c r="J252" i="18"/>
  <c r="L252" i="18" s="1"/>
  <c r="R252" i="18" s="1"/>
  <c r="V252" i="18" s="1"/>
  <c r="W252" i="18" s="1"/>
  <c r="Z252" i="18" s="1"/>
  <c r="Y252" i="18" s="1"/>
  <c r="J178" i="18"/>
  <c r="L178" i="18" s="1"/>
  <c r="R178" i="18" s="1"/>
  <c r="V178" i="18" s="1"/>
  <c r="W178" i="18" s="1"/>
  <c r="Z178" i="18" s="1"/>
  <c r="Y178" i="18" s="1"/>
  <c r="AB170" i="18"/>
  <c r="J179" i="18"/>
  <c r="L179" i="18" s="1"/>
  <c r="R179" i="18" s="1"/>
  <c r="V179" i="18" s="1"/>
  <c r="W179" i="18" s="1"/>
  <c r="Z179" i="18" s="1"/>
  <c r="Y179" i="18" s="1"/>
  <c r="Z315" i="18"/>
  <c r="Y315" i="18" s="1"/>
  <c r="J359" i="18"/>
  <c r="L359" i="18" s="1"/>
  <c r="R359" i="18" s="1"/>
  <c r="V359" i="18" s="1"/>
  <c r="W359" i="18" s="1"/>
  <c r="Z359" i="18" s="1"/>
  <c r="Y359" i="18" s="1"/>
  <c r="J303" i="18"/>
  <c r="L303" i="18" s="1"/>
  <c r="R303" i="18" s="1"/>
  <c r="V303" i="18" s="1"/>
  <c r="W303" i="18" s="1"/>
  <c r="Z303" i="18" s="1"/>
  <c r="Y303" i="18" s="1"/>
  <c r="J296" i="18"/>
  <c r="L296" i="18" s="1"/>
  <c r="R296" i="18" s="1"/>
  <c r="V296" i="18" s="1"/>
  <c r="W296" i="18" s="1"/>
  <c r="Z296" i="18" s="1"/>
  <c r="Y296" i="18" s="1"/>
  <c r="J244" i="18"/>
  <c r="L244" i="18" s="1"/>
  <c r="R244" i="18" s="1"/>
  <c r="V244" i="18" s="1"/>
  <c r="W244" i="18" s="1"/>
  <c r="Z244" i="18" s="1"/>
  <c r="Y244" i="18" s="1"/>
  <c r="J141" i="18"/>
  <c r="L141" i="18" s="1"/>
  <c r="R141" i="18" s="1"/>
  <c r="V141" i="18" s="1"/>
  <c r="W141" i="18" s="1"/>
  <c r="Z141" i="18" s="1"/>
  <c r="Y141" i="18" s="1"/>
  <c r="W343" i="18"/>
  <c r="J187" i="18"/>
  <c r="L187" i="18" s="1"/>
  <c r="R187" i="18" s="1"/>
  <c r="V187" i="18" s="1"/>
  <c r="W187" i="18" s="1"/>
  <c r="Z187" i="18" s="1"/>
  <c r="Y187" i="18" s="1"/>
  <c r="J177" i="18"/>
  <c r="L177" i="18" s="1"/>
  <c r="R177" i="18" s="1"/>
  <c r="V177" i="18" s="1"/>
  <c r="W177" i="18" s="1"/>
  <c r="Z177" i="18" s="1"/>
  <c r="Y177" i="18" s="1"/>
  <c r="J167" i="18"/>
  <c r="L167" i="18" s="1"/>
  <c r="R167" i="18" s="1"/>
  <c r="V167" i="18" s="1"/>
  <c r="W167" i="18" s="1"/>
  <c r="J138" i="18"/>
  <c r="L138" i="18" s="1"/>
  <c r="R138" i="18" s="1"/>
  <c r="V138" i="18" s="1"/>
  <c r="W138" i="18" s="1"/>
  <c r="Z138" i="18" s="1"/>
  <c r="Y138" i="18" s="1"/>
  <c r="J328" i="18"/>
  <c r="L328" i="18" s="1"/>
  <c r="R328" i="18" s="1"/>
  <c r="V328" i="18" s="1"/>
  <c r="W328" i="18" s="1"/>
  <c r="Z328" i="18" s="1"/>
  <c r="Y328" i="18" s="1"/>
  <c r="W143" i="18"/>
  <c r="J332" i="18"/>
  <c r="L332" i="18" s="1"/>
  <c r="R332" i="18" s="1"/>
  <c r="V332" i="18" s="1"/>
  <c r="W332" i="18" s="1"/>
  <c r="Z332" i="18" s="1"/>
  <c r="Y332" i="18" s="1"/>
  <c r="J302" i="18"/>
  <c r="L302" i="18" s="1"/>
  <c r="R302" i="18" s="1"/>
  <c r="V302" i="18" s="1"/>
  <c r="W302" i="18" s="1"/>
  <c r="Z302" i="18" s="1"/>
  <c r="Y302" i="18" s="1"/>
  <c r="J295" i="18"/>
  <c r="L295" i="18" s="1"/>
  <c r="R295" i="18" s="1"/>
  <c r="V295" i="18" s="1"/>
  <c r="W295" i="18" s="1"/>
  <c r="Z295" i="18" s="1"/>
  <c r="Y295" i="18" s="1"/>
  <c r="J243" i="18"/>
  <c r="L243" i="18" s="1"/>
  <c r="R243" i="18" s="1"/>
  <c r="V243" i="18" s="1"/>
  <c r="W243" i="18" s="1"/>
  <c r="Z243" i="18" s="1"/>
  <c r="Y243" i="18" s="1"/>
  <c r="J154" i="18"/>
  <c r="L154" i="18" s="1"/>
  <c r="R154" i="18" s="1"/>
  <c r="V154" i="18" s="1"/>
  <c r="W154" i="18" s="1"/>
  <c r="Z154" i="18" s="1"/>
  <c r="Y154" i="18" s="1"/>
  <c r="F188" i="18"/>
  <c r="AB188" i="18" s="1"/>
  <c r="W310" i="18"/>
  <c r="Z310" i="18" s="1"/>
  <c r="Y310" i="18" s="1"/>
  <c r="W137" i="18"/>
  <c r="W250" i="18"/>
  <c r="Z250" i="18" s="1"/>
  <c r="Y250" i="18" s="1"/>
  <c r="W317" i="18"/>
  <c r="Z317" i="18" s="1"/>
  <c r="Y317" i="18" s="1"/>
  <c r="W246" i="18"/>
  <c r="Z246" i="18" s="1"/>
  <c r="Y246" i="18" s="1"/>
  <c r="J211" i="18"/>
  <c r="L211" i="18" s="1"/>
  <c r="J256" i="18"/>
  <c r="L256" i="18" s="1"/>
  <c r="R256" i="18" s="1"/>
  <c r="V256" i="18" s="1"/>
  <c r="W256" i="18" s="1"/>
  <c r="Z256" i="18" s="1"/>
  <c r="Y256" i="18" s="1"/>
  <c r="AB226" i="18"/>
  <c r="AB162" i="18"/>
  <c r="J158" i="18"/>
  <c r="L158" i="18" s="1"/>
  <c r="R158" i="18" s="1"/>
  <c r="V158" i="18" s="1"/>
  <c r="W158" i="18" s="1"/>
  <c r="Z158" i="18" s="1"/>
  <c r="Y158" i="18" s="1"/>
  <c r="AB171" i="18"/>
  <c r="W185" i="18"/>
  <c r="Z185" i="18" s="1"/>
  <c r="Y185" i="18" s="1"/>
  <c r="W175" i="18"/>
  <c r="Z175" i="18" s="1"/>
  <c r="Y175" i="18" s="1"/>
  <c r="W162" i="18"/>
  <c r="Z162" i="18" s="1"/>
  <c r="Y162" i="18" s="1"/>
  <c r="J189" i="18"/>
  <c r="L189" i="18" s="1"/>
  <c r="R189" i="18" s="1"/>
  <c r="V189" i="18" s="1"/>
  <c r="W189" i="18" s="1"/>
  <c r="Z368" i="18"/>
  <c r="Y368" i="18" s="1"/>
  <c r="J119" i="18"/>
  <c r="L119" i="18" s="1"/>
  <c r="R119" i="18" s="1"/>
  <c r="V119" i="18" s="1"/>
  <c r="W119" i="18" s="1"/>
  <c r="Z119" i="18" s="1"/>
  <c r="Y119" i="18" s="1"/>
  <c r="J313" i="18"/>
  <c r="L313" i="18" s="1"/>
  <c r="R313" i="18" s="1"/>
  <c r="V313" i="18" s="1"/>
  <c r="W313" i="18" s="1"/>
  <c r="W323" i="18"/>
  <c r="Z323" i="18" s="1"/>
  <c r="Y323" i="18" s="1"/>
  <c r="J196" i="18"/>
  <c r="L196" i="18" s="1"/>
  <c r="J338" i="18"/>
  <c r="L338" i="18" s="1"/>
  <c r="R338" i="18" s="1"/>
  <c r="V338" i="18" s="1"/>
  <c r="W338" i="18" s="1"/>
  <c r="Z338" i="18" s="1"/>
  <c r="Y338" i="18" s="1"/>
  <c r="J283" i="18"/>
  <c r="L283" i="18" s="1"/>
  <c r="R283" i="18" s="1"/>
  <c r="V283" i="18" s="1"/>
  <c r="W283" i="18" s="1"/>
  <c r="J248" i="18"/>
  <c r="L248" i="18" s="1"/>
  <c r="R248" i="18" s="1"/>
  <c r="V248" i="18" s="1"/>
  <c r="W248" i="18" s="1"/>
  <c r="Z248" i="18" s="1"/>
  <c r="Y248" i="18" s="1"/>
  <c r="J280" i="18"/>
  <c r="L280" i="18" s="1"/>
  <c r="R280" i="18" s="1"/>
  <c r="V280" i="18" s="1"/>
  <c r="W280" i="18" s="1"/>
  <c r="Z280" i="18" s="1"/>
  <c r="Y280" i="18" s="1"/>
  <c r="F144" i="18"/>
  <c r="J144" i="18" s="1"/>
  <c r="L144" i="18" s="1"/>
  <c r="R144" i="18" s="1"/>
  <c r="V144" i="18" s="1"/>
  <c r="W144" i="18" s="1"/>
  <c r="Z144" i="18" s="1"/>
  <c r="J320" i="18"/>
  <c r="L320" i="18" s="1"/>
  <c r="R320" i="18" s="1"/>
  <c r="V320" i="18" s="1"/>
  <c r="W320" i="18" s="1"/>
  <c r="Z320" i="18" s="1"/>
  <c r="Y320" i="18" s="1"/>
  <c r="J330" i="18"/>
  <c r="L330" i="18" s="1"/>
  <c r="R330" i="18" s="1"/>
  <c r="V330" i="18" s="1"/>
  <c r="W330" i="18" s="1"/>
  <c r="Z330" i="18" s="1"/>
  <c r="Y330" i="18" s="1"/>
  <c r="J307" i="18"/>
  <c r="L307" i="18" s="1"/>
  <c r="R307" i="18" s="1"/>
  <c r="V307" i="18" s="1"/>
  <c r="W307" i="18" s="1"/>
  <c r="Z307" i="18" s="1"/>
  <c r="Y307" i="18" s="1"/>
  <c r="J271" i="18"/>
  <c r="L271" i="18" s="1"/>
  <c r="R271" i="18" s="1"/>
  <c r="V271" i="18" s="1"/>
  <c r="W271" i="18" s="1"/>
  <c r="Z271" i="18" s="1"/>
  <c r="Y271" i="18" s="1"/>
  <c r="W173" i="18"/>
  <c r="Z173" i="18" s="1"/>
  <c r="Y173" i="18" s="1"/>
  <c r="J160" i="18"/>
  <c r="L160" i="18" s="1"/>
  <c r="R160" i="18" s="1"/>
  <c r="V160" i="18" s="1"/>
  <c r="W160" i="18" s="1"/>
  <c r="Z160" i="18" s="1"/>
  <c r="Y160" i="18" s="1"/>
  <c r="J181" i="18"/>
  <c r="L181" i="18" s="1"/>
  <c r="R181" i="18" s="1"/>
  <c r="V181" i="18" s="1"/>
  <c r="W181" i="18" s="1"/>
  <c r="AB173" i="18"/>
  <c r="F159" i="18"/>
  <c r="H132" i="18"/>
  <c r="AB132" i="18" s="1"/>
  <c r="H142" i="18"/>
  <c r="V36" i="18"/>
  <c r="J145" i="18"/>
  <c r="L145" i="18" s="1"/>
  <c r="R145" i="18" s="1"/>
  <c r="V145" i="18" s="1"/>
  <c r="W145" i="18" s="1"/>
  <c r="Z145" i="18" s="1"/>
  <c r="Y145" i="18" s="1"/>
  <c r="W123" i="18"/>
  <c r="Z123" i="18" s="1"/>
  <c r="Y123" i="18" s="1"/>
  <c r="J361" i="18"/>
  <c r="L361" i="18" s="1"/>
  <c r="R361" i="18" s="1"/>
  <c r="V361" i="18" s="1"/>
  <c r="W361" i="18" s="1"/>
  <c r="Z361" i="18" s="1"/>
  <c r="Y361" i="18" s="1"/>
  <c r="J336" i="18"/>
  <c r="L336" i="18" s="1"/>
  <c r="R336" i="18" s="1"/>
  <c r="V336" i="18" s="1"/>
  <c r="W336" i="18" s="1"/>
  <c r="Z336" i="18" s="1"/>
  <c r="Y336" i="18" s="1"/>
  <c r="J298" i="18"/>
  <c r="L298" i="18" s="1"/>
  <c r="R298" i="18" s="1"/>
  <c r="V298" i="18" s="1"/>
  <c r="W298" i="18" s="1"/>
  <c r="H195" i="18"/>
  <c r="J195" i="18" s="1"/>
  <c r="L195" i="18" s="1"/>
  <c r="R195" i="18" s="1"/>
  <c r="V195" i="18" s="1"/>
  <c r="W195" i="18" s="1"/>
  <c r="Z195" i="18" s="1"/>
  <c r="Y195" i="18" s="1"/>
  <c r="F180" i="18"/>
  <c r="AB180" i="18" s="1"/>
  <c r="F172" i="18"/>
  <c r="AB172" i="18" s="1"/>
  <c r="H159" i="18"/>
  <c r="F146" i="18"/>
  <c r="F120" i="18"/>
  <c r="F142" i="18"/>
  <c r="F151" i="18"/>
  <c r="AB151" i="18" s="1"/>
  <c r="J147" i="18"/>
  <c r="L147" i="18" s="1"/>
  <c r="R147" i="18" s="1"/>
  <c r="V147" i="18" s="1"/>
  <c r="J209" i="18"/>
  <c r="L209" i="18" s="1"/>
  <c r="AB185" i="18"/>
  <c r="AB177" i="18"/>
  <c r="J171" i="18"/>
  <c r="L171" i="18" s="1"/>
  <c r="R171" i="18" s="1"/>
  <c r="V171" i="18" s="1"/>
  <c r="W171" i="18" s="1"/>
  <c r="Z171" i="18" s="1"/>
  <c r="Y171" i="18" s="1"/>
  <c r="J135" i="18"/>
  <c r="L135" i="18" s="1"/>
  <c r="R135" i="18" s="1"/>
  <c r="V135" i="18" s="1"/>
  <c r="W135" i="18" s="1"/>
  <c r="Z135" i="18" s="1"/>
  <c r="Y135" i="18" s="1"/>
  <c r="AB167" i="18"/>
  <c r="J253" i="18"/>
  <c r="L253" i="18" s="1"/>
  <c r="R253" i="18" s="1"/>
  <c r="V253" i="18" s="1"/>
  <c r="W253" i="18" s="1"/>
  <c r="Z253" i="18" s="1"/>
  <c r="Y253" i="18" s="1"/>
  <c r="J337" i="18"/>
  <c r="L337" i="18" s="1"/>
  <c r="R337" i="18" s="1"/>
  <c r="V337" i="18" s="1"/>
  <c r="W337" i="18" s="1"/>
  <c r="Z337" i="18" s="1"/>
  <c r="Y337" i="18" s="1"/>
  <c r="J290" i="18"/>
  <c r="L290" i="18" s="1"/>
  <c r="R290" i="18" s="1"/>
  <c r="V290" i="18" s="1"/>
  <c r="W290" i="18" s="1"/>
  <c r="Z290" i="18" s="1"/>
  <c r="Y290" i="18" s="1"/>
  <c r="J272" i="18"/>
  <c r="L272" i="18" s="1"/>
  <c r="R272" i="18" s="1"/>
  <c r="V272" i="18" s="1"/>
  <c r="W272" i="18" s="1"/>
  <c r="Z272" i="18" s="1"/>
  <c r="Y272" i="18" s="1"/>
  <c r="J262" i="18"/>
  <c r="L262" i="18" s="1"/>
  <c r="R262" i="18" s="1"/>
  <c r="V262" i="18" s="1"/>
  <c r="W262" i="18" s="1"/>
  <c r="Z262" i="18" s="1"/>
  <c r="Y262" i="18" s="1"/>
  <c r="J255" i="18"/>
  <c r="L255" i="18" s="1"/>
  <c r="R255" i="18" s="1"/>
  <c r="V255" i="18" s="1"/>
  <c r="W255" i="18" s="1"/>
  <c r="Z255" i="18" s="1"/>
  <c r="Y255" i="18" s="1"/>
  <c r="J278" i="18"/>
  <c r="L278" i="18" s="1"/>
  <c r="R278" i="18" s="1"/>
  <c r="V278" i="18" s="1"/>
  <c r="W278" i="18" s="1"/>
  <c r="Z278" i="18" s="1"/>
  <c r="Y278" i="18" s="1"/>
  <c r="AB138" i="18"/>
  <c r="J325" i="18"/>
  <c r="L325" i="18" s="1"/>
  <c r="R325" i="18" s="1"/>
  <c r="V325" i="18" s="1"/>
  <c r="W325" i="18" s="1"/>
  <c r="Z325" i="18" s="1"/>
  <c r="Y325" i="18" s="1"/>
  <c r="J251" i="18"/>
  <c r="L251" i="18" s="1"/>
  <c r="R251" i="18" s="1"/>
  <c r="V251" i="18" s="1"/>
  <c r="W251" i="18" s="1"/>
  <c r="Z251" i="18" s="1"/>
  <c r="Y251" i="18" s="1"/>
  <c r="J205" i="18"/>
  <c r="L205" i="18" s="1"/>
  <c r="R205" i="18" s="1"/>
  <c r="V205" i="18" s="1"/>
  <c r="W205" i="18" s="1"/>
  <c r="Z205" i="18" s="1"/>
  <c r="Y205" i="18" s="1"/>
  <c r="J270" i="18"/>
  <c r="L270" i="18" s="1"/>
  <c r="R270" i="18" s="1"/>
  <c r="V270" i="18" s="1"/>
  <c r="W270" i="18" s="1"/>
  <c r="Z270" i="18" s="1"/>
  <c r="Y270" i="18" s="1"/>
  <c r="J264" i="18"/>
  <c r="L264" i="18" s="1"/>
  <c r="R264" i="18" s="1"/>
  <c r="V264" i="18" s="1"/>
  <c r="W264" i="18" s="1"/>
  <c r="Z264" i="18" s="1"/>
  <c r="Y264" i="18" s="1"/>
  <c r="H182" i="18"/>
  <c r="J266" i="18"/>
  <c r="L266" i="18" s="1"/>
  <c r="R266" i="18" s="1"/>
  <c r="V266" i="18" s="1"/>
  <c r="W266" i="18" s="1"/>
  <c r="Z266" i="18" s="1"/>
  <c r="Y266" i="18" s="1"/>
  <c r="J333" i="18"/>
  <c r="L333" i="18" s="1"/>
  <c r="R333" i="18" s="1"/>
  <c r="V333" i="18" s="1"/>
  <c r="W333" i="18" s="1"/>
  <c r="Z333" i="18" s="1"/>
  <c r="Y333" i="18" s="1"/>
  <c r="J316" i="18"/>
  <c r="L316" i="18" s="1"/>
  <c r="R316" i="18" s="1"/>
  <c r="V316" i="18" s="1"/>
  <c r="W316" i="18" s="1"/>
  <c r="J268" i="18"/>
  <c r="L268" i="18" s="1"/>
  <c r="R268" i="18" s="1"/>
  <c r="V268" i="18" s="1"/>
  <c r="W268" i="18" s="1"/>
  <c r="Z268" i="18" s="1"/>
  <c r="Y268" i="18" s="1"/>
  <c r="J210" i="18"/>
  <c r="L210" i="18" s="1"/>
  <c r="R210" i="18" s="1"/>
  <c r="V210" i="18" s="1"/>
  <c r="W210" i="18" s="1"/>
  <c r="Z210" i="18" s="1"/>
  <c r="Y210" i="18" s="1"/>
  <c r="J201" i="18"/>
  <c r="L201" i="18" s="1"/>
  <c r="R201" i="18" s="1"/>
  <c r="V201" i="18" s="1"/>
  <c r="W201" i="18" s="1"/>
  <c r="Z201" i="18" s="1"/>
  <c r="Y201" i="18" s="1"/>
  <c r="J124" i="18"/>
  <c r="L124" i="18" s="1"/>
  <c r="R124" i="18" s="1"/>
  <c r="V124" i="18" s="1"/>
  <c r="W124" i="18" s="1"/>
  <c r="AB230" i="18"/>
  <c r="J329" i="18"/>
  <c r="L329" i="18" s="1"/>
  <c r="R329" i="18" s="1"/>
  <c r="V329" i="18" s="1"/>
  <c r="W329" i="18" s="1"/>
  <c r="Z329" i="18" s="1"/>
  <c r="Y329" i="18" s="1"/>
  <c r="J312" i="18"/>
  <c r="L312" i="18" s="1"/>
  <c r="R312" i="18" s="1"/>
  <c r="V312" i="18" s="1"/>
  <c r="W312" i="18" s="1"/>
  <c r="Z312" i="18" s="1"/>
  <c r="Y312" i="18" s="1"/>
  <c r="J288" i="18"/>
  <c r="L288" i="18" s="1"/>
  <c r="R288" i="18" s="1"/>
  <c r="V288" i="18" s="1"/>
  <c r="W288" i="18" s="1"/>
  <c r="Z288" i="18" s="1"/>
  <c r="Y288" i="18" s="1"/>
  <c r="J245" i="18"/>
  <c r="L245" i="18" s="1"/>
  <c r="R245" i="18" s="1"/>
  <c r="V245" i="18" s="1"/>
  <c r="W245" i="18" s="1"/>
  <c r="Z245" i="18" s="1"/>
  <c r="Y245" i="18" s="1"/>
  <c r="J226" i="18"/>
  <c r="L226" i="18" s="1"/>
  <c r="R226" i="18" s="1"/>
  <c r="V226" i="18" s="1"/>
  <c r="W226" i="18" s="1"/>
  <c r="Z226" i="18" s="1"/>
  <c r="Y226" i="18" s="1"/>
  <c r="J335" i="18"/>
  <c r="L335" i="18" s="1"/>
  <c r="R335" i="18" s="1"/>
  <c r="V335" i="18" s="1"/>
  <c r="W335" i="18" s="1"/>
  <c r="Z335" i="18" s="1"/>
  <c r="Y335" i="18" s="1"/>
  <c r="J351" i="18"/>
  <c r="L351" i="18" s="1"/>
  <c r="R351" i="18" s="1"/>
  <c r="V351" i="18" s="1"/>
  <c r="W351" i="18" s="1"/>
  <c r="Z351" i="18" s="1"/>
  <c r="Y351" i="18" s="1"/>
  <c r="J331" i="18"/>
  <c r="L331" i="18" s="1"/>
  <c r="R331" i="18" s="1"/>
  <c r="V331" i="18" s="1"/>
  <c r="W331" i="18" s="1"/>
  <c r="Z331" i="18" s="1"/>
  <c r="Y331" i="18" s="1"/>
  <c r="K69" i="18"/>
  <c r="J327" i="18"/>
  <c r="L327" i="18" s="1"/>
  <c r="R327" i="18" s="1"/>
  <c r="V327" i="18" s="1"/>
  <c r="W327" i="18" s="1"/>
  <c r="Z327" i="18" s="1"/>
  <c r="Y327" i="18" s="1"/>
  <c r="J299" i="18"/>
  <c r="L299" i="18" s="1"/>
  <c r="R299" i="18" s="1"/>
  <c r="V299" i="18" s="1"/>
  <c r="W299" i="18" s="1"/>
  <c r="Z299" i="18" s="1"/>
  <c r="Y299" i="18" s="1"/>
  <c r="J286" i="18"/>
  <c r="L286" i="18" s="1"/>
  <c r="R286" i="18" s="1"/>
  <c r="V286" i="18" s="1"/>
  <c r="W286" i="18" s="1"/>
  <c r="Z286" i="18" s="1"/>
  <c r="Y286" i="18" s="1"/>
  <c r="J234" i="18"/>
  <c r="L234" i="18" s="1"/>
  <c r="R234" i="18" s="1"/>
  <c r="V234" i="18" s="1"/>
  <c r="W234" i="18" s="1"/>
  <c r="Z234" i="18" s="1"/>
  <c r="Y234" i="18" s="1"/>
  <c r="F128" i="18"/>
  <c r="H120" i="18"/>
  <c r="AB120" i="18" s="1"/>
  <c r="F114" i="18"/>
  <c r="H116" i="18"/>
  <c r="H130" i="18"/>
  <c r="H122" i="18"/>
  <c r="H168" i="18"/>
  <c r="F182" i="18"/>
  <c r="H128" i="18"/>
  <c r="H114" i="18"/>
  <c r="F116" i="18"/>
  <c r="F130" i="18"/>
  <c r="F122" i="18"/>
  <c r="F168" i="18"/>
  <c r="AB126" i="18"/>
  <c r="J370" i="18"/>
  <c r="L370" i="18" s="1"/>
  <c r="R370" i="18" s="1"/>
  <c r="V370" i="18" s="1"/>
  <c r="W370" i="18" s="1"/>
  <c r="Z370" i="18" s="1"/>
  <c r="J153" i="18"/>
  <c r="L153" i="18" s="1"/>
  <c r="R153" i="18" s="1"/>
  <c r="V153" i="18" s="1"/>
  <c r="W153" i="18" s="1"/>
  <c r="J203" i="18"/>
  <c r="L203" i="18" s="1"/>
  <c r="R203" i="18" s="1"/>
  <c r="V203" i="18" s="1"/>
  <c r="W203" i="18" s="1"/>
  <c r="Z203" i="18" s="1"/>
  <c r="Y203" i="18" s="1"/>
  <c r="J170" i="18"/>
  <c r="L170" i="18" s="1"/>
  <c r="R170" i="18" s="1"/>
  <c r="V170" i="18" s="1"/>
  <c r="W170" i="18" s="1"/>
  <c r="J136" i="18"/>
  <c r="L136" i="18" s="1"/>
  <c r="R136" i="18" s="1"/>
  <c r="V136" i="18" s="1"/>
  <c r="W136" i="18" s="1"/>
  <c r="Z136" i="18" s="1"/>
  <c r="Y136" i="18" s="1"/>
  <c r="J112" i="18"/>
  <c r="L112" i="18" s="1"/>
  <c r="R112" i="18" s="1"/>
  <c r="V112" i="18" s="1"/>
  <c r="W112" i="18" s="1"/>
  <c r="Z112" i="18" s="1"/>
  <c r="Y112" i="18" s="1"/>
  <c r="AB155" i="18"/>
  <c r="AB144" i="18"/>
  <c r="J322" i="18"/>
  <c r="L322" i="18" s="1"/>
  <c r="R322" i="18" s="1"/>
  <c r="V322" i="18" s="1"/>
  <c r="W322" i="18" s="1"/>
  <c r="Z322" i="18" s="1"/>
  <c r="Y322" i="18" s="1"/>
  <c r="J305" i="18"/>
  <c r="L305" i="18" s="1"/>
  <c r="R305" i="18" s="1"/>
  <c r="V305" i="18" s="1"/>
  <c r="W305" i="18" s="1"/>
  <c r="Z305" i="18" s="1"/>
  <c r="Y305" i="18" s="1"/>
  <c r="J297" i="18"/>
  <c r="L297" i="18" s="1"/>
  <c r="R297" i="18" s="1"/>
  <c r="V297" i="18" s="1"/>
  <c r="W297" i="18" s="1"/>
  <c r="Z297" i="18" s="1"/>
  <c r="Y297" i="18" s="1"/>
  <c r="J155" i="18"/>
  <c r="L155" i="18" s="1"/>
  <c r="R155" i="18" s="1"/>
  <c r="V155" i="18" s="1"/>
  <c r="W155" i="18" s="1"/>
  <c r="Z155" i="18" s="1"/>
  <c r="Y155" i="18" s="1"/>
  <c r="W230" i="18"/>
  <c r="Z230" i="18" s="1"/>
  <c r="Y230" i="18" s="1"/>
  <c r="J314" i="18"/>
  <c r="L314" i="18" s="1"/>
  <c r="R314" i="18" s="1"/>
  <c r="V314" i="18" s="1"/>
  <c r="W314" i="18" s="1"/>
  <c r="Z314" i="18" s="1"/>
  <c r="Y314" i="18" s="1"/>
  <c r="J342" i="18"/>
  <c r="L342" i="18" s="1"/>
  <c r="R342" i="18" s="1"/>
  <c r="V342" i="18" s="1"/>
  <c r="W342" i="18" s="1"/>
  <c r="Z342" i="18" s="1"/>
  <c r="Y342" i="18" s="1"/>
  <c r="J236" i="18"/>
  <c r="L236" i="18" s="1"/>
  <c r="R236" i="18" s="1"/>
  <c r="V236" i="18" s="1"/>
  <c r="W236" i="18" s="1"/>
  <c r="Z236" i="18" s="1"/>
  <c r="Y236" i="18" s="1"/>
  <c r="AB189" i="18"/>
  <c r="W147" i="18"/>
  <c r="Z147" i="18" s="1"/>
  <c r="Y147" i="18" s="1"/>
  <c r="AB187" i="18"/>
  <c r="AB175" i="18"/>
  <c r="J186" i="18"/>
  <c r="L186" i="18" s="1"/>
  <c r="R186" i="18" s="1"/>
  <c r="V186" i="18" s="1"/>
  <c r="W186" i="18" s="1"/>
  <c r="AB160" i="18"/>
  <c r="AB169" i="18"/>
  <c r="J183" i="18"/>
  <c r="L183" i="18" s="1"/>
  <c r="R183" i="18" s="1"/>
  <c r="V183" i="18" s="1"/>
  <c r="W183" i="18" s="1"/>
  <c r="W129" i="18"/>
  <c r="Z129" i="18" s="1"/>
  <c r="Y129" i="18" s="1"/>
  <c r="AB181" i="18"/>
  <c r="AB119" i="18"/>
  <c r="J131" i="18"/>
  <c r="L131" i="18" s="1"/>
  <c r="R131" i="18" s="1"/>
  <c r="V131" i="18" s="1"/>
  <c r="W131" i="18" s="1"/>
  <c r="J197" i="18"/>
  <c r="L197" i="18" s="1"/>
  <c r="R197" i="18" s="1"/>
  <c r="V197" i="18" s="1"/>
  <c r="W197" i="18" s="1"/>
  <c r="Z197" i="18" s="1"/>
  <c r="Y197" i="18" s="1"/>
  <c r="AB117" i="18"/>
  <c r="W356" i="18"/>
  <c r="AS23" i="18"/>
  <c r="AG12" i="18"/>
  <c r="W352" i="18"/>
  <c r="Z352" i="18" s="1"/>
  <c r="Y352" i="18" s="1"/>
  <c r="W113" i="18"/>
  <c r="Z113" i="18" s="1"/>
  <c r="Y113" i="18" s="1"/>
  <c r="AN51" i="18"/>
  <c r="AN53" i="18" s="1"/>
  <c r="J228" i="18"/>
  <c r="L228" i="18" s="1"/>
  <c r="R228" i="18" s="1"/>
  <c r="V228" i="18" s="1"/>
  <c r="W228" i="18" s="1"/>
  <c r="Z228" i="18" s="1"/>
  <c r="Y228" i="18" s="1"/>
  <c r="AB228" i="18"/>
  <c r="Z273" i="18"/>
  <c r="Y273" i="18" s="1"/>
  <c r="Z265" i="18"/>
  <c r="Y265" i="18" s="1"/>
  <c r="Z298" i="18"/>
  <c r="Y298" i="18" s="1"/>
  <c r="Z306" i="18"/>
  <c r="Y306" i="18" s="1"/>
  <c r="Z353" i="18"/>
  <c r="Y353" i="18" s="1"/>
  <c r="Z343" i="18"/>
  <c r="Y343" i="18" s="1"/>
  <c r="W347" i="18"/>
  <c r="Z347" i="18" s="1"/>
  <c r="Y347" i="18" s="1"/>
  <c r="W364" i="18"/>
  <c r="Z364" i="18" s="1"/>
  <c r="Y364" i="18" s="1"/>
  <c r="W372" i="18"/>
  <c r="Q69" i="18"/>
  <c r="U74" i="18" s="1"/>
  <c r="W74" i="18" s="1"/>
  <c r="AS31" i="18"/>
  <c r="H75" i="18"/>
  <c r="J75" i="18" s="1"/>
  <c r="H76" i="18"/>
  <c r="J76" i="18" s="1"/>
  <c r="L76" i="18" s="1"/>
  <c r="N76" i="18" s="1"/>
  <c r="O76" i="18" s="1"/>
  <c r="Q76" i="18" s="1"/>
  <c r="W239" i="18"/>
  <c r="Z125" i="18"/>
  <c r="Y125" i="18" s="1"/>
  <c r="Z152" i="18"/>
  <c r="Y152" i="18" s="1"/>
  <c r="Z181" i="18"/>
  <c r="Y181" i="18" s="1"/>
  <c r="J357" i="18"/>
  <c r="L357" i="18" s="1"/>
  <c r="R357" i="18" s="1"/>
  <c r="V357" i="18" s="1"/>
  <c r="W357" i="18" s="1"/>
  <c r="Z357" i="18" s="1"/>
  <c r="Y357" i="18" s="1"/>
  <c r="J176" i="18"/>
  <c r="L176" i="18" s="1"/>
  <c r="R176" i="18" s="1"/>
  <c r="V176" i="18" s="1"/>
  <c r="W176" i="18" s="1"/>
  <c r="Z176" i="18" s="1"/>
  <c r="Y176" i="18" s="1"/>
  <c r="AB176" i="18"/>
  <c r="Z227" i="18"/>
  <c r="Y227" i="18" s="1"/>
  <c r="Z235" i="18"/>
  <c r="Y235" i="18" s="1"/>
  <c r="Z263" i="18"/>
  <c r="Y263" i="18" s="1"/>
  <c r="Z371" i="18"/>
  <c r="Y371" i="18" s="1"/>
  <c r="W115" i="18"/>
  <c r="Z115" i="18" s="1"/>
  <c r="Y115" i="18" s="1"/>
  <c r="Z356" i="18"/>
  <c r="Y356" i="18" s="1"/>
  <c r="Z269" i="18"/>
  <c r="Y269" i="18" s="1"/>
  <c r="Z261" i="18"/>
  <c r="Y261" i="18" s="1"/>
  <c r="W121" i="18"/>
  <c r="Z121" i="18" s="1"/>
  <c r="Y121" i="18" s="1"/>
  <c r="Z231" i="18"/>
  <c r="Y231" i="18" s="1"/>
  <c r="Z239" i="18"/>
  <c r="Y239" i="18" s="1"/>
  <c r="Z267" i="18"/>
  <c r="Y267" i="18" s="1"/>
  <c r="Z313" i="18"/>
  <c r="Y313" i="18" s="1"/>
  <c r="Z334" i="18"/>
  <c r="Y334" i="18" s="1"/>
  <c r="Z326" i="18"/>
  <c r="Y326" i="18" s="1"/>
  <c r="Z365" i="18"/>
  <c r="Y365" i="18" s="1"/>
  <c r="AS25" i="18"/>
  <c r="AB229" i="18"/>
  <c r="J229" i="18"/>
  <c r="L229" i="18" s="1"/>
  <c r="R229" i="18" s="1"/>
  <c r="V229" i="18" s="1"/>
  <c r="W229" i="18" s="1"/>
  <c r="Z229" i="18" s="1"/>
  <c r="Y229" i="18" s="1"/>
  <c r="J126" i="18"/>
  <c r="L126" i="18" s="1"/>
  <c r="R126" i="18" s="1"/>
  <c r="V126" i="18" s="1"/>
  <c r="W126" i="18" s="1"/>
  <c r="AB123" i="18"/>
  <c r="Z279" i="18"/>
  <c r="Y279" i="18" s="1"/>
  <c r="Z281" i="18"/>
  <c r="Y281" i="18" s="1"/>
  <c r="Z283" i="18"/>
  <c r="Y283" i="18" s="1"/>
  <c r="Z285" i="18"/>
  <c r="Y285" i="18" s="1"/>
  <c r="Z287" i="18"/>
  <c r="Y287" i="18" s="1"/>
  <c r="Z289" i="18"/>
  <c r="Y289" i="18" s="1"/>
  <c r="Z291" i="18"/>
  <c r="Y291" i="18" s="1"/>
  <c r="AB237" i="18"/>
  <c r="J237" i="18"/>
  <c r="L237" i="18" s="1"/>
  <c r="R237" i="18" s="1"/>
  <c r="V237" i="18" s="1"/>
  <c r="W237" i="18" s="1"/>
  <c r="Z237" i="18" s="1"/>
  <c r="Y237" i="18" s="1"/>
  <c r="J139" i="18"/>
  <c r="L139" i="18" s="1"/>
  <c r="R139" i="18" s="1"/>
  <c r="V139" i="18" s="1"/>
  <c r="W139" i="18" s="1"/>
  <c r="Z139" i="18" s="1"/>
  <c r="Y139" i="18" s="1"/>
  <c r="AB139" i="18"/>
  <c r="W133" i="18"/>
  <c r="Z133" i="18" s="1"/>
  <c r="Y133" i="18" s="1"/>
  <c r="I64" i="18"/>
  <c r="I66" i="18" s="1"/>
  <c r="O8" i="18"/>
  <c r="P8" i="18" s="1"/>
  <c r="AB183" i="18"/>
  <c r="W169" i="18"/>
  <c r="Z169" i="18" s="1"/>
  <c r="Y169" i="18" s="1"/>
  <c r="Z254" i="18"/>
  <c r="Y254" i="18" s="1"/>
  <c r="AB136" i="18"/>
  <c r="AB124" i="18"/>
  <c r="AB112" i="18"/>
  <c r="Z137" i="18"/>
  <c r="Y137" i="18" s="1"/>
  <c r="Z117" i="18"/>
  <c r="Y117" i="18" s="1"/>
  <c r="Z143" i="18"/>
  <c r="Y143" i="18" s="1"/>
  <c r="J118" i="18" l="1"/>
  <c r="L118" i="18" s="1"/>
  <c r="R118" i="18" s="1"/>
  <c r="V118" i="18" s="1"/>
  <c r="W118" i="18" s="1"/>
  <c r="Z118" i="18" s="1"/>
  <c r="Y118" i="18" s="1"/>
  <c r="Z372" i="18"/>
  <c r="Y372" i="18" s="1"/>
  <c r="AB190" i="18"/>
  <c r="J146" i="18"/>
  <c r="L146" i="18" s="1"/>
  <c r="R146" i="18" s="1"/>
  <c r="V146" i="18" s="1"/>
  <c r="W146" i="18" s="1"/>
  <c r="Z146" i="18" s="1"/>
  <c r="Y146" i="18" s="1"/>
  <c r="J166" i="18"/>
  <c r="L166" i="18" s="1"/>
  <c r="R166" i="18" s="1"/>
  <c r="V166" i="18" s="1"/>
  <c r="W166" i="18" s="1"/>
  <c r="Z166" i="18" s="1"/>
  <c r="Y166" i="18" s="1"/>
  <c r="J151" i="18"/>
  <c r="L151" i="18" s="1"/>
  <c r="R151" i="18" s="1"/>
  <c r="V151" i="18" s="1"/>
  <c r="W151" i="18" s="1"/>
  <c r="Z151" i="18" s="1"/>
  <c r="Y151" i="18" s="1"/>
  <c r="J130" i="18"/>
  <c r="L130" i="18" s="1"/>
  <c r="R130" i="18" s="1"/>
  <c r="V130" i="18" s="1"/>
  <c r="W130" i="18" s="1"/>
  <c r="Z130" i="18" s="1"/>
  <c r="Y130" i="18" s="1"/>
  <c r="J142" i="18"/>
  <c r="L142" i="18" s="1"/>
  <c r="R142" i="18" s="1"/>
  <c r="V142" i="18" s="1"/>
  <c r="W142" i="18" s="1"/>
  <c r="Z142" i="18" s="1"/>
  <c r="J182" i="18"/>
  <c r="L182" i="18" s="1"/>
  <c r="R182" i="18" s="1"/>
  <c r="V182" i="18" s="1"/>
  <c r="W182" i="18" s="1"/>
  <c r="Z182" i="18" s="1"/>
  <c r="Y182" i="18" s="1"/>
  <c r="AB146" i="18"/>
  <c r="J174" i="18"/>
  <c r="L174" i="18" s="1"/>
  <c r="R174" i="18" s="1"/>
  <c r="V174" i="18" s="1"/>
  <c r="W174" i="18" s="1"/>
  <c r="Z174" i="18" s="1"/>
  <c r="Y174" i="18" s="1"/>
  <c r="AB174" i="18"/>
  <c r="J172" i="18"/>
  <c r="L172" i="18" s="1"/>
  <c r="R172" i="18" s="1"/>
  <c r="V172" i="18" s="1"/>
  <c r="W172" i="18" s="1"/>
  <c r="Z172" i="18" s="1"/>
  <c r="Y172" i="18" s="1"/>
  <c r="J188" i="18"/>
  <c r="L188" i="18" s="1"/>
  <c r="R188" i="18" s="1"/>
  <c r="V188" i="18" s="1"/>
  <c r="W188" i="18" s="1"/>
  <c r="Z188" i="18" s="1"/>
  <c r="Y188" i="18" s="1"/>
  <c r="J132" i="18"/>
  <c r="L132" i="18" s="1"/>
  <c r="R132" i="18" s="1"/>
  <c r="V132" i="18" s="1"/>
  <c r="W132" i="18" s="1"/>
  <c r="Z132" i="18" s="1"/>
  <c r="Y132" i="18" s="1"/>
  <c r="AB142" i="18"/>
  <c r="Z189" i="18"/>
  <c r="Y189" i="18" s="1"/>
  <c r="AB168" i="18"/>
  <c r="AB159" i="18"/>
  <c r="J180" i="18"/>
  <c r="L180" i="18" s="1"/>
  <c r="R180" i="18" s="1"/>
  <c r="V180" i="18" s="1"/>
  <c r="W180" i="18" s="1"/>
  <c r="Z180" i="18" s="1"/>
  <c r="Y180" i="18" s="1"/>
  <c r="K75" i="18"/>
  <c r="P75" i="18"/>
  <c r="AB122" i="18"/>
  <c r="L75" i="18"/>
  <c r="J159" i="18"/>
  <c r="L159" i="18" s="1"/>
  <c r="R159" i="18" s="1"/>
  <c r="V159" i="18" s="1"/>
  <c r="W159" i="18" s="1"/>
  <c r="Z159" i="18" s="1"/>
  <c r="Y159" i="18" s="1"/>
  <c r="J114" i="18"/>
  <c r="L114" i="18" s="1"/>
  <c r="R114" i="18" s="1"/>
  <c r="V114" i="18" s="1"/>
  <c r="W114" i="18" s="1"/>
  <c r="Z114" i="18" s="1"/>
  <c r="Y114" i="18" s="1"/>
  <c r="J128" i="18"/>
  <c r="L128" i="18" s="1"/>
  <c r="R128" i="18" s="1"/>
  <c r="V128" i="18" s="1"/>
  <c r="W128" i="18" s="1"/>
  <c r="Z128" i="18" s="1"/>
  <c r="Y128" i="18" s="1"/>
  <c r="AB116" i="18"/>
  <c r="J116" i="18"/>
  <c r="L116" i="18" s="1"/>
  <c r="R116" i="18" s="1"/>
  <c r="V116" i="18" s="1"/>
  <c r="W116" i="18" s="1"/>
  <c r="Z116" i="18" s="1"/>
  <c r="J168" i="18"/>
  <c r="L168" i="18" s="1"/>
  <c r="R168" i="18" s="1"/>
  <c r="V168" i="18" s="1"/>
  <c r="W168" i="18" s="1"/>
  <c r="Z168" i="18" s="1"/>
  <c r="Y168" i="18" s="1"/>
  <c r="AB114" i="18"/>
  <c r="AB182" i="18"/>
  <c r="AB130" i="18"/>
  <c r="J120" i="18"/>
  <c r="L120" i="18" s="1"/>
  <c r="R120" i="18" s="1"/>
  <c r="V120" i="18" s="1"/>
  <c r="W120" i="18" s="1"/>
  <c r="Z120" i="18" s="1"/>
  <c r="J122" i="18"/>
  <c r="L122" i="18" s="1"/>
  <c r="R122" i="18" s="1"/>
  <c r="V122" i="18" s="1"/>
  <c r="W122" i="18" s="1"/>
  <c r="Z122" i="18" s="1"/>
  <c r="Y122" i="18" s="1"/>
  <c r="AB128" i="18"/>
  <c r="Z170" i="18"/>
  <c r="Y170" i="18" s="1"/>
  <c r="Z186" i="18"/>
  <c r="Y186" i="18" s="1"/>
  <c r="Z183" i="18"/>
  <c r="Y183" i="18" s="1"/>
  <c r="Y144" i="18"/>
  <c r="Y199" i="18"/>
  <c r="Z153" i="18"/>
  <c r="Y153" i="18" s="1"/>
  <c r="AN55" i="18"/>
  <c r="AN57" i="18" s="1"/>
  <c r="C66" i="18"/>
  <c r="J66" i="18" s="1"/>
  <c r="M66" i="18" s="1"/>
  <c r="M69" i="18" s="1"/>
  <c r="R43" i="18"/>
  <c r="R36" i="18"/>
  <c r="H156" i="18" s="1"/>
  <c r="J49" i="18"/>
  <c r="Y74" i="18"/>
  <c r="L49" i="18" s="1"/>
  <c r="Z124" i="18"/>
  <c r="Y124" i="18" s="1"/>
  <c r="Y370" i="18"/>
  <c r="Z316" i="18"/>
  <c r="Y316" i="18" s="1"/>
  <c r="Y184" i="18"/>
  <c r="Z167" i="18"/>
  <c r="Y167" i="18" s="1"/>
  <c r="Z131" i="18"/>
  <c r="Y131" i="18"/>
  <c r="Z126" i="18"/>
  <c r="Y126" i="18" s="1"/>
  <c r="Y142" i="18" l="1"/>
  <c r="Y116" i="18"/>
  <c r="Y120" i="18"/>
  <c r="J156" i="18"/>
  <c r="L156" i="18" s="1"/>
  <c r="R156" i="18" s="1"/>
  <c r="V156" i="18" s="1"/>
  <c r="W156" i="18" s="1"/>
  <c r="Z156" i="18" s="1"/>
  <c r="Y156" i="18" s="1"/>
  <c r="AB156" i="18"/>
  <c r="M75" i="18"/>
  <c r="N75" i="18" s="1"/>
  <c r="O75" i="18" s="1"/>
  <c r="Q75" i="18" s="1"/>
  <c r="O69" i="18"/>
  <c r="O66" i="18" s="1"/>
  <c r="P66" i="18" s="1"/>
  <c r="N69" i="18"/>
  <c r="P69" i="18"/>
  <c r="H247" i="18" l="1"/>
  <c r="J247" i="18" s="1"/>
  <c r="L247" i="18" s="1"/>
  <c r="R247" i="18" s="1"/>
  <c r="V247" i="18" s="1"/>
  <c r="W247" i="18" s="1"/>
  <c r="Z247" i="18" s="1"/>
  <c r="Y247" i="18" s="1"/>
  <c r="H282" i="18"/>
  <c r="J282" i="18" s="1"/>
  <c r="L282" i="18" s="1"/>
  <c r="R282" i="18" s="1"/>
  <c r="V282" i="18" s="1"/>
  <c r="W282" i="18" s="1"/>
  <c r="Z282" i="18" s="1"/>
  <c r="Y282" i="18" s="1"/>
  <c r="Q66" i="18"/>
  <c r="AJ10" i="18"/>
  <c r="AX40" i="18"/>
  <c r="AX39" i="18"/>
  <c r="AJ9" i="18"/>
  <c r="AS26" i="18"/>
  <c r="R46" i="18"/>
  <c r="AS12" i="18"/>
  <c r="AS28" i="18"/>
  <c r="H249" i="18"/>
  <c r="J249" i="18" s="1"/>
  <c r="L249" i="18" s="1"/>
  <c r="R249" i="18" s="1"/>
  <c r="L91" i="18"/>
  <c r="N91" i="18" s="1"/>
  <c r="U69" i="18"/>
  <c r="W69" i="18" s="1"/>
  <c r="L83" i="18"/>
  <c r="N83" i="18" s="1"/>
  <c r="P83" i="18" s="1"/>
  <c r="AJ12" i="18"/>
  <c r="L85" i="18"/>
  <c r="N85" i="18" s="1"/>
  <c r="H284" i="18"/>
  <c r="J284" i="18" s="1"/>
  <c r="L284" i="18" s="1"/>
  <c r="R284" i="18" s="1"/>
  <c r="AS29" i="18"/>
  <c r="L93" i="18"/>
  <c r="N93" i="18" s="1"/>
  <c r="P93" i="18" s="1"/>
  <c r="L89" i="18"/>
  <c r="N89" i="18" s="1"/>
  <c r="P89" i="18" s="1"/>
  <c r="L87" i="18"/>
  <c r="N87" i="18" s="1"/>
  <c r="P87" i="18" s="1"/>
  <c r="P46" i="18"/>
  <c r="AX42" i="18"/>
  <c r="U63" i="18"/>
  <c r="W63" i="18" s="1"/>
  <c r="P43" i="18"/>
  <c r="V249" i="18" l="1"/>
  <c r="W249" i="18" s="1"/>
  <c r="Z249" i="18" s="1"/>
  <c r="Y249" i="18" s="1"/>
  <c r="K57" i="18"/>
  <c r="Y63" i="18"/>
  <c r="L43" i="18" s="1"/>
  <c r="J43" i="18"/>
  <c r="Q36" i="18"/>
  <c r="Y69" i="18"/>
  <c r="L46" i="18" s="1"/>
  <c r="AS34" i="18" s="1"/>
  <c r="J46" i="18"/>
  <c r="AS32" i="18" s="1"/>
  <c r="Q91" i="18"/>
  <c r="P91" i="18"/>
  <c r="H367" i="18" s="1"/>
  <c r="J367" i="18" s="1"/>
  <c r="L367" i="18" s="1"/>
  <c r="R367" i="18" s="1"/>
  <c r="V367" i="18" s="1"/>
  <c r="W367" i="18" s="1"/>
  <c r="Z367" i="18" s="1"/>
  <c r="Y367" i="18" s="1"/>
  <c r="Q85" i="18"/>
  <c r="P85" i="18"/>
  <c r="H355" i="18" s="1"/>
  <c r="J355" i="18" s="1"/>
  <c r="L355" i="18" s="1"/>
  <c r="R355" i="18" s="1"/>
  <c r="V284" i="18"/>
  <c r="W284" i="18" s="1"/>
  <c r="Z284" i="18" s="1"/>
  <c r="Y284" i="18" s="1"/>
  <c r="J57" i="18"/>
  <c r="H217" i="18"/>
  <c r="J217" i="18" s="1"/>
  <c r="L217" i="18" s="1"/>
  <c r="R217" i="18" s="1"/>
  <c r="V217" i="18" s="1"/>
  <c r="W217" i="18" s="1"/>
  <c r="Z217" i="18" s="1"/>
  <c r="Y217" i="18" s="1"/>
  <c r="H221" i="18"/>
  <c r="J221" i="18" s="1"/>
  <c r="L221" i="18" s="1"/>
  <c r="R221" i="18" s="1"/>
  <c r="V221" i="18" s="1"/>
  <c r="W221" i="18" s="1"/>
  <c r="Z221" i="18" s="1"/>
  <c r="Y221" i="18" s="1"/>
  <c r="H215" i="18"/>
  <c r="H219" i="18"/>
  <c r="J219" i="18" s="1"/>
  <c r="L219" i="18" s="1"/>
  <c r="R219" i="18" s="1"/>
  <c r="V219" i="18" s="1"/>
  <c r="W219" i="18" s="1"/>
  <c r="Z219" i="18" s="1"/>
  <c r="Y219" i="18" s="1"/>
  <c r="H222" i="18"/>
  <c r="J222" i="18" s="1"/>
  <c r="L222" i="18" s="1"/>
  <c r="R222" i="18" s="1"/>
  <c r="V222" i="18" s="1"/>
  <c r="W222" i="18" s="1"/>
  <c r="Z222" i="18" s="1"/>
  <c r="Y222" i="18" s="1"/>
  <c r="H157" i="18" l="1"/>
  <c r="H134" i="18"/>
  <c r="AB157" i="18"/>
  <c r="J157" i="18"/>
  <c r="L157" i="18" s="1"/>
  <c r="R157" i="18" s="1"/>
  <c r="V157" i="18" s="1"/>
  <c r="W157" i="18" s="1"/>
  <c r="Z157" i="18" s="1"/>
  <c r="Y157" i="18" s="1"/>
  <c r="H140" i="18"/>
  <c r="AB140" i="18" s="1"/>
  <c r="H161" i="18"/>
  <c r="J215" i="18"/>
  <c r="L215" i="18" s="1"/>
  <c r="R215" i="18" s="1"/>
  <c r="AB215" i="18"/>
  <c r="V355" i="18"/>
  <c r="W355" i="18" s="1"/>
  <c r="Z355" i="18" s="1"/>
  <c r="Y355" i="18" s="1"/>
  <c r="H57" i="18"/>
  <c r="Q104" i="18"/>
  <c r="AB134" i="18" l="1"/>
  <c r="J134" i="18"/>
  <c r="L134" i="18" s="1"/>
  <c r="R134" i="18" s="1"/>
  <c r="V134" i="18" s="1"/>
  <c r="W134" i="18" s="1"/>
  <c r="J140" i="18"/>
  <c r="L140" i="18" s="1"/>
  <c r="R140" i="18" s="1"/>
  <c r="J161" i="18"/>
  <c r="L161" i="18" s="1"/>
  <c r="R161" i="18" s="1"/>
  <c r="V161" i="18" s="1"/>
  <c r="W161" i="18" s="1"/>
  <c r="Z161" i="18" s="1"/>
  <c r="Y161" i="18" s="1"/>
  <c r="AB161" i="18"/>
  <c r="AX41" i="18"/>
  <c r="AJ11" i="18"/>
  <c r="V43" i="18"/>
  <c r="L57" i="18"/>
  <c r="V215" i="18"/>
  <c r="W215" i="18" s="1"/>
  <c r="Z215" i="18" s="1"/>
  <c r="Y215" i="18" s="1"/>
  <c r="AB376" i="18" l="1"/>
  <c r="U56" i="18" s="1"/>
  <c r="Z134" i="18"/>
  <c r="Y134" i="18" s="1"/>
  <c r="M57" i="18"/>
  <c r="N57" i="18" s="1"/>
  <c r="N37" i="18" s="1"/>
  <c r="V140" i="18"/>
  <c r="W140" i="18" s="1"/>
  <c r="Z140" i="18" s="1"/>
  <c r="R376" i="18"/>
  <c r="Q393" i="18" s="1"/>
  <c r="R393" i="18" s="1"/>
  <c r="Z380" i="18" l="1"/>
  <c r="Q57" i="18"/>
  <c r="N41" i="18" s="1"/>
  <c r="W376" i="18"/>
  <c r="R380" i="18"/>
  <c r="Q380" i="18" s="1"/>
  <c r="N56" i="18"/>
  <c r="Y140" i="18"/>
  <c r="N43" i="18" l="1"/>
  <c r="N48" i="18"/>
  <c r="R382" i="18"/>
  <c r="R384" i="18" s="1"/>
  <c r="Q384" i="18" s="1"/>
  <c r="AL9" i="18"/>
  <c r="AN9" i="18" s="1"/>
  <c r="AZ39" i="18"/>
  <c r="BB39" i="18" s="1"/>
  <c r="BB49" i="18" s="1"/>
  <c r="Q395" i="18"/>
  <c r="R395" i="18" s="1"/>
  <c r="Q382" i="18" l="1"/>
  <c r="AS35" i="18"/>
  <c r="BB51" i="18"/>
  <c r="BB53" i="18" s="1"/>
  <c r="BB55" i="18" s="1"/>
  <c r="BB57" i="18" s="1"/>
  <c r="Q56" i="18"/>
  <c r="Q397" i="18"/>
  <c r="R397" i="18" s="1"/>
</calcChain>
</file>

<file path=xl/sharedStrings.xml><?xml version="1.0" encoding="utf-8"?>
<sst xmlns="http://schemas.openxmlformats.org/spreadsheetml/2006/main" count="1527" uniqueCount="459">
  <si>
    <r>
      <t xml:space="preserve">PVC Strip Polar - 100mm x 2mm  </t>
    </r>
    <r>
      <rPr>
        <sz val="9"/>
        <color indexed="10"/>
        <rFont val="Arial"/>
        <family val="2"/>
      </rPr>
      <t>S</t>
    </r>
  </si>
  <si>
    <t>HDWZ011395</t>
  </si>
  <si>
    <t>Fittings</t>
  </si>
  <si>
    <r>
      <t xml:space="preserve">PVC Strip Polar - 150mm x 2mm </t>
    </r>
    <r>
      <rPr>
        <sz val="9"/>
        <color indexed="10"/>
        <rFont val="Arial"/>
        <family val="2"/>
      </rPr>
      <t xml:space="preserve"> S</t>
    </r>
  </si>
  <si>
    <t>PVC Strip Standard Colour</t>
  </si>
  <si>
    <t xml:space="preserve">Adjust the Hanger/Strip overlap </t>
  </si>
  <si>
    <t>Total Actual</t>
  </si>
  <si>
    <t>PVCZ010510</t>
  </si>
  <si>
    <t>PVC Strip Rib Std 200mm x 3mm  S</t>
    <phoneticPr fontId="2"/>
  </si>
  <si>
    <t>Door Opening</t>
  </si>
  <si>
    <t>p</t>
  </si>
  <si>
    <t>Opening</t>
  </si>
  <si>
    <t>Strip Floor</t>
  </si>
  <si>
    <r>
      <t xml:space="preserve">PVC Strip Polar  300mm x 5mm  </t>
    </r>
    <r>
      <rPr>
        <sz val="9"/>
        <color indexed="10"/>
        <rFont val="Arial"/>
        <family val="2"/>
      </rPr>
      <t>S</t>
    </r>
  </si>
  <si>
    <t>Date</t>
  </si>
  <si>
    <r>
      <t xml:space="preserve">Slotted Brackets &amp; Plates 200  </t>
    </r>
    <r>
      <rPr>
        <sz val="9"/>
        <color indexed="10"/>
        <rFont val="Arial"/>
        <family val="2"/>
      </rPr>
      <t>S</t>
    </r>
  </si>
  <si>
    <t>Signature -  ____________________________</t>
  </si>
  <si>
    <t>PVC Sheet Std - 1200mm x 6mm  M</t>
  </si>
  <si>
    <t>Min</t>
  </si>
  <si>
    <t>Manuf</t>
  </si>
  <si>
    <t>00/00/00</t>
  </si>
  <si>
    <t>Unit Cost</t>
  </si>
  <si>
    <r>
      <t xml:space="preserve">Alum Rivet Steel Mand 5-8 PCW  </t>
    </r>
    <r>
      <rPr>
        <sz val="9"/>
        <color indexed="10"/>
        <rFont val="Arial"/>
        <family val="2"/>
      </rPr>
      <t>S</t>
    </r>
  </si>
  <si>
    <t>Act Strip</t>
  </si>
  <si>
    <r>
      <t xml:space="preserve">Labor Strips AU  </t>
    </r>
    <r>
      <rPr>
        <sz val="9"/>
        <color indexed="10"/>
        <rFont val="Arial"/>
        <family val="2"/>
      </rPr>
      <t>S</t>
    </r>
  </si>
  <si>
    <t>Strip width</t>
  </si>
  <si>
    <t>Strip thickness</t>
  </si>
  <si>
    <t>Cost</t>
  </si>
  <si>
    <t>HDWZ010105</t>
  </si>
  <si>
    <t>Height mm</t>
  </si>
  <si>
    <t>OOOOO</t>
  </si>
  <si>
    <t>OOOO</t>
  </si>
  <si>
    <t>(00) 0000 0000</t>
  </si>
  <si>
    <t>Alum Ultra Light</t>
  </si>
  <si>
    <t>Squ Met</t>
  </si>
  <si>
    <t>Strip cover</t>
  </si>
  <si>
    <t>Ribbed Strip Surcharge  S</t>
  </si>
  <si>
    <t>Name -  _____________________________</t>
  </si>
  <si>
    <t>Strip grade</t>
  </si>
  <si>
    <r>
      <t xml:space="preserve">PVC Strip Polar  300mm x 3mm  </t>
    </r>
    <r>
      <rPr>
        <sz val="9"/>
        <color indexed="10"/>
        <rFont val="Arial"/>
        <family val="2"/>
      </rPr>
      <t>S</t>
    </r>
  </si>
  <si>
    <t>PVC Strip Rib Pol 300mm x 3mm  M</t>
  </si>
  <si>
    <t>PVC Strip Rib Pol 300mm x 3mm  S</t>
  </si>
  <si>
    <t>PVC Strip Rib Pol 200mm x 2mm  M</t>
  </si>
  <si>
    <t>Strip profile</t>
  </si>
  <si>
    <t>PVC strip length</t>
  </si>
  <si>
    <t>PVC Strip Reforced Std 300mm  S</t>
    <phoneticPr fontId="2"/>
  </si>
  <si>
    <t>PVC Sheet Std - 1200mm x 7mm  M</t>
  </si>
  <si>
    <t>$ Sq Mt</t>
  </si>
  <si>
    <t>Subtotal Cost</t>
  </si>
  <si>
    <t>fm</t>
  </si>
  <si>
    <t>pm</t>
  </si>
  <si>
    <t>Loading</t>
  </si>
  <si>
    <t>Method</t>
  </si>
  <si>
    <r>
      <t xml:space="preserve">PVC Strip Colour 300mm x 2mm </t>
    </r>
    <r>
      <rPr>
        <sz val="9"/>
        <color indexed="10"/>
        <rFont val="Arial"/>
        <family val="2"/>
      </rPr>
      <t xml:space="preserve"> S</t>
    </r>
  </si>
  <si>
    <t>&lt;&lt;2&gt;&gt;</t>
  </si>
  <si>
    <t>Alum Rivet Steel Mand 5-8 PCW  S</t>
  </si>
  <si>
    <t>No</t>
  </si>
  <si>
    <t>s</t>
    <phoneticPr fontId="2"/>
  </si>
  <si>
    <r>
      <t xml:space="preserve">Slotted Brackets &amp; Plates 300  </t>
    </r>
    <r>
      <rPr>
        <sz val="9"/>
        <color indexed="10"/>
        <rFont val="Arial"/>
        <family val="2"/>
      </rPr>
      <t>M</t>
    </r>
  </si>
  <si>
    <t>****</t>
  </si>
  <si>
    <r>
      <t xml:space="preserve">PVC Strip Colour 150mm x 2mm  </t>
    </r>
    <r>
      <rPr>
        <sz val="9"/>
        <color indexed="10"/>
        <rFont val="Arial"/>
        <family val="2"/>
      </rPr>
      <t>M</t>
    </r>
  </si>
  <si>
    <t>PVC Sheet Std - 1200mm x 4mm   S</t>
  </si>
  <si>
    <t>to the correct hanger overlap</t>
  </si>
  <si>
    <t>Strip Added</t>
  </si>
  <si>
    <t>Headrail mm</t>
  </si>
  <si>
    <t>Total Number</t>
  </si>
  <si>
    <r>
      <t xml:space="preserve">Slotted Brackets &amp; Plates 300  </t>
    </r>
    <r>
      <rPr>
        <sz val="9"/>
        <color indexed="10"/>
        <rFont val="Arial"/>
        <family val="2"/>
      </rPr>
      <t>S</t>
    </r>
  </si>
  <si>
    <r>
      <t xml:space="preserve">PVC Strip Colour 300mm x 3mm  </t>
    </r>
    <r>
      <rPr>
        <sz val="9"/>
        <color indexed="10"/>
        <rFont val="Arial"/>
        <family val="2"/>
      </rPr>
      <t>S</t>
    </r>
  </si>
  <si>
    <t>PVCZ010420</t>
  </si>
  <si>
    <t>Labor Headrail SS Sheet</t>
  </si>
  <si>
    <t>OOOOO</t>
    <phoneticPr fontId="2"/>
  </si>
  <si>
    <t>Atten - OOOO</t>
    <phoneticPr fontId="2"/>
  </si>
  <si>
    <t>PVC Strips</t>
  </si>
  <si>
    <t>PVCZ010110</t>
  </si>
  <si>
    <t>Fork Lift Masts At Least 2400mm</t>
  </si>
  <si>
    <t>Total door width</t>
  </si>
  <si>
    <t>Total strip length</t>
  </si>
  <si>
    <t>Mt</t>
  </si>
  <si>
    <t>&lt;&lt;3&gt;&gt;</t>
  </si>
  <si>
    <t>&lt;&lt;4&gt;&gt;</t>
  </si>
  <si>
    <r>
      <t xml:space="preserve">PVC Strip Std - 300mm x 3mm  </t>
    </r>
    <r>
      <rPr>
        <sz val="9"/>
        <color indexed="10"/>
        <rFont val="Arial"/>
        <family val="2"/>
      </rPr>
      <t>S</t>
    </r>
  </si>
  <si>
    <r>
      <t xml:space="preserve">Galvinzed  </t>
    </r>
    <r>
      <rPr>
        <sz val="10"/>
        <color indexed="10"/>
        <rFont val="Arial"/>
        <family val="2"/>
      </rPr>
      <t>M</t>
    </r>
  </si>
  <si>
    <r>
      <t xml:space="preserve">Galvinzed  </t>
    </r>
    <r>
      <rPr>
        <sz val="10"/>
        <color indexed="10"/>
        <rFont val="Arial"/>
        <family val="2"/>
      </rPr>
      <t>S</t>
    </r>
  </si>
  <si>
    <t>Stainless Steel Brackets</t>
  </si>
  <si>
    <r>
      <t xml:space="preserve">PVC Strip Polar  200mm x 3mm  </t>
    </r>
    <r>
      <rPr>
        <sz val="9"/>
        <color indexed="10"/>
        <rFont val="Arial"/>
        <family val="2"/>
      </rPr>
      <t>S</t>
    </r>
  </si>
  <si>
    <t>Coil S</t>
  </si>
  <si>
    <t>c</t>
    <phoneticPr fontId="2"/>
  </si>
  <si>
    <t>p</t>
    <phoneticPr fontId="2"/>
  </si>
  <si>
    <t>days from the date on the correspondence</t>
  </si>
  <si>
    <t>Target - Manf Cost</t>
  </si>
  <si>
    <t>No Strips</t>
  </si>
  <si>
    <t>mm Height</t>
  </si>
  <si>
    <r>
      <t xml:space="preserve">PVC Strip Polar  150mm x 3mm  </t>
    </r>
    <r>
      <rPr>
        <sz val="9"/>
        <color indexed="10"/>
        <rFont val="Arial"/>
        <family val="2"/>
      </rPr>
      <t>M</t>
    </r>
  </si>
  <si>
    <t>wd</t>
    <phoneticPr fontId="2"/>
  </si>
  <si>
    <t>Strip Mt M</t>
  </si>
  <si>
    <t>WD = Whole Door    SO = Strips Only</t>
  </si>
  <si>
    <t>wd</t>
  </si>
  <si>
    <t>so</t>
  </si>
  <si>
    <r>
      <t xml:space="preserve">PVC Strip Colour 200mm x 2mm </t>
    </r>
    <r>
      <rPr>
        <sz val="9"/>
        <color indexed="10"/>
        <rFont val="Arial"/>
        <family val="2"/>
      </rPr>
      <t xml:space="preserve"> S</t>
    </r>
  </si>
  <si>
    <t>Result</t>
  </si>
  <si>
    <t>Cover mm</t>
  </si>
  <si>
    <t>Lenghtmm</t>
  </si>
  <si>
    <t>Round Up</t>
  </si>
  <si>
    <t>Dollar Per Met</t>
  </si>
  <si>
    <t>Price Per Hour</t>
  </si>
  <si>
    <r>
      <t xml:space="preserve">M6 Washer ZP  </t>
    </r>
    <r>
      <rPr>
        <sz val="9"/>
        <color indexed="10"/>
        <rFont val="Arial"/>
        <family val="2"/>
      </rPr>
      <t>M</t>
    </r>
  </si>
  <si>
    <r>
      <t xml:space="preserve">M6 Washer ZP  </t>
    </r>
    <r>
      <rPr>
        <sz val="9"/>
        <color indexed="10"/>
        <rFont val="Arial"/>
        <family val="2"/>
      </rPr>
      <t>S</t>
    </r>
  </si>
  <si>
    <r>
      <t xml:space="preserve">Staples  </t>
    </r>
    <r>
      <rPr>
        <sz val="9"/>
        <color indexed="10"/>
        <rFont val="Arial"/>
        <family val="2"/>
      </rPr>
      <t>M</t>
    </r>
  </si>
  <si>
    <t>Proposal</t>
  </si>
  <si>
    <t>Door Width</t>
  </si>
  <si>
    <t>PVC Strip Rib Pol 200mm x 2mm  S</t>
  </si>
  <si>
    <t>At Full</t>
  </si>
  <si>
    <t>Fax</t>
  </si>
  <si>
    <t>Price Per Item</t>
  </si>
  <si>
    <t>One Strip</t>
  </si>
  <si>
    <t>PVC Strip Rib Std 100mm x 2mm  M</t>
    <phoneticPr fontId="2"/>
  </si>
  <si>
    <t>Strip Mt</t>
  </si>
  <si>
    <t>to that actually used</t>
  </si>
  <si>
    <t xml:space="preserve">Adjust the Strip width </t>
  </si>
  <si>
    <t>Multpler</t>
  </si>
  <si>
    <t>x</t>
  </si>
  <si>
    <t>PVCZ010525</t>
  </si>
  <si>
    <t>This Sets The Margin  Ussually 80%</t>
  </si>
  <si>
    <t>PVHZ010110</t>
  </si>
  <si>
    <t>Proposal/installation is based on non a union site</t>
  </si>
  <si>
    <t>Adjust mm</t>
  </si>
  <si>
    <t>PVC Strip Door</t>
  </si>
  <si>
    <r>
      <t xml:space="preserve">PVC Strip Polar  150mm x 3mm  </t>
    </r>
    <r>
      <rPr>
        <sz val="9"/>
        <color indexed="10"/>
        <rFont val="Arial"/>
        <family val="2"/>
      </rPr>
      <t>S</t>
    </r>
  </si>
  <si>
    <t>PVHZ010135</t>
  </si>
  <si>
    <t>Strip overlap</t>
  </si>
  <si>
    <t>Slotted Brackets &amp; Plates 1200  M</t>
  </si>
  <si>
    <t>Alum Light</t>
  </si>
  <si>
    <t>Total Door</t>
  </si>
  <si>
    <t>Nom Strip</t>
  </si>
  <si>
    <r>
      <t xml:space="preserve">PVC Strip Colour 200mm x 2mm </t>
    </r>
    <r>
      <rPr>
        <sz val="9"/>
        <color indexed="10"/>
        <rFont val="Arial"/>
        <family val="2"/>
      </rPr>
      <t xml:space="preserve"> M</t>
    </r>
  </si>
  <si>
    <r>
      <t xml:space="preserve">Staples  </t>
    </r>
    <r>
      <rPr>
        <sz val="9"/>
        <color indexed="10"/>
        <rFont val="Arial"/>
        <family val="2"/>
      </rPr>
      <t>S</t>
    </r>
  </si>
  <si>
    <r>
      <t xml:space="preserve">Stainless Steel </t>
    </r>
    <r>
      <rPr>
        <sz val="10"/>
        <color indexed="10"/>
        <rFont val="Arial"/>
        <family val="2"/>
      </rPr>
      <t xml:space="preserve"> S</t>
    </r>
  </si>
  <si>
    <r>
      <t xml:space="preserve">Labor Sheet  </t>
    </r>
    <r>
      <rPr>
        <sz val="9"/>
        <color indexed="10"/>
        <rFont val="Arial"/>
        <family val="2"/>
      </rPr>
      <t>S</t>
    </r>
  </si>
  <si>
    <t>Varr</t>
  </si>
  <si>
    <t>Actual</t>
  </si>
  <si>
    <r>
      <t xml:space="preserve">PVC Strip Colour 300mm x 3mm  </t>
    </r>
    <r>
      <rPr>
        <sz val="9"/>
        <color indexed="10"/>
        <rFont val="Arial"/>
        <family val="2"/>
      </rPr>
      <t>M</t>
    </r>
  </si>
  <si>
    <t>Cost PVC strip</t>
  </si>
  <si>
    <t>Sq Meter</t>
  </si>
  <si>
    <t>Strip Profile MS</t>
  </si>
  <si>
    <t>Door</t>
  </si>
  <si>
    <t>Customer</t>
  </si>
  <si>
    <t>PVC Strip Rib Std 400mm x 4mm  M</t>
  </si>
  <si>
    <r>
      <t xml:space="preserve">Alum Light  </t>
    </r>
    <r>
      <rPr>
        <sz val="10"/>
        <color indexed="10"/>
        <rFont val="Arial"/>
        <family val="2"/>
      </rPr>
      <t>M</t>
    </r>
  </si>
  <si>
    <r>
      <t xml:space="preserve">Alum Light  </t>
    </r>
    <r>
      <rPr>
        <sz val="10"/>
        <color indexed="10"/>
        <rFont val="Arial"/>
        <family val="2"/>
      </rPr>
      <t>S</t>
    </r>
  </si>
  <si>
    <r>
      <t xml:space="preserve">Alum Ultra Light  </t>
    </r>
    <r>
      <rPr>
        <sz val="10"/>
        <color indexed="10"/>
        <rFont val="Arial"/>
        <family val="2"/>
      </rPr>
      <t>M</t>
    </r>
  </si>
  <si>
    <t>%</t>
  </si>
  <si>
    <t>Total PVC strip</t>
  </si>
  <si>
    <t>Sq Mt</t>
  </si>
  <si>
    <r>
      <t xml:space="preserve">PVC Strip Rib Pol 300mm x 4mm  </t>
    </r>
    <r>
      <rPr>
        <sz val="9"/>
        <color indexed="10"/>
        <rFont val="Arial"/>
        <family val="2"/>
      </rPr>
      <t>S</t>
    </r>
    <phoneticPr fontId="2"/>
  </si>
  <si>
    <t>s</t>
    <phoneticPr fontId="2"/>
  </si>
  <si>
    <t>PACZ010150</t>
  </si>
  <si>
    <t>PVHZ010105</t>
  </si>
  <si>
    <t>PVC Sheet Std - 1370mm x 2mm   S</t>
  </si>
  <si>
    <t>Head Rail Stainless Steel  360</t>
  </si>
  <si>
    <t>PVCZ010515</t>
  </si>
  <si>
    <t>Hanger Width M &amp; S</t>
  </si>
  <si>
    <t>Alum Rivet Steel Mand 5-8 PCW  M</t>
  </si>
  <si>
    <t>Description Of The Item</t>
  </si>
  <si>
    <t>Strip Width M &amp; S &amp; Number</t>
  </si>
  <si>
    <t>Units</t>
  </si>
  <si>
    <t>PVC Strip Rib Pol 200mm x 3mm  M</t>
    <phoneticPr fontId="2"/>
  </si>
  <si>
    <t>PVC Strip Rib Pol 200mm x 3mm  S</t>
    <phoneticPr fontId="2"/>
  </si>
  <si>
    <t>Strip Door Calculations</t>
  </si>
  <si>
    <r>
      <t xml:space="preserve">PVC Strip Std 100mm x 2mm  </t>
    </r>
    <r>
      <rPr>
        <sz val="9"/>
        <color indexed="10"/>
        <rFont val="Arial"/>
        <family val="2"/>
      </rPr>
      <t>M</t>
    </r>
  </si>
  <si>
    <t>PVCZ010105</t>
  </si>
  <si>
    <t>Proposal subject to the correct dimensions, the floor and door opening been level and plumb with an appropriate structure, hard and fixing points</t>
  </si>
  <si>
    <t>Slotted Brackets &amp; Plates 400  M</t>
  </si>
  <si>
    <t>Packaging</t>
  </si>
  <si>
    <r>
      <t xml:space="preserve">PVC Strip Std - 150mm x 3mm </t>
    </r>
    <r>
      <rPr>
        <sz val="9"/>
        <color indexed="10"/>
        <rFont val="Arial"/>
        <family val="2"/>
      </rPr>
      <t xml:space="preserve"> M</t>
    </r>
  </si>
  <si>
    <t>Satistics</t>
  </si>
  <si>
    <t>Retail Price</t>
  </si>
  <si>
    <t>Total Cost</t>
  </si>
  <si>
    <t>Overlap mm</t>
  </si>
  <si>
    <t>Cal</t>
  </si>
  <si>
    <t>gl</t>
  </si>
  <si>
    <t>PVCZ010305</t>
  </si>
  <si>
    <t>Installation Of PVC Strip Door</t>
  </si>
  <si>
    <t>PVC Sheet Std - 1370mm x 1mm   S</t>
  </si>
  <si>
    <r>
      <t xml:space="preserve">PVC Strip Polar - 100mm x 2mm  </t>
    </r>
    <r>
      <rPr>
        <sz val="9"/>
        <color indexed="10"/>
        <rFont val="Arial"/>
        <family val="2"/>
      </rPr>
      <t>M</t>
    </r>
  </si>
  <si>
    <r>
      <t xml:space="preserve">PVC Strip Polar  300mm x 3mm  </t>
    </r>
    <r>
      <rPr>
        <sz val="9"/>
        <color indexed="10"/>
        <rFont val="Arial"/>
        <family val="2"/>
      </rPr>
      <t>M</t>
    </r>
  </si>
  <si>
    <t>PVCZ010710</t>
  </si>
  <si>
    <t>Width</t>
  </si>
  <si>
    <r>
      <t xml:space="preserve">Labor Strips AL  </t>
    </r>
    <r>
      <rPr>
        <sz val="9"/>
        <color indexed="10"/>
        <rFont val="Arial"/>
        <family val="2"/>
      </rPr>
      <t>M</t>
    </r>
  </si>
  <si>
    <t>strips used on each hanger</t>
  </si>
  <si>
    <t>Cardboard Tube 1800mm</t>
  </si>
  <si>
    <t>Description</t>
  </si>
  <si>
    <t>PVC Sheet Std - 1200mm x 6mm   S</t>
  </si>
  <si>
    <t>&lt;&lt;1&gt;&gt;</t>
  </si>
  <si>
    <t>PVC Sheet Std - 1200mm x 2mm   S</t>
  </si>
  <si>
    <t>Projected</t>
  </si>
  <si>
    <t>I nventory</t>
  </si>
  <si>
    <t>Unit</t>
  </si>
  <si>
    <t>Total (Projt) Door</t>
  </si>
  <si>
    <t>Target Categories</t>
  </si>
  <si>
    <t>Bracket</t>
  </si>
  <si>
    <t>Proposal / Specification</t>
  </si>
  <si>
    <t>Full Part Material</t>
  </si>
  <si>
    <t>Strip Grade MS</t>
  </si>
  <si>
    <t>S = Std   P=Pol   SS=SStd  SP=SPol</t>
    <phoneticPr fontId="2"/>
  </si>
  <si>
    <t>PVC Sheet Std - 1200mm x 3mm   S</t>
  </si>
  <si>
    <t>PVC Sheet Std - 1200mm x 4mm  M</t>
  </si>
  <si>
    <t>Slotted Brackets &amp; Plates 1200  S</t>
  </si>
  <si>
    <t>PVHZ010125</t>
  </si>
  <si>
    <t xml:space="preserve"> Subtotal GST Calculation </t>
  </si>
  <si>
    <t>PVCZ010135</t>
  </si>
  <si>
    <t>PVC Sheet Std - 1200mm x 7mm   S</t>
  </si>
  <si>
    <t>PVC Sheet Std - 1200mm x 3mm  M</t>
  </si>
  <si>
    <t>Comparison Target To Actual</t>
  </si>
  <si>
    <t>Door width</t>
  </si>
  <si>
    <t>Inventory</t>
  </si>
  <si>
    <t>Length M</t>
  </si>
  <si>
    <t>as</t>
  </si>
  <si>
    <t>Pack</t>
  </si>
  <si>
    <r>
      <t xml:space="preserve">PVC Strip Std - 300mm x 3mm  </t>
    </r>
    <r>
      <rPr>
        <sz val="9"/>
        <color indexed="10"/>
        <rFont val="Arial"/>
        <family val="2"/>
      </rPr>
      <t>M</t>
    </r>
  </si>
  <si>
    <t>PVC Strip Reforced Std 300mm   M</t>
    <phoneticPr fontId="2"/>
  </si>
  <si>
    <t>Date -  ______________________  O/N - ______________</t>
  </si>
  <si>
    <t>Length of headrail</t>
  </si>
  <si>
    <t>Labor Headrail AL</t>
  </si>
  <si>
    <t>%of coil Used</t>
  </si>
  <si>
    <t>Roundup</t>
  </si>
  <si>
    <r>
      <t xml:space="preserve">PVC Strip Std - 150mm x 3mm </t>
    </r>
    <r>
      <rPr>
        <sz val="9"/>
        <color indexed="10"/>
        <rFont val="Arial"/>
        <family val="2"/>
      </rPr>
      <t xml:space="preserve"> S</t>
    </r>
  </si>
  <si>
    <t>Minuites</t>
  </si>
  <si>
    <t>Strip Type</t>
  </si>
  <si>
    <r>
      <t xml:space="preserve">Labor Strips SS  </t>
    </r>
    <r>
      <rPr>
        <sz val="9"/>
        <color indexed="10"/>
        <rFont val="Arial"/>
        <family val="2"/>
      </rPr>
      <t>M</t>
    </r>
  </si>
  <si>
    <t xml:space="preserve"> $ Sq Mt</t>
  </si>
  <si>
    <r>
      <t xml:space="preserve">Slotted Brackets &amp; Plates 150  </t>
    </r>
    <r>
      <rPr>
        <sz val="9"/>
        <color indexed="10"/>
        <rFont val="Arial"/>
        <family val="2"/>
      </rPr>
      <t xml:space="preserve">M </t>
    </r>
  </si>
  <si>
    <r>
      <t xml:space="preserve">Slotted Brackets &amp; Plates 150  </t>
    </r>
    <r>
      <rPr>
        <sz val="9"/>
        <color indexed="10"/>
        <rFont val="Arial"/>
        <family val="2"/>
      </rPr>
      <t>S</t>
    </r>
  </si>
  <si>
    <t>PVC Sheet Std - 1200mm x 2mm  M</t>
  </si>
  <si>
    <r>
      <t xml:space="preserve">PVC Strip Std - 200mm x 3mm  </t>
    </r>
    <r>
      <rPr>
        <sz val="9"/>
        <color indexed="10"/>
        <rFont val="Arial"/>
        <family val="2"/>
      </rPr>
      <t>S</t>
    </r>
  </si>
  <si>
    <r>
      <t xml:space="preserve">PVC Strip Std - 200mm x 4mm  </t>
    </r>
    <r>
      <rPr>
        <sz val="9"/>
        <color indexed="10"/>
        <rFont val="Arial"/>
        <family val="2"/>
      </rPr>
      <t>M</t>
    </r>
  </si>
  <si>
    <r>
      <t xml:space="preserve">PVC Strip Std - 200mm x 4mm  </t>
    </r>
    <r>
      <rPr>
        <sz val="9"/>
        <color indexed="10"/>
        <rFont val="Arial"/>
        <family val="2"/>
      </rPr>
      <t>S</t>
    </r>
  </si>
  <si>
    <r>
      <t xml:space="preserve">Labor Strips AU  </t>
    </r>
    <r>
      <rPr>
        <sz val="9"/>
        <color indexed="10"/>
        <rFont val="Arial"/>
        <family val="2"/>
      </rPr>
      <t>M</t>
    </r>
  </si>
  <si>
    <t>Strip Mt S</t>
  </si>
  <si>
    <t>Coil M</t>
  </si>
  <si>
    <t>Num Strips</t>
  </si>
  <si>
    <r>
      <t xml:space="preserve">PVC Strip Colour 100mm x 1.6mm  </t>
    </r>
    <r>
      <rPr>
        <sz val="9"/>
        <color indexed="10"/>
        <rFont val="Arial"/>
        <family val="2"/>
      </rPr>
      <t>M</t>
    </r>
  </si>
  <si>
    <r>
      <t xml:space="preserve">PVC Strip Colour 100mm x 1.6mm  </t>
    </r>
    <r>
      <rPr>
        <sz val="9"/>
        <color indexed="10"/>
        <rFont val="Arial"/>
        <family val="2"/>
      </rPr>
      <t>S</t>
    </r>
  </si>
  <si>
    <t>ss</t>
  </si>
  <si>
    <t xml:space="preserve">Adjust the Hanger width </t>
  </si>
  <si>
    <t>Retail Price (Estimated RRP)</t>
  </si>
  <si>
    <t>Target</t>
  </si>
  <si>
    <t>Dollars</t>
  </si>
  <si>
    <t>Check &amp; Cal</t>
  </si>
  <si>
    <t>Slotted Brackets &amp; Plates 1370  M</t>
  </si>
  <si>
    <t>Wholesale Price ( Markup Margin)</t>
  </si>
  <si>
    <t>Labour</t>
  </si>
  <si>
    <t>al</t>
  </si>
  <si>
    <r>
      <t xml:space="preserve">Nuts M6 ZP  </t>
    </r>
    <r>
      <rPr>
        <sz val="9"/>
        <color indexed="10"/>
        <rFont val="Arial"/>
        <family val="2"/>
      </rPr>
      <t>M</t>
    </r>
  </si>
  <si>
    <t>The Remaining</t>
  </si>
  <si>
    <t>Strips At Full</t>
  </si>
  <si>
    <t>Width -50mm</t>
  </si>
  <si>
    <t>Head Rail Galvinized  360</t>
  </si>
  <si>
    <t>Galvinzed Brackets</t>
  </si>
  <si>
    <t>Fittings Galvinized Headrial</t>
  </si>
  <si>
    <t>Divide</t>
  </si>
  <si>
    <t>Hours</t>
  </si>
  <si>
    <t>Per Strip</t>
  </si>
  <si>
    <t>Width mm</t>
  </si>
  <si>
    <t>Cost $</t>
  </si>
  <si>
    <t>Address</t>
  </si>
  <si>
    <t>PVC Strip Rib Pol 150mm x 2mm  S</t>
  </si>
  <si>
    <t>PVC Sheet Std - 1370mm x 1mm  M</t>
  </si>
  <si>
    <t>Project</t>
  </si>
  <si>
    <t>Stripmm</t>
  </si>
  <si>
    <r>
      <t xml:space="preserve">PVC Strip Std - 200mm x 2mm  </t>
    </r>
    <r>
      <rPr>
        <sz val="9"/>
        <color indexed="10"/>
        <rFont val="Arial"/>
        <family val="2"/>
      </rPr>
      <t>S</t>
    </r>
  </si>
  <si>
    <t>Door Height</t>
  </si>
  <si>
    <t>Ph</t>
  </si>
  <si>
    <t>PVC Strip Rib Pol 100mm x 2mm  M</t>
    <phoneticPr fontId="2"/>
  </si>
  <si>
    <t>PVC Strip Rib Pol 100mm x 2mm  S</t>
    <phoneticPr fontId="2"/>
  </si>
  <si>
    <t>PVC Strip Rib Std 200mm x 3mm  M</t>
    <phoneticPr fontId="2"/>
  </si>
  <si>
    <t>PVC Strip Rib Std 300mm x 4mm  S</t>
    <phoneticPr fontId="2"/>
  </si>
  <si>
    <t>PVCZ010415</t>
  </si>
  <si>
    <t>mm</t>
  </si>
  <si>
    <t>Strips or hangers</t>
  </si>
  <si>
    <t>Weight</t>
  </si>
  <si>
    <t>KG</t>
  </si>
  <si>
    <t>P=Plain R=Rib C=Col  S-Sheet</t>
  </si>
  <si>
    <t>mm Thick</t>
  </si>
  <si>
    <t>Ambient</t>
  </si>
  <si>
    <t>Labor Headrail SS</t>
  </si>
  <si>
    <t>Labor Headrail AH</t>
  </si>
  <si>
    <t>Off</t>
  </si>
  <si>
    <t>PVCZ010120</t>
  </si>
  <si>
    <t>PVCZ010125</t>
  </si>
  <si>
    <r>
      <t xml:space="preserve">Alum Rivet Steel Mand 5-8 PCW  </t>
    </r>
    <r>
      <rPr>
        <sz val="9"/>
        <color indexed="10"/>
        <rFont val="Arial"/>
        <family val="2"/>
      </rPr>
      <t>M</t>
    </r>
  </si>
  <si>
    <r>
      <t xml:space="preserve">Sheet  </t>
    </r>
    <r>
      <rPr>
        <sz val="10"/>
        <color indexed="10"/>
        <rFont val="Arial"/>
        <family val="2"/>
      </rPr>
      <t>S</t>
    </r>
  </si>
  <si>
    <t>Freezer Try And Mount</t>
  </si>
  <si>
    <t>Cost And Selling Price</t>
  </si>
  <si>
    <t>Target - Retail Price</t>
  </si>
  <si>
    <t>PVC Strip Standard</t>
  </si>
  <si>
    <r>
      <t xml:space="preserve">Labor Sheet  </t>
    </r>
    <r>
      <rPr>
        <sz val="9"/>
        <color indexed="10"/>
        <rFont val="Arial"/>
        <family val="2"/>
      </rPr>
      <t>M</t>
    </r>
  </si>
  <si>
    <t>Strip Door Curtain</t>
  </si>
  <si>
    <t>gl</t>
    <phoneticPr fontId="2"/>
  </si>
  <si>
    <t>Cover  mm</t>
  </si>
  <si>
    <t xml:space="preserve">Adjust to how many </t>
  </si>
  <si>
    <t>Total Manfactured Cost</t>
  </si>
  <si>
    <t>Procj Strip</t>
  </si>
  <si>
    <t>Auto GP</t>
  </si>
  <si>
    <t>PVC Sheet Std - 1370mm x 2mm  M</t>
  </si>
  <si>
    <t>Headrail &amp; Hangers Type</t>
  </si>
  <si>
    <t>Whole Strips Only</t>
  </si>
  <si>
    <t>Head Rail Aluminium  6500mm</t>
  </si>
  <si>
    <t>PVCZ010520</t>
  </si>
  <si>
    <t>Labour Strip Calculator</t>
  </si>
  <si>
    <t>Mimuites</t>
  </si>
  <si>
    <t>Galvinized</t>
  </si>
  <si>
    <r>
      <t xml:space="preserve">PVC Strip Polar - 150mm x 2mm </t>
    </r>
    <r>
      <rPr>
        <sz val="9"/>
        <color indexed="10"/>
        <rFont val="Arial"/>
        <family val="2"/>
      </rPr>
      <t xml:space="preserve"> M</t>
    </r>
  </si>
  <si>
    <r>
      <t xml:space="preserve">PVC Strip Std 100mm x 1.6mm </t>
    </r>
    <r>
      <rPr>
        <sz val="9"/>
        <color indexed="10"/>
        <rFont val="Arial"/>
        <family val="2"/>
      </rPr>
      <t xml:space="preserve"> S</t>
    </r>
  </si>
  <si>
    <t>Clearance</t>
  </si>
  <si>
    <r>
      <t xml:space="preserve">PVC Strip Rib Pol 300mm x 4mm  </t>
    </r>
    <r>
      <rPr>
        <sz val="9"/>
        <color indexed="10"/>
        <rFont val="Arial"/>
        <family val="2"/>
      </rPr>
      <t>M</t>
    </r>
    <phoneticPr fontId="2"/>
  </si>
  <si>
    <t xml:space="preserve">PVC Strip Door </t>
  </si>
  <si>
    <t>Strip Door Cost Estimator</t>
  </si>
  <si>
    <t>Labour Calculations</t>
  </si>
  <si>
    <t>Setup Criteria</t>
  </si>
  <si>
    <t>Total Of Add Ons</t>
  </si>
  <si>
    <t>Mark Up</t>
  </si>
  <si>
    <t>PVCZ010405</t>
  </si>
  <si>
    <t>PVCZ010410</t>
  </si>
  <si>
    <t>In M</t>
  </si>
  <si>
    <t>1.2  1.6  2.0  3.0  4.0  5.0</t>
  </si>
  <si>
    <t>Unit Costing</t>
  </si>
  <si>
    <t>Strip</t>
  </si>
  <si>
    <t>Code</t>
  </si>
  <si>
    <t>Target - W/S Price</t>
  </si>
  <si>
    <t>Labor Headrail AU</t>
  </si>
  <si>
    <t>Cost Calculations</t>
  </si>
  <si>
    <r>
      <t xml:space="preserve">PVC Strip Std 100mm x 2mm  </t>
    </r>
    <r>
      <rPr>
        <sz val="9"/>
        <color indexed="10"/>
        <rFont val="Arial"/>
        <family val="2"/>
      </rPr>
      <t>S</t>
    </r>
  </si>
  <si>
    <r>
      <t xml:space="preserve">PVC Strip Std - 150mm x 2mm  </t>
    </r>
    <r>
      <rPr>
        <sz val="9"/>
        <color indexed="10"/>
        <rFont val="Arial"/>
        <family val="2"/>
      </rPr>
      <t>M</t>
    </r>
  </si>
  <si>
    <t>r</t>
  </si>
  <si>
    <t>c</t>
  </si>
  <si>
    <t>s</t>
  </si>
  <si>
    <r>
      <t xml:space="preserve">PVC Strip Colour 150mm x 2mm  </t>
    </r>
    <r>
      <rPr>
        <sz val="9"/>
        <color indexed="10"/>
        <rFont val="Arial"/>
        <family val="2"/>
      </rPr>
      <t>S</t>
    </r>
  </si>
  <si>
    <t>PVC Strip Rib Std 300mm x 4mm  M</t>
    <phoneticPr fontId="2"/>
  </si>
  <si>
    <t>33  66  0  10  20  25  50  100</t>
  </si>
  <si>
    <t>LABZ010110</t>
  </si>
  <si>
    <t>PVCZ010310</t>
  </si>
  <si>
    <t>PVHZ010120</t>
  </si>
  <si>
    <r>
      <t xml:space="preserve">PVC Strip Colour 200mm x 3mm </t>
    </r>
    <r>
      <rPr>
        <sz val="9"/>
        <color indexed="10"/>
        <rFont val="Arial"/>
        <family val="2"/>
      </rPr>
      <t xml:space="preserve"> M</t>
    </r>
  </si>
  <si>
    <r>
      <t xml:space="preserve">PVC Strip Colour 200mm x 3mm </t>
    </r>
    <r>
      <rPr>
        <sz val="9"/>
        <color indexed="10"/>
        <rFont val="Arial"/>
        <family val="2"/>
      </rPr>
      <t xml:space="preserve"> S</t>
    </r>
  </si>
  <si>
    <r>
      <t xml:space="preserve">Slotted Brackets &amp; Plates 200  </t>
    </r>
    <r>
      <rPr>
        <sz val="9"/>
        <color indexed="10"/>
        <rFont val="Arial"/>
        <family val="2"/>
      </rPr>
      <t>M</t>
    </r>
  </si>
  <si>
    <t>Per Headrail</t>
  </si>
  <si>
    <t>By 60 Minuites</t>
  </si>
  <si>
    <t>Ribbed Surcharge  M</t>
  </si>
  <si>
    <t>12 inches = 305mm</t>
  </si>
  <si>
    <t>PVC Strip Rib Std 150mm x 2mm  M</t>
  </si>
  <si>
    <t>Proj Strip</t>
  </si>
  <si>
    <t>Add Ons</t>
  </si>
  <si>
    <t>PVC Sheet</t>
  </si>
  <si>
    <t>Waste %</t>
  </si>
  <si>
    <t>Fact 22 A Humeside Dr</t>
  </si>
  <si>
    <t>Cambellfield Victoria 3061</t>
  </si>
  <si>
    <t>Ph  03 9357 5858</t>
  </si>
  <si>
    <t>Proposal valid for</t>
  </si>
  <si>
    <t>6.0  7.0</t>
  </si>
  <si>
    <t>Labour Headrail Calculator</t>
  </si>
  <si>
    <t>PVC Strip</t>
  </si>
  <si>
    <r>
      <t xml:space="preserve">PVC Strip Polar  300mm x 5mm  </t>
    </r>
    <r>
      <rPr>
        <sz val="9"/>
        <color indexed="10"/>
        <rFont val="Arial"/>
        <family val="2"/>
      </rPr>
      <t>M</t>
    </r>
  </si>
  <si>
    <t>PVC Strip Rib Std 200mm x 2mm  M</t>
  </si>
  <si>
    <t>PVC Strip Rib Std 200mm x 2mm  S</t>
  </si>
  <si>
    <t>PVC Strip Rib Std 300mm x 3mm  M</t>
  </si>
  <si>
    <t>PVC Strip Rib Std 300mm x 3mm  S</t>
  </si>
  <si>
    <r>
      <t xml:space="preserve">Slotted Brackets &amp; Plates 100  </t>
    </r>
    <r>
      <rPr>
        <sz val="9"/>
        <color indexed="10"/>
        <rFont val="Arial"/>
        <family val="2"/>
      </rPr>
      <t>S</t>
    </r>
  </si>
  <si>
    <t>PVC Strip Rib Std 400mm x 4mm  S</t>
  </si>
  <si>
    <t>Atten - OOOOOO</t>
    <phoneticPr fontId="2"/>
  </si>
  <si>
    <t>PVCZ010115</t>
  </si>
  <si>
    <t>Freight</t>
  </si>
  <si>
    <r>
      <t xml:space="preserve">PVC Strip Std - 200mm x 2mm  </t>
    </r>
    <r>
      <rPr>
        <sz val="9"/>
        <color indexed="10"/>
        <rFont val="Arial"/>
        <family val="2"/>
      </rPr>
      <t>M</t>
    </r>
  </si>
  <si>
    <t>Door height</t>
  </si>
  <si>
    <t>PVCZ010505</t>
  </si>
  <si>
    <t>Head mm</t>
  </si>
  <si>
    <t>Installation Of PVC Strip Door/s</t>
  </si>
  <si>
    <t>PVC Strip Rib Std 150mm x 2mm  S</t>
  </si>
  <si>
    <t>PVC Strip Rib Std 100mm x 2mm  S</t>
    <phoneticPr fontId="2"/>
  </si>
  <si>
    <t>HDWZ010905</t>
  </si>
  <si>
    <t>Total</t>
  </si>
  <si>
    <t>PVC Sheet Std - 1200mm x 5mm  M</t>
  </si>
  <si>
    <t>PVC Sheet Std - 1200mm x 5mm   S</t>
  </si>
  <si>
    <r>
      <t>Slotted Brackets &amp; Plates 100</t>
    </r>
    <r>
      <rPr>
        <sz val="9"/>
        <color indexed="10"/>
        <rFont val="Arial"/>
        <family val="2"/>
      </rPr>
      <t xml:space="preserve">  M</t>
    </r>
  </si>
  <si>
    <t>PVCZ010705</t>
  </si>
  <si>
    <t>100 150 200 300 400 1200 1370</t>
  </si>
  <si>
    <t>Fittings Stainless Steel Headrial</t>
  </si>
  <si>
    <r>
      <t xml:space="preserve">PVC Strip Std - 200mm x 3mm  </t>
    </r>
    <r>
      <rPr>
        <sz val="9"/>
        <color indexed="10"/>
        <rFont val="Arial"/>
        <family val="2"/>
      </rPr>
      <t>M</t>
    </r>
  </si>
  <si>
    <t>Slotted Brackets &amp; Plates 1370  S</t>
  </si>
  <si>
    <t>Div1000</t>
  </si>
  <si>
    <t>s</t>
    <phoneticPr fontId="2"/>
  </si>
  <si>
    <t>p</t>
    <phoneticPr fontId="2"/>
  </si>
  <si>
    <t>r</t>
    <phoneticPr fontId="2"/>
  </si>
  <si>
    <t>s</t>
    <phoneticPr fontId="2"/>
  </si>
  <si>
    <t>sf</t>
    <phoneticPr fontId="2"/>
  </si>
  <si>
    <t>r</t>
    <phoneticPr fontId="2"/>
  </si>
  <si>
    <t>p</t>
    <phoneticPr fontId="2"/>
  </si>
  <si>
    <t>sf</t>
    <phoneticPr fontId="2"/>
  </si>
  <si>
    <t>c</t>
    <phoneticPr fontId="2"/>
  </si>
  <si>
    <t>pf</t>
    <phoneticPr fontId="2"/>
  </si>
  <si>
    <t>wd</t>
    <phoneticPr fontId="2"/>
  </si>
  <si>
    <t>ss</t>
    <phoneticPr fontId="2"/>
  </si>
  <si>
    <t>wd</t>
    <phoneticPr fontId="2"/>
  </si>
  <si>
    <t>gl</t>
    <phoneticPr fontId="2"/>
  </si>
  <si>
    <t>al</t>
    <phoneticPr fontId="2"/>
  </si>
  <si>
    <t>as</t>
    <phoneticPr fontId="2"/>
  </si>
  <si>
    <t>gl</t>
    <phoneticPr fontId="2"/>
  </si>
  <si>
    <t>ss</t>
    <phoneticPr fontId="2"/>
  </si>
  <si>
    <r>
      <t xml:space="preserve">PVC Strip Std - 150mm x 2mm  </t>
    </r>
    <r>
      <rPr>
        <sz val="9"/>
        <color indexed="10"/>
        <rFont val="Arial"/>
        <family val="2"/>
      </rPr>
      <t>S</t>
    </r>
  </si>
  <si>
    <r>
      <t xml:space="preserve">Labor Strips AL  </t>
    </r>
    <r>
      <rPr>
        <sz val="9"/>
        <color indexed="10"/>
        <rFont val="Arial"/>
        <family val="2"/>
      </rPr>
      <t>S</t>
    </r>
  </si>
  <si>
    <t>Strip Thickness M &amp; S</t>
  </si>
  <si>
    <t>Hanger/Strip Overlap M &amp; S</t>
  </si>
  <si>
    <t>PVHZ010115</t>
  </si>
  <si>
    <t>Fittings Aluminium Light Headrial</t>
  </si>
  <si>
    <t>Stainless Steel</t>
  </si>
  <si>
    <t>On</t>
  </si>
  <si>
    <t>PVC Strip Polar</t>
  </si>
  <si>
    <t>SS=Stainless Steel    GL=Galvin    AL=Alum Light      AS=Alum Shop Front</t>
  </si>
  <si>
    <t>Ribbed Surcharge  S</t>
  </si>
  <si>
    <t>Headrail</t>
  </si>
  <si>
    <t>ST</t>
  </si>
  <si>
    <t>Strips per hanger</t>
  </si>
  <si>
    <t>Subtotal</t>
  </si>
  <si>
    <t xml:space="preserve">Plastic Wood </t>
  </si>
  <si>
    <r>
      <t xml:space="preserve">Stainless Steel  </t>
    </r>
    <r>
      <rPr>
        <sz val="10"/>
        <color indexed="10"/>
        <rFont val="Arial"/>
        <family val="2"/>
      </rPr>
      <t>M</t>
    </r>
  </si>
  <si>
    <t>PVHZ010130</t>
  </si>
  <si>
    <t>HDWZ010405</t>
  </si>
  <si>
    <r>
      <t xml:space="preserve">PVC Strip Polar  200mm x 2mm </t>
    </r>
    <r>
      <rPr>
        <sz val="9"/>
        <color indexed="10"/>
        <rFont val="Arial"/>
        <family val="2"/>
      </rPr>
      <t xml:space="preserve"> M</t>
    </r>
  </si>
  <si>
    <r>
      <t xml:space="preserve">PVC Strip Polar  200mm x 2mm </t>
    </r>
    <r>
      <rPr>
        <sz val="9"/>
        <color indexed="10"/>
        <rFont val="Arial"/>
        <family val="2"/>
      </rPr>
      <t xml:space="preserve"> S</t>
    </r>
  </si>
  <si>
    <t>Ref No</t>
    <phoneticPr fontId="2"/>
  </si>
  <si>
    <t>Coil Length</t>
  </si>
  <si>
    <t>PVC Strip Rib Pol 150mm x 2mm  M</t>
    <phoneticPr fontId="2"/>
  </si>
  <si>
    <t>sf</t>
    <phoneticPr fontId="2"/>
  </si>
  <si>
    <t>pf</t>
    <phoneticPr fontId="2"/>
  </si>
  <si>
    <r>
      <t xml:space="preserve">Labor Strips SS  </t>
    </r>
    <r>
      <rPr>
        <sz val="9"/>
        <color indexed="10"/>
        <rFont val="Arial"/>
        <family val="2"/>
      </rPr>
      <t>S</t>
    </r>
  </si>
  <si>
    <r>
      <t xml:space="preserve">Labor Strips AH  </t>
    </r>
    <r>
      <rPr>
        <sz val="9"/>
        <color indexed="10"/>
        <rFont val="Arial"/>
        <family val="2"/>
      </rPr>
      <t>M</t>
    </r>
  </si>
  <si>
    <r>
      <t xml:space="preserve">Labor Strips AH  </t>
    </r>
    <r>
      <rPr>
        <sz val="9"/>
        <color indexed="10"/>
        <rFont val="Arial"/>
        <family val="2"/>
      </rPr>
      <t>S</t>
    </r>
  </si>
  <si>
    <t>Max Strip</t>
  </si>
  <si>
    <t>PVCZ010130</t>
  </si>
  <si>
    <t>Install/Freight</t>
  </si>
  <si>
    <t>mm Width</t>
  </si>
  <si>
    <r>
      <t xml:space="preserve">PVC Strip Polar  200mm x 3mm  </t>
    </r>
    <r>
      <rPr>
        <sz val="9"/>
        <color indexed="10"/>
        <rFont val="Arial"/>
        <family val="2"/>
      </rPr>
      <t>M</t>
    </r>
  </si>
  <si>
    <t>Ribbed Strip Surcharge  M</t>
  </si>
  <si>
    <t>Length mm</t>
  </si>
  <si>
    <r>
      <t xml:space="preserve">PVC Strip Colour 300mm x 2mm </t>
    </r>
    <r>
      <rPr>
        <sz val="9"/>
        <color indexed="10"/>
        <rFont val="Arial"/>
        <family val="2"/>
      </rPr>
      <t xml:space="preserve"> M</t>
    </r>
  </si>
  <si>
    <t>Strips</t>
  </si>
  <si>
    <t>Number Of</t>
  </si>
  <si>
    <r>
      <t xml:space="preserve">Alum Ultra Light  </t>
    </r>
    <r>
      <rPr>
        <sz val="10"/>
        <color indexed="10"/>
        <rFont val="Arial"/>
        <family val="2"/>
      </rPr>
      <t>S</t>
    </r>
  </si>
  <si>
    <r>
      <t xml:space="preserve">Sheet  </t>
    </r>
    <r>
      <rPr>
        <sz val="10"/>
        <color indexed="10"/>
        <rFont val="Arial"/>
        <family val="2"/>
      </rPr>
      <t>M</t>
    </r>
  </si>
  <si>
    <r>
      <t xml:space="preserve">Nuts M6 ZP  </t>
    </r>
    <r>
      <rPr>
        <sz val="9"/>
        <color indexed="10"/>
        <rFont val="Arial"/>
        <family val="2"/>
      </rPr>
      <t>S</t>
    </r>
  </si>
  <si>
    <r>
      <t xml:space="preserve">Bolts M6 x 15 ZP  </t>
    </r>
    <r>
      <rPr>
        <sz val="9"/>
        <color indexed="10"/>
        <rFont val="Arial"/>
        <family val="2"/>
      </rPr>
      <t>M</t>
    </r>
  </si>
  <si>
    <r>
      <t xml:space="preserve">Bolts M6 x 15 ZP  </t>
    </r>
    <r>
      <rPr>
        <sz val="9"/>
        <color indexed="10"/>
        <rFont val="Arial"/>
        <family val="2"/>
      </rPr>
      <t>S</t>
    </r>
  </si>
  <si>
    <t xml:space="preserve">Volume Discount (Trading Terms) </t>
  </si>
  <si>
    <t>Dollar Per Item</t>
  </si>
  <si>
    <t>Number</t>
  </si>
  <si>
    <t>accounts@nbeaustralia.com.au</t>
  </si>
  <si>
    <t>Acc Name  NBE AUSTRALIA</t>
  </si>
  <si>
    <t>BSB  013 525  Acc  3473 93755</t>
  </si>
  <si>
    <t>ABN  17 007 048 008 GST Registered</t>
  </si>
  <si>
    <t>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</si>
</sst>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0.0"/>
    <numFmt numFmtId="167" formatCode="0.000"/>
    <numFmt numFmtId="168" formatCode="dd/mm/yy;@"/>
  </numFmts>
  <fonts count="59">
    <font>
      <sz val="9"/>
      <name val="Geneva"/>
    </font>
    <font>
      <sz val="9"/>
      <name val="Geneva"/>
      <family val="2"/>
    </font>
    <font>
      <sz val="8"/>
      <name val="Geneva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12"/>
      <name val="Arial"/>
      <family val="2"/>
    </font>
    <font>
      <sz val="9"/>
      <color indexed="10"/>
      <name val="Arial"/>
      <family val="2"/>
    </font>
    <font>
      <b/>
      <sz val="20"/>
      <color indexed="8"/>
      <name val="Arial"/>
      <family val="2"/>
    </font>
    <font>
      <b/>
      <sz val="22"/>
      <color indexed="8"/>
      <name val="Arial"/>
      <family val="2"/>
    </font>
    <font>
      <sz val="22"/>
      <color indexed="8"/>
      <name val="Arial"/>
      <family val="2"/>
    </font>
    <font>
      <sz val="9"/>
      <color indexed="14"/>
      <name val="Arial"/>
      <family val="2"/>
    </font>
    <font>
      <sz val="10"/>
      <color indexed="12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i/>
      <sz val="9"/>
      <color indexed="17"/>
      <name val="Arial"/>
      <family val="2"/>
    </font>
    <font>
      <sz val="9"/>
      <color indexed="17"/>
      <name val="Arial"/>
      <family val="2"/>
    </font>
    <font>
      <sz val="10"/>
      <color indexed="8"/>
      <name val="Arial"/>
      <family val="2"/>
    </font>
    <font>
      <i/>
      <sz val="9"/>
      <color indexed="10"/>
      <name val="Arial"/>
      <family val="2"/>
    </font>
    <font>
      <sz val="10"/>
      <color indexed="17"/>
      <name val="Arial"/>
      <family val="2"/>
    </font>
    <font>
      <sz val="10"/>
      <color indexed="10"/>
      <name val="Arial"/>
      <family val="2"/>
    </font>
    <font>
      <sz val="10"/>
      <color indexed="14"/>
      <name val="Arial"/>
      <family val="2"/>
    </font>
    <font>
      <sz val="8"/>
      <color indexed="23"/>
      <name val="Arial"/>
      <family val="2"/>
    </font>
    <font>
      <sz val="9"/>
      <color indexed="23"/>
      <name val="Arial"/>
      <family val="2"/>
    </font>
    <font>
      <sz val="8"/>
      <color indexed="8"/>
      <name val="Arial"/>
      <family val="2"/>
    </font>
    <font>
      <i/>
      <sz val="8"/>
      <color indexed="23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sz val="10"/>
      <color indexed="23"/>
      <name val="Arial"/>
      <family val="2"/>
    </font>
    <font>
      <sz val="14"/>
      <color indexed="10"/>
      <name val="Arial"/>
      <family val="2"/>
    </font>
    <font>
      <sz val="10"/>
      <color indexed="62"/>
      <name val="Arial"/>
      <family val="2"/>
    </font>
    <font>
      <i/>
      <sz val="9"/>
      <color indexed="8"/>
      <name val="Arial"/>
      <family val="2"/>
    </font>
    <font>
      <sz val="11"/>
      <color indexed="8"/>
      <name val="Arial"/>
      <family val="2"/>
    </font>
    <font>
      <sz val="9"/>
      <color indexed="9"/>
      <name val="Arial"/>
      <family val="2"/>
    </font>
    <font>
      <sz val="11"/>
      <name val="Arial"/>
      <family val="2"/>
    </font>
    <font>
      <b/>
      <sz val="10"/>
      <color indexed="12"/>
      <name val="Arial"/>
      <family val="2"/>
    </font>
    <font>
      <sz val="8"/>
      <color indexed="10"/>
      <name val="Arial"/>
      <family val="2"/>
    </font>
    <font>
      <i/>
      <sz val="9"/>
      <color indexed="12"/>
      <name val="Arial"/>
      <family val="2"/>
    </font>
    <font>
      <b/>
      <sz val="20"/>
      <color indexed="8"/>
      <name val="Skia"/>
    </font>
    <font>
      <sz val="12"/>
      <color indexed="62"/>
      <name val="Arial"/>
      <family val="2"/>
    </font>
    <font>
      <sz val="12"/>
      <color indexed="10"/>
      <name val="Arial"/>
      <family val="2"/>
    </font>
    <font>
      <b/>
      <sz val="16"/>
      <color indexed="8"/>
      <name val="Arial"/>
      <family val="2"/>
    </font>
    <font>
      <b/>
      <sz val="8"/>
      <color indexed="23"/>
      <name val="Arial"/>
      <family val="2"/>
    </font>
    <font>
      <b/>
      <sz val="9"/>
      <color indexed="10"/>
      <name val="Arial"/>
      <family val="2"/>
    </font>
    <font>
      <sz val="8"/>
      <color indexed="12"/>
      <name val="Arial"/>
      <family val="2"/>
    </font>
    <font>
      <sz val="9"/>
      <color indexed="62"/>
      <name val="Arial"/>
      <family val="2"/>
    </font>
    <font>
      <i/>
      <sz val="6"/>
      <name val="Arial"/>
      <family val="2"/>
    </font>
    <font>
      <i/>
      <sz val="6"/>
      <color indexed="8"/>
      <name val="Arial"/>
      <family val="2"/>
    </font>
    <font>
      <sz val="6"/>
      <color indexed="8"/>
      <name val="Arial"/>
      <family val="2"/>
    </font>
    <font>
      <sz val="6"/>
      <color indexed="23"/>
      <name val="Arial"/>
      <family val="2"/>
    </font>
    <font>
      <sz val="9"/>
      <color indexed="46"/>
      <name val="Arial"/>
      <family val="2"/>
    </font>
    <font>
      <b/>
      <sz val="8"/>
      <color indexed="17"/>
      <name val="Arial"/>
      <family val="2"/>
    </font>
    <font>
      <sz val="8"/>
      <color indexed="17"/>
      <name val="Arial"/>
      <family val="2"/>
    </font>
    <font>
      <i/>
      <sz val="8"/>
      <color indexed="17"/>
      <name val="Arial"/>
      <family val="2"/>
    </font>
    <font>
      <sz val="10"/>
      <color rgb="FF000000"/>
      <name val="Helvetica"/>
      <family val="2"/>
    </font>
    <font>
      <sz val="10"/>
      <color rgb="FF0433FF"/>
      <name val="Helvetica"/>
      <family val="2"/>
    </font>
    <font>
      <sz val="9"/>
      <color rgb="FF0433FF"/>
      <name val="Helvetica"/>
      <family val="2"/>
    </font>
    <font>
      <sz val="8"/>
      <name val="Arial"/>
      <family val="2"/>
    </font>
    <font>
      <sz val="9"/>
      <name val="Helvetica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62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14" fontId="5" fillId="2" borderId="0" xfId="0" applyNumberFormat="1" applyFont="1" applyFill="1" applyAlignment="1">
      <alignment horizontal="center"/>
    </xf>
    <xf numFmtId="2" fontId="3" fillId="2" borderId="0" xfId="0" applyNumberFormat="1" applyFont="1" applyFill="1"/>
    <xf numFmtId="0" fontId="3" fillId="0" borderId="0" xfId="0" applyFont="1"/>
    <xf numFmtId="2" fontId="5" fillId="2" borderId="0" xfId="0" applyNumberFormat="1" applyFont="1" applyFill="1" applyAlignment="1">
      <alignment horizontal="center"/>
    </xf>
    <xf numFmtId="0" fontId="6" fillId="2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2" borderId="0" xfId="0" applyFont="1" applyFill="1"/>
    <xf numFmtId="0" fontId="5" fillId="2" borderId="0" xfId="0" applyFont="1" applyFill="1" applyAlignment="1">
      <alignment horizontal="center"/>
    </xf>
    <xf numFmtId="2" fontId="5" fillId="2" borderId="0" xfId="0" applyNumberFormat="1" applyFont="1" applyFill="1" applyAlignment="1">
      <alignment horizontal="right"/>
    </xf>
    <xf numFmtId="2" fontId="3" fillId="2" borderId="0" xfId="0" applyNumberFormat="1" applyFont="1" applyFill="1" applyAlignment="1">
      <alignment horizontal="right"/>
    </xf>
    <xf numFmtId="0" fontId="11" fillId="2" borderId="0" xfId="0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center"/>
    </xf>
    <xf numFmtId="2" fontId="13" fillId="3" borderId="0" xfId="0" applyNumberFormat="1" applyFont="1" applyFill="1"/>
    <xf numFmtId="0" fontId="14" fillId="2" borderId="0" xfId="0" applyFont="1" applyFill="1" applyAlignment="1">
      <alignment horizontal="right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2" fontId="15" fillId="2" borderId="0" xfId="0" applyNumberFormat="1" applyFont="1" applyFill="1"/>
    <xf numFmtId="0" fontId="16" fillId="0" borderId="0" xfId="0" applyFont="1"/>
    <xf numFmtId="0" fontId="17" fillId="2" borderId="0" xfId="0" applyFont="1" applyFill="1" applyAlignment="1">
      <alignment horizontal="right"/>
    </xf>
    <xf numFmtId="0" fontId="15" fillId="2" borderId="0" xfId="0" applyFont="1" applyFill="1" applyAlignment="1">
      <alignment horizontal="left"/>
    </xf>
    <xf numFmtId="14" fontId="15" fillId="2" borderId="0" xfId="0" applyNumberFormat="1" applyFont="1" applyFill="1" applyAlignment="1">
      <alignment horizontal="center"/>
    </xf>
    <xf numFmtId="14" fontId="15" fillId="2" borderId="0" xfId="0" applyNumberFormat="1" applyFont="1" applyFill="1"/>
    <xf numFmtId="0" fontId="18" fillId="2" borderId="0" xfId="0" applyFont="1" applyFill="1" applyAlignment="1">
      <alignment horizontal="center"/>
    </xf>
    <xf numFmtId="165" fontId="3" fillId="0" borderId="0" xfId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19" fillId="0" borderId="1" xfId="0" applyNumberFormat="1" applyFont="1" applyBorder="1" applyAlignment="1">
      <alignment horizontal="center"/>
    </xf>
    <xf numFmtId="1" fontId="5" fillId="2" borderId="0" xfId="0" applyNumberFormat="1" applyFont="1" applyFill="1" applyAlignment="1">
      <alignment horizontal="center"/>
    </xf>
    <xf numFmtId="1" fontId="11" fillId="2" borderId="0" xfId="0" applyNumberFormat="1" applyFont="1" applyFill="1" applyAlignment="1">
      <alignment horizontal="center"/>
    </xf>
    <xf numFmtId="1" fontId="5" fillId="2" borderId="0" xfId="0" applyNumberFormat="1" applyFont="1" applyFill="1" applyAlignment="1">
      <alignment horizontal="left"/>
    </xf>
    <xf numFmtId="0" fontId="16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65" fontId="11" fillId="0" borderId="0" xfId="1" applyFont="1" applyAlignment="1">
      <alignment horizontal="center"/>
    </xf>
    <xf numFmtId="0" fontId="3" fillId="0" borderId="0" xfId="0" applyFont="1" applyAlignment="1">
      <alignment horizontal="right"/>
    </xf>
    <xf numFmtId="1" fontId="16" fillId="0" borderId="0" xfId="0" applyNumberFormat="1" applyFont="1" applyAlignment="1">
      <alignment horizontal="center"/>
    </xf>
    <xf numFmtId="0" fontId="20" fillId="2" borderId="0" xfId="0" applyFont="1" applyFill="1" applyAlignment="1">
      <alignment horizontal="center"/>
    </xf>
    <xf numFmtId="2" fontId="3" fillId="0" borderId="0" xfId="0" applyNumberFormat="1" applyFont="1"/>
    <xf numFmtId="0" fontId="3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22" fillId="4" borderId="0" xfId="0" applyFont="1" applyFill="1" applyAlignment="1">
      <alignment horizontal="center"/>
    </xf>
    <xf numFmtId="165" fontId="11" fillId="0" borderId="0" xfId="1" applyFont="1"/>
    <xf numFmtId="165" fontId="16" fillId="0" borderId="0" xfId="1" applyFont="1"/>
    <xf numFmtId="0" fontId="16" fillId="0" borderId="0" xfId="0" applyFont="1" applyAlignment="1">
      <alignment horizontal="left"/>
    </xf>
    <xf numFmtId="2" fontId="6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2" fontId="5" fillId="2" borderId="0" xfId="0" applyNumberFormat="1" applyFont="1" applyFill="1" applyAlignment="1">
      <alignment horizontal="left"/>
    </xf>
    <xf numFmtId="0" fontId="6" fillId="0" borderId="1" xfId="0" applyFont="1" applyBorder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17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14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2" fontId="11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24" fillId="0" borderId="0" xfId="0" applyNumberFormat="1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19" fillId="0" borderId="1" xfId="0" applyFont="1" applyBorder="1" applyAlignment="1">
      <alignment horizontal="center"/>
    </xf>
    <xf numFmtId="0" fontId="22" fillId="0" borderId="0" xfId="0" applyFont="1"/>
    <xf numFmtId="2" fontId="10" fillId="2" borderId="0" xfId="0" applyNumberFormat="1" applyFont="1" applyFill="1" applyAlignment="1">
      <alignment horizontal="left"/>
    </xf>
    <xf numFmtId="0" fontId="21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10" fillId="0" borderId="0" xfId="0" applyFont="1"/>
    <xf numFmtId="0" fontId="23" fillId="2" borderId="0" xfId="0" applyFont="1" applyFill="1"/>
    <xf numFmtId="0" fontId="6" fillId="2" borderId="0" xfId="0" applyFont="1" applyFill="1" applyAlignment="1">
      <alignment horizontal="center"/>
    </xf>
    <xf numFmtId="166" fontId="16" fillId="0" borderId="0" xfId="0" applyNumberFormat="1" applyFont="1" applyAlignment="1">
      <alignment horizontal="center"/>
    </xf>
    <xf numFmtId="1" fontId="19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2" fontId="5" fillId="2" borderId="0" xfId="0" applyNumberFormat="1" applyFont="1" applyFill="1"/>
    <xf numFmtId="165" fontId="3" fillId="0" borderId="0" xfId="1" applyFont="1"/>
    <xf numFmtId="166" fontId="19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left"/>
    </xf>
    <xf numFmtId="0" fontId="26" fillId="0" borderId="0" xfId="0" applyFont="1"/>
    <xf numFmtId="2" fontId="3" fillId="2" borderId="0" xfId="0" applyNumberFormat="1" applyFont="1" applyFill="1" applyAlignment="1">
      <alignment horizontal="left"/>
    </xf>
    <xf numFmtId="14" fontId="19" fillId="0" borderId="1" xfId="0" applyNumberFormat="1" applyFont="1" applyBorder="1" applyAlignment="1">
      <alignment horizontal="center"/>
    </xf>
    <xf numFmtId="2" fontId="6" fillId="2" borderId="0" xfId="0" applyNumberFormat="1" applyFont="1" applyFill="1"/>
    <xf numFmtId="0" fontId="16" fillId="2" borderId="0" xfId="0" applyFont="1" applyFill="1"/>
    <xf numFmtId="0" fontId="16" fillId="2" borderId="0" xfId="0" applyFont="1" applyFill="1" applyAlignment="1">
      <alignment horizontal="left"/>
    </xf>
    <xf numFmtId="2" fontId="16" fillId="2" borderId="0" xfId="0" applyNumberFormat="1" applyFont="1" applyFill="1"/>
    <xf numFmtId="2" fontId="16" fillId="0" borderId="0" xfId="0" applyNumberFormat="1" applyFont="1"/>
    <xf numFmtId="0" fontId="6" fillId="2" borderId="0" xfId="0" applyFont="1" applyFill="1" applyAlignment="1">
      <alignment horizontal="left"/>
    </xf>
    <xf numFmtId="2" fontId="10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right"/>
    </xf>
    <xf numFmtId="1" fontId="6" fillId="0" borderId="1" xfId="0" applyNumberFormat="1" applyFont="1" applyBorder="1" applyAlignment="1">
      <alignment horizontal="center"/>
    </xf>
    <xf numFmtId="1" fontId="11" fillId="2" borderId="0" xfId="0" applyNumberFormat="1" applyFont="1" applyFill="1" applyAlignment="1">
      <alignment horizontal="right"/>
    </xf>
    <xf numFmtId="14" fontId="6" fillId="0" borderId="1" xfId="0" applyNumberFormat="1" applyFont="1" applyBorder="1" applyAlignment="1">
      <alignment horizontal="center"/>
    </xf>
    <xf numFmtId="0" fontId="26" fillId="2" borderId="0" xfId="0" applyFont="1" applyFill="1" applyAlignment="1">
      <alignment horizontal="center"/>
    </xf>
    <xf numFmtId="14" fontId="6" fillId="2" borderId="0" xfId="0" applyNumberFormat="1" applyFont="1" applyFill="1" applyAlignment="1">
      <alignment horizontal="center"/>
    </xf>
    <xf numFmtId="2" fontId="13" fillId="3" borderId="0" xfId="0" applyNumberFormat="1" applyFont="1" applyFill="1" applyAlignment="1">
      <alignment horizontal="left"/>
    </xf>
    <xf numFmtId="0" fontId="28" fillId="3" borderId="0" xfId="0" applyFont="1" applyFill="1" applyAlignment="1">
      <alignment horizontal="center"/>
    </xf>
    <xf numFmtId="0" fontId="28" fillId="3" borderId="0" xfId="0" applyFont="1" applyFill="1"/>
    <xf numFmtId="1" fontId="5" fillId="2" borderId="0" xfId="0" applyNumberFormat="1" applyFont="1" applyFill="1" applyAlignment="1">
      <alignment horizontal="right"/>
    </xf>
    <xf numFmtId="166" fontId="5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center"/>
    </xf>
    <xf numFmtId="2" fontId="13" fillId="0" borderId="0" xfId="0" applyNumberFormat="1" applyFont="1"/>
    <xf numFmtId="0" fontId="1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2" fontId="19" fillId="2" borderId="0" xfId="0" applyNumberFormat="1" applyFont="1" applyFill="1"/>
    <xf numFmtId="2" fontId="32" fillId="2" borderId="0" xfId="0" applyNumberFormat="1" applyFont="1" applyFill="1" applyAlignment="1">
      <alignment horizontal="left"/>
    </xf>
    <xf numFmtId="0" fontId="26" fillId="2" borderId="0" xfId="0" applyFont="1" applyFill="1"/>
    <xf numFmtId="2" fontId="23" fillId="0" borderId="0" xfId="0" applyNumberFormat="1" applyFont="1"/>
    <xf numFmtId="1" fontId="26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4" fillId="2" borderId="0" xfId="0" applyNumberFormat="1" applyFont="1" applyFill="1"/>
    <xf numFmtId="2" fontId="11" fillId="2" borderId="0" xfId="0" applyNumberFormat="1" applyFont="1" applyFill="1"/>
    <xf numFmtId="0" fontId="3" fillId="0" borderId="2" xfId="0" applyFont="1" applyBorder="1"/>
    <xf numFmtId="2" fontId="3" fillId="0" borderId="2" xfId="0" applyNumberFormat="1" applyFont="1" applyBorder="1"/>
    <xf numFmtId="2" fontId="6" fillId="0" borderId="0" xfId="0" applyNumberFormat="1" applyFont="1"/>
    <xf numFmtId="1" fontId="3" fillId="2" borderId="0" xfId="0" applyNumberFormat="1" applyFont="1" applyFill="1"/>
    <xf numFmtId="0" fontId="6" fillId="0" borderId="0" xfId="0" applyFont="1" applyAlignment="1">
      <alignment horizontal="left"/>
    </xf>
    <xf numFmtId="0" fontId="6" fillId="0" borderId="0" xfId="0" applyFont="1"/>
    <xf numFmtId="165" fontId="6" fillId="0" borderId="0" xfId="0" applyNumberFormat="1" applyFont="1"/>
    <xf numFmtId="1" fontId="6" fillId="2" borderId="0" xfId="0" applyNumberFormat="1" applyFont="1" applyFill="1"/>
    <xf numFmtId="2" fontId="22" fillId="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left"/>
    </xf>
    <xf numFmtId="1" fontId="31" fillId="0" borderId="0" xfId="0" applyNumberFormat="1" applyFont="1" applyAlignment="1">
      <alignment horizontal="center"/>
    </xf>
    <xf numFmtId="2" fontId="13" fillId="2" borderId="0" xfId="0" applyNumberFormat="1" applyFont="1" applyFill="1"/>
    <xf numFmtId="0" fontId="33" fillId="0" borderId="0" xfId="0" applyFont="1" applyAlignment="1">
      <alignment horizontal="center"/>
    </xf>
    <xf numFmtId="2" fontId="16" fillId="2" borderId="0" xfId="0" applyNumberFormat="1" applyFont="1" applyFill="1" applyAlignment="1">
      <alignment horizontal="center"/>
    </xf>
    <xf numFmtId="2" fontId="19" fillId="0" borderId="1" xfId="0" applyNumberFormat="1" applyFont="1" applyBorder="1" applyAlignment="1">
      <alignment horizontal="center"/>
    </xf>
    <xf numFmtId="166" fontId="5" fillId="2" borderId="0" xfId="0" applyNumberFormat="1" applyFont="1" applyFill="1" applyAlignment="1">
      <alignment horizontal="center"/>
    </xf>
    <xf numFmtId="2" fontId="19" fillId="2" borderId="0" xfId="0" applyNumberFormat="1" applyFont="1" applyFill="1" applyAlignment="1">
      <alignment horizontal="center"/>
    </xf>
    <xf numFmtId="0" fontId="30" fillId="2" borderId="0" xfId="0" applyFont="1" applyFill="1"/>
    <xf numFmtId="2" fontId="34" fillId="2" borderId="0" xfId="0" applyNumberFormat="1" applyFont="1" applyFill="1" applyAlignment="1">
      <alignment horizontal="center"/>
    </xf>
    <xf numFmtId="0" fontId="29" fillId="3" borderId="0" xfId="0" applyFont="1" applyFill="1"/>
    <xf numFmtId="0" fontId="6" fillId="3" borderId="0" xfId="0" applyFont="1" applyFill="1" applyAlignment="1">
      <alignment horizontal="center"/>
    </xf>
    <xf numFmtId="0" fontId="6" fillId="3" borderId="0" xfId="0" applyFont="1" applyFill="1"/>
    <xf numFmtId="0" fontId="5" fillId="3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right"/>
    </xf>
    <xf numFmtId="0" fontId="26" fillId="3" borderId="0" xfId="0" applyFont="1" applyFill="1"/>
    <xf numFmtId="0" fontId="3" fillId="3" borderId="0" xfId="0" applyFont="1" applyFill="1"/>
    <xf numFmtId="1" fontId="5" fillId="3" borderId="0" xfId="0" applyNumberFormat="1" applyFont="1" applyFill="1" applyAlignment="1">
      <alignment horizontal="center"/>
    </xf>
    <xf numFmtId="2" fontId="3" fillId="3" borderId="0" xfId="0" applyNumberFormat="1" applyFont="1" applyFill="1"/>
    <xf numFmtId="0" fontId="19" fillId="3" borderId="0" xfId="0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19" fillId="3" borderId="0" xfId="0" applyNumberFormat="1" applyFont="1" applyFill="1"/>
    <xf numFmtId="2" fontId="19" fillId="0" borderId="0" xfId="0" applyNumberFormat="1" applyFont="1"/>
    <xf numFmtId="2" fontId="6" fillId="2" borderId="0" xfId="0" applyNumberFormat="1" applyFont="1" applyFill="1" applyAlignment="1">
      <alignment horizontal="right"/>
    </xf>
    <xf numFmtId="2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19" fillId="2" borderId="0" xfId="0" applyFont="1" applyFill="1" applyAlignment="1">
      <alignment horizontal="center"/>
    </xf>
    <xf numFmtId="0" fontId="5" fillId="2" borderId="0" xfId="0" applyFont="1" applyFill="1"/>
    <xf numFmtId="0" fontId="35" fillId="2" borderId="0" xfId="0" applyFont="1" applyFill="1"/>
    <xf numFmtId="0" fontId="36" fillId="2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4" fillId="0" borderId="0" xfId="0" applyFont="1"/>
    <xf numFmtId="2" fontId="17" fillId="2" borderId="0" xfId="0" applyNumberFormat="1" applyFont="1" applyFill="1" applyAlignment="1">
      <alignment horizontal="center"/>
    </xf>
    <xf numFmtId="167" fontId="3" fillId="2" borderId="0" xfId="0" applyNumberFormat="1" applyFont="1" applyFill="1" applyAlignment="1">
      <alignment horizontal="right"/>
    </xf>
    <xf numFmtId="1" fontId="3" fillId="0" borderId="0" xfId="0" applyNumberFormat="1" applyFont="1"/>
    <xf numFmtId="2" fontId="26" fillId="2" borderId="0" xfId="0" applyNumberFormat="1" applyFont="1" applyFill="1"/>
    <xf numFmtId="2" fontId="11" fillId="0" borderId="0" xfId="0" applyNumberFormat="1" applyFont="1"/>
    <xf numFmtId="0" fontId="19" fillId="2" borderId="0" xfId="0" applyFont="1" applyFill="1"/>
    <xf numFmtId="0" fontId="4" fillId="2" borderId="0" xfId="0" applyFont="1" applyFill="1" applyAlignment="1">
      <alignment horizontal="center"/>
    </xf>
    <xf numFmtId="164" fontId="26" fillId="2" borderId="0" xfId="0" applyNumberFormat="1" applyFont="1" applyFill="1"/>
    <xf numFmtId="2" fontId="5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38" fillId="3" borderId="0" xfId="0" applyFont="1" applyFill="1" applyAlignment="1">
      <alignment horizontal="left"/>
    </xf>
    <xf numFmtId="2" fontId="12" fillId="3" borderId="0" xfId="0" applyNumberFormat="1" applyFont="1" applyFill="1"/>
    <xf numFmtId="1" fontId="39" fillId="3" borderId="0" xfId="0" applyNumberFormat="1" applyFont="1" applyFill="1"/>
    <xf numFmtId="2" fontId="12" fillId="3" borderId="0" xfId="0" applyNumberFormat="1" applyFont="1" applyFill="1" applyAlignment="1">
      <alignment horizontal="left"/>
    </xf>
    <xf numFmtId="0" fontId="39" fillId="3" borderId="0" xfId="0" applyFont="1" applyFill="1" applyAlignment="1">
      <alignment horizontal="center"/>
    </xf>
    <xf numFmtId="0" fontId="39" fillId="3" borderId="0" xfId="0" applyFont="1" applyFill="1"/>
    <xf numFmtId="2" fontId="12" fillId="0" borderId="0" xfId="0" applyNumberFormat="1" applyFont="1"/>
    <xf numFmtId="1" fontId="27" fillId="0" borderId="0" xfId="0" applyNumberFormat="1" applyFont="1" applyAlignment="1">
      <alignment horizontal="center"/>
    </xf>
    <xf numFmtId="0" fontId="27" fillId="4" borderId="0" xfId="0" applyFont="1" applyFill="1" applyAlignment="1">
      <alignment horizontal="center"/>
    </xf>
    <xf numFmtId="1" fontId="22" fillId="0" borderId="0" xfId="0" applyNumberFormat="1" applyFont="1" applyAlignment="1">
      <alignment horizontal="center"/>
    </xf>
    <xf numFmtId="2" fontId="16" fillId="3" borderId="0" xfId="0" applyNumberFormat="1" applyFont="1" applyFill="1"/>
    <xf numFmtId="1" fontId="19" fillId="3" borderId="0" xfId="0" applyNumberFormat="1" applyFont="1" applyFill="1"/>
    <xf numFmtId="0" fontId="40" fillId="2" borderId="0" xfId="0" applyFont="1" applyFill="1" applyAlignment="1">
      <alignment horizontal="center"/>
    </xf>
    <xf numFmtId="1" fontId="41" fillId="0" borderId="0" xfId="0" applyNumberFormat="1" applyFont="1" applyAlignment="1">
      <alignment horizontal="center"/>
    </xf>
    <xf numFmtId="2" fontId="42" fillId="2" borderId="0" xfId="0" applyNumberFormat="1" applyFont="1" applyFill="1" applyAlignment="1">
      <alignment horizontal="right"/>
    </xf>
    <xf numFmtId="0" fontId="27" fillId="0" borderId="0" xfId="0" applyFont="1" applyAlignment="1">
      <alignment horizontal="left"/>
    </xf>
    <xf numFmtId="166" fontId="19" fillId="0" borderId="0" xfId="0" applyNumberFormat="1" applyFont="1" applyAlignment="1">
      <alignment horizontal="center"/>
    </xf>
    <xf numFmtId="165" fontId="27" fillId="0" borderId="0" xfId="1" applyFont="1" applyBorder="1" applyAlignment="1">
      <alignment horizontal="center"/>
    </xf>
    <xf numFmtId="165" fontId="3" fillId="0" borderId="2" xfId="1" applyFont="1" applyBorder="1"/>
    <xf numFmtId="165" fontId="3" fillId="0" borderId="3" xfId="1" applyFont="1" applyBorder="1" applyAlignment="1">
      <alignment horizontal="center"/>
    </xf>
    <xf numFmtId="1" fontId="43" fillId="2" borderId="0" xfId="0" applyNumberFormat="1" applyFont="1" applyFill="1" applyAlignment="1">
      <alignment horizontal="center"/>
    </xf>
    <xf numFmtId="0" fontId="30" fillId="0" borderId="0" xfId="0" applyFont="1"/>
    <xf numFmtId="166" fontId="6" fillId="0" borderId="4" xfId="0" applyNumberFormat="1" applyFont="1" applyBorder="1" applyAlignment="1">
      <alignment horizontal="center"/>
    </xf>
    <xf numFmtId="2" fontId="26" fillId="2" borderId="0" xfId="0" applyNumberFormat="1" applyFont="1" applyFill="1" applyAlignment="1">
      <alignment horizontal="center"/>
    </xf>
    <xf numFmtId="0" fontId="44" fillId="2" borderId="0" xfId="0" applyFont="1" applyFill="1" applyAlignment="1">
      <alignment horizontal="left"/>
    </xf>
    <xf numFmtId="0" fontId="44" fillId="3" borderId="0" xfId="0" applyFont="1" applyFill="1" applyAlignment="1">
      <alignment horizontal="left"/>
    </xf>
    <xf numFmtId="1" fontId="6" fillId="3" borderId="0" xfId="0" applyNumberFormat="1" applyFont="1" applyFill="1"/>
    <xf numFmtId="2" fontId="3" fillId="3" borderId="0" xfId="0" applyNumberFormat="1" applyFont="1" applyFill="1" applyAlignment="1">
      <alignment horizontal="left"/>
    </xf>
    <xf numFmtId="0" fontId="45" fillId="0" borderId="0" xfId="0" applyFont="1" applyAlignment="1">
      <alignment horizontal="left"/>
    </xf>
    <xf numFmtId="1" fontId="46" fillId="0" borderId="0" xfId="0" applyNumberFormat="1" applyFont="1" applyAlignment="1">
      <alignment horizontal="center"/>
    </xf>
    <xf numFmtId="2" fontId="46" fillId="0" borderId="0" xfId="0" applyNumberFormat="1" applyFont="1"/>
    <xf numFmtId="2" fontId="47" fillId="0" borderId="0" xfId="0" applyNumberFormat="1" applyFont="1"/>
    <xf numFmtId="165" fontId="47" fillId="0" borderId="0" xfId="1" applyFont="1"/>
    <xf numFmtId="0" fontId="47" fillId="0" borderId="0" xfId="0" applyFont="1" applyAlignment="1">
      <alignment horizontal="center"/>
    </xf>
    <xf numFmtId="1" fontId="48" fillId="0" borderId="0" xfId="0" applyNumberFormat="1" applyFont="1" applyAlignment="1">
      <alignment horizontal="center"/>
    </xf>
    <xf numFmtId="0" fontId="49" fillId="2" borderId="0" xfId="0" applyFont="1" applyFill="1"/>
    <xf numFmtId="0" fontId="49" fillId="2" borderId="0" xfId="0" applyFont="1" applyFill="1" applyAlignment="1">
      <alignment horizontal="center"/>
    </xf>
    <xf numFmtId="0" fontId="5" fillId="0" borderId="0" xfId="0" applyFont="1"/>
    <xf numFmtId="0" fontId="50" fillId="2" borderId="0" xfId="0" applyFont="1" applyFill="1" applyAlignment="1">
      <alignment horizontal="right"/>
    </xf>
    <xf numFmtId="0" fontId="51" fillId="2" borderId="0" xfId="0" applyFont="1" applyFill="1"/>
    <xf numFmtId="0" fontId="51" fillId="2" borderId="0" xfId="0" applyFont="1" applyFill="1" applyAlignment="1">
      <alignment horizontal="center"/>
    </xf>
    <xf numFmtId="0" fontId="52" fillId="2" borderId="0" xfId="0" applyFont="1" applyFill="1" applyAlignment="1">
      <alignment horizontal="center"/>
    </xf>
    <xf numFmtId="2" fontId="43" fillId="0" borderId="0" xfId="0" applyNumberFormat="1" applyFont="1" applyAlignment="1">
      <alignment horizontal="center"/>
    </xf>
    <xf numFmtId="2" fontId="51" fillId="2" borderId="0" xfId="0" applyNumberFormat="1" applyFont="1" applyFill="1" applyAlignment="1">
      <alignment horizontal="center"/>
    </xf>
    <xf numFmtId="2" fontId="51" fillId="2" borderId="0" xfId="0" applyNumberFormat="1" applyFont="1" applyFill="1" applyAlignment="1">
      <alignment horizontal="left"/>
    </xf>
    <xf numFmtId="2" fontId="52" fillId="2" borderId="0" xfId="0" applyNumberFormat="1" applyFont="1" applyFill="1" applyAlignment="1">
      <alignment horizontal="center"/>
    </xf>
    <xf numFmtId="2" fontId="23" fillId="2" borderId="0" xfId="0" applyNumberFormat="1" applyFont="1" applyFill="1"/>
    <xf numFmtId="0" fontId="51" fillId="2" borderId="0" xfId="0" applyFont="1" applyFill="1" applyAlignment="1">
      <alignment horizontal="left"/>
    </xf>
    <xf numFmtId="14" fontId="43" fillId="2" borderId="0" xfId="0" applyNumberFormat="1" applyFont="1" applyFill="1" applyAlignment="1">
      <alignment horizontal="center"/>
    </xf>
    <xf numFmtId="14" fontId="23" fillId="0" borderId="0" xfId="0" applyNumberFormat="1" applyFont="1"/>
    <xf numFmtId="2" fontId="51" fillId="2" borderId="0" xfId="0" applyNumberFormat="1" applyFont="1" applyFill="1"/>
    <xf numFmtId="2" fontId="52" fillId="2" borderId="0" xfId="0" applyNumberFormat="1" applyFont="1" applyFill="1"/>
    <xf numFmtId="0" fontId="53" fillId="0" borderId="0" xfId="0" applyFont="1"/>
    <xf numFmtId="0" fontId="54" fillId="0" borderId="0" xfId="0" applyFont="1"/>
    <xf numFmtId="0" fontId="55" fillId="0" borderId="0" xfId="0" applyFont="1"/>
    <xf numFmtId="165" fontId="23" fillId="0" borderId="0" xfId="0" applyNumberFormat="1" applyFont="1"/>
    <xf numFmtId="0" fontId="23" fillId="0" borderId="0" xfId="0" applyFont="1"/>
    <xf numFmtId="165" fontId="23" fillId="0" borderId="0" xfId="1" applyFont="1"/>
    <xf numFmtId="0" fontId="23" fillId="0" borderId="2" xfId="0" applyFont="1" applyBorder="1" applyAlignment="1">
      <alignment horizontal="center"/>
    </xf>
    <xf numFmtId="165" fontId="23" fillId="0" borderId="2" xfId="1" applyFont="1" applyBorder="1" applyAlignment="1">
      <alignment horizontal="center"/>
    </xf>
    <xf numFmtId="165" fontId="43" fillId="0" borderId="0" xfId="1" applyFont="1" applyAlignment="1">
      <alignment horizontal="center"/>
    </xf>
    <xf numFmtId="165" fontId="23" fillId="0" borderId="0" xfId="1" applyFont="1" applyAlignment="1">
      <alignment horizontal="center"/>
    </xf>
    <xf numFmtId="2" fontId="56" fillId="0" borderId="0" xfId="0" applyNumberFormat="1" applyFont="1" applyAlignment="1">
      <alignment horizontal="center"/>
    </xf>
    <xf numFmtId="2" fontId="23" fillId="0" borderId="2" xfId="0" applyNumberFormat="1" applyFont="1" applyBorder="1"/>
    <xf numFmtId="165" fontId="23" fillId="0" borderId="2" xfId="1" applyFont="1" applyBorder="1"/>
    <xf numFmtId="165" fontId="43" fillId="0" borderId="0" xfId="1" applyFont="1"/>
    <xf numFmtId="1" fontId="30" fillId="0" borderId="0" xfId="0" applyNumberFormat="1" applyFont="1" applyAlignment="1">
      <alignment horizontal="center"/>
    </xf>
    <xf numFmtId="0" fontId="57" fillId="0" borderId="0" xfId="0" applyFont="1" applyAlignment="1">
      <alignment vertical="center"/>
    </xf>
    <xf numFmtId="0" fontId="57" fillId="0" borderId="0" xfId="0" applyFont="1"/>
    <xf numFmtId="2" fontId="58" fillId="2" borderId="0" xfId="0" applyNumberFormat="1" applyFont="1" applyFill="1" applyAlignment="1">
      <alignment horizontal="right"/>
    </xf>
    <xf numFmtId="168" fontId="43" fillId="0" borderId="0" xfId="0" applyNumberFormat="1" applyFont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5" fillId="0" borderId="5" xfId="0" applyFont="1" applyBorder="1"/>
    <xf numFmtId="1" fontId="3" fillId="2" borderId="0" xfId="0" applyNumberFormat="1" applyFont="1" applyFill="1" applyAlignment="1">
      <alignment horizontal="left"/>
    </xf>
    <xf numFmtId="1" fontId="6" fillId="2" borderId="0" xfId="0" applyNumberFormat="1" applyFont="1" applyFill="1" applyAlignment="1">
      <alignment horizontal="center"/>
    </xf>
    <xf numFmtId="0" fontId="5" fillId="0" borderId="0" xfId="0" applyFont="1"/>
    <xf numFmtId="2" fontId="5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19" fillId="0" borderId="6" xfId="0" applyNumberFormat="1" applyFont="1" applyBorder="1" applyAlignment="1">
      <alignment horizontal="center"/>
    </xf>
    <xf numFmtId="1" fontId="19" fillId="0" borderId="8" xfId="0" applyNumberFormat="1" applyFont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29" fillId="3" borderId="0" xfId="0" applyFont="1" applyFill="1"/>
    <xf numFmtId="0" fontId="26" fillId="2" borderId="0" xfId="0" applyFont="1" applyFill="1"/>
    <xf numFmtId="0" fontId="6" fillId="2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1092200</xdr:colOff>
      <xdr:row>259</xdr:row>
      <xdr:rowOff>0</xdr:rowOff>
    </xdr:from>
    <xdr:to>
      <xdr:col>17</xdr:col>
      <xdr:colOff>609600</xdr:colOff>
      <xdr:row>259</xdr:row>
      <xdr:rowOff>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96E50699-5010-6547-960C-5715F7EDFF36}"/>
            </a:ext>
          </a:extLst>
        </xdr:cNvPr>
        <xdr:cNvSpPr txBox="1">
          <a:spLocks noChangeArrowheads="1"/>
        </xdr:cNvSpPr>
      </xdr:nvSpPr>
      <xdr:spPr bwMode="auto">
        <a:xfrm>
          <a:off x="9791700" y="38493700"/>
          <a:ext cx="13208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Isochill International Pty Ltd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50 Dudley Street 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West Melbourne 3003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Victoria  Australia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Ph     03 9326-7977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Fax   03 9326-7955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E-mail   isochill@hotmail.com</a:t>
          </a:r>
          <a:r>
            <a:rPr lang="en-US" sz="9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 </a:t>
          </a:r>
        </a:p>
      </xdr:txBody>
    </xdr:sp>
    <xdr:clientData/>
  </xdr:twoCellAnchor>
  <xdr:twoCellAnchor>
    <xdr:from>
      <xdr:col>27</xdr:col>
      <xdr:colOff>0</xdr:colOff>
      <xdr:row>60</xdr:row>
      <xdr:rowOff>190500</xdr:rowOff>
    </xdr:from>
    <xdr:to>
      <xdr:col>27</xdr:col>
      <xdr:colOff>0</xdr:colOff>
      <xdr:row>67</xdr:row>
      <xdr:rowOff>152400</xdr:rowOff>
    </xdr:to>
    <xdr:pic>
      <xdr:nvPicPr>
        <xdr:cNvPr id="5581" name="Picture 146">
          <a:extLst>
            <a:ext uri="{FF2B5EF4-FFF2-40B4-BE49-F238E27FC236}">
              <a16:creationId xmlns:a16="http://schemas.microsoft.com/office/drawing/2014/main" id="{7519FEC7-1414-BC4D-B8FA-9BD5B8F23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5038"/>
        <a:stretch>
          <a:fillRect/>
        </a:stretch>
      </xdr:blipFill>
      <xdr:spPr bwMode="auto">
        <a:xfrm>
          <a:off x="11595100" y="10452100"/>
          <a:ext cx="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584200</xdr:colOff>
      <xdr:row>0</xdr:row>
      <xdr:rowOff>76200</xdr:rowOff>
    </xdr:from>
    <xdr:to>
      <xdr:col>61</xdr:col>
      <xdr:colOff>215899</xdr:colOff>
      <xdr:row>30</xdr:row>
      <xdr:rowOff>88900</xdr:rowOff>
    </xdr:to>
    <xdr:pic>
      <xdr:nvPicPr>
        <xdr:cNvPr id="5582" name="Picture 173">
          <a:extLst>
            <a:ext uri="{FF2B5EF4-FFF2-40B4-BE49-F238E27FC236}">
              <a16:creationId xmlns:a16="http://schemas.microsoft.com/office/drawing/2014/main" id="{2F77BBED-8FF4-3348-8DEE-36BC26390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8" r="1964" b="5324"/>
        <a:stretch>
          <a:fillRect/>
        </a:stretch>
      </xdr:blipFill>
      <xdr:spPr bwMode="auto">
        <a:xfrm>
          <a:off x="23939500" y="76200"/>
          <a:ext cx="3746500" cy="548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279400</xdr:colOff>
      <xdr:row>9</xdr:row>
      <xdr:rowOff>63500</xdr:rowOff>
    </xdr:from>
    <xdr:to>
      <xdr:col>13</xdr:col>
      <xdr:colOff>342900</xdr:colOff>
      <xdr:row>24</xdr:row>
      <xdr:rowOff>139700</xdr:rowOff>
    </xdr:to>
    <xdr:pic>
      <xdr:nvPicPr>
        <xdr:cNvPr id="5583" name="Picture 175">
          <a:extLst>
            <a:ext uri="{FF2B5EF4-FFF2-40B4-BE49-F238E27FC236}">
              <a16:creationId xmlns:a16="http://schemas.microsoft.com/office/drawing/2014/main" id="{7BBEDBA6-C28C-3049-BC0E-69CE2D016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8" r="1964" b="5324"/>
        <a:stretch>
          <a:fillRect/>
        </a:stretch>
      </xdr:blipFill>
      <xdr:spPr bwMode="auto">
        <a:xfrm>
          <a:off x="3594100" y="2044700"/>
          <a:ext cx="1739900" cy="257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114300</xdr:colOff>
      <xdr:row>9</xdr:row>
      <xdr:rowOff>114300</xdr:rowOff>
    </xdr:from>
    <xdr:to>
      <xdr:col>54</xdr:col>
      <xdr:colOff>139699</xdr:colOff>
      <xdr:row>33</xdr:row>
      <xdr:rowOff>152400</xdr:rowOff>
    </xdr:to>
    <xdr:pic>
      <xdr:nvPicPr>
        <xdr:cNvPr id="5584" name="Picture 176">
          <a:extLst>
            <a:ext uri="{FF2B5EF4-FFF2-40B4-BE49-F238E27FC236}">
              <a16:creationId xmlns:a16="http://schemas.microsoft.com/office/drawing/2014/main" id="{A36A735C-2995-D345-812F-67EAB9C08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8" r="1964" b="5324"/>
        <a:stretch>
          <a:fillRect/>
        </a:stretch>
      </xdr:blipFill>
      <xdr:spPr bwMode="auto">
        <a:xfrm>
          <a:off x="20447000" y="2095500"/>
          <a:ext cx="2730500" cy="402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215900</xdr:colOff>
      <xdr:row>94</xdr:row>
      <xdr:rowOff>127000</xdr:rowOff>
    </xdr:from>
    <xdr:to>
      <xdr:col>39</xdr:col>
      <xdr:colOff>268044</xdr:colOff>
      <xdr:row>124</xdr:row>
      <xdr:rowOff>63500</xdr:rowOff>
    </xdr:to>
    <xdr:pic>
      <xdr:nvPicPr>
        <xdr:cNvPr id="5585" name="Picture 177">
          <a:extLst>
            <a:ext uri="{FF2B5EF4-FFF2-40B4-BE49-F238E27FC236}">
              <a16:creationId xmlns:a16="http://schemas.microsoft.com/office/drawing/2014/main" id="{48BF70BC-C488-B94E-B03F-7B1B2E12E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8" r="1964" b="5324"/>
        <a:stretch>
          <a:fillRect/>
        </a:stretch>
      </xdr:blipFill>
      <xdr:spPr bwMode="auto">
        <a:xfrm>
          <a:off x="15252700" y="15951200"/>
          <a:ext cx="3327400" cy="495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609600</xdr:colOff>
      <xdr:row>32</xdr:row>
      <xdr:rowOff>165100</xdr:rowOff>
    </xdr:from>
    <xdr:to>
      <xdr:col>61</xdr:col>
      <xdr:colOff>126999</xdr:colOff>
      <xdr:row>42</xdr:row>
      <xdr:rowOff>12700</xdr:rowOff>
    </xdr:to>
    <xdr:pic>
      <xdr:nvPicPr>
        <xdr:cNvPr id="5586" name="Picture 180">
          <a:extLst>
            <a:ext uri="{FF2B5EF4-FFF2-40B4-BE49-F238E27FC236}">
              <a16:creationId xmlns:a16="http://schemas.microsoft.com/office/drawing/2014/main" id="{7776B375-2EFB-8648-80B3-F14346598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99" b="51672"/>
        <a:stretch>
          <a:fillRect/>
        </a:stretch>
      </xdr:blipFill>
      <xdr:spPr bwMode="auto">
        <a:xfrm>
          <a:off x="23964900" y="5969000"/>
          <a:ext cx="3632200" cy="153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508000</xdr:colOff>
      <xdr:row>0</xdr:row>
      <xdr:rowOff>50800</xdr:rowOff>
    </xdr:from>
    <xdr:to>
      <xdr:col>67</xdr:col>
      <xdr:colOff>203201</xdr:colOff>
      <xdr:row>29</xdr:row>
      <xdr:rowOff>127000</xdr:rowOff>
    </xdr:to>
    <xdr:pic>
      <xdr:nvPicPr>
        <xdr:cNvPr id="5587" name="Picture 183">
          <a:extLst>
            <a:ext uri="{FF2B5EF4-FFF2-40B4-BE49-F238E27FC236}">
              <a16:creationId xmlns:a16="http://schemas.microsoft.com/office/drawing/2014/main" id="{32300D7F-7B02-D64B-97FC-939BF9234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8" t="1468" r="1036" b="5391"/>
        <a:stretch>
          <a:fillRect/>
        </a:stretch>
      </xdr:blipFill>
      <xdr:spPr bwMode="auto">
        <a:xfrm>
          <a:off x="27978100" y="50800"/>
          <a:ext cx="3810000" cy="538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546100</xdr:colOff>
      <xdr:row>88</xdr:row>
      <xdr:rowOff>25400</xdr:rowOff>
    </xdr:from>
    <xdr:to>
      <xdr:col>51</xdr:col>
      <xdr:colOff>101601</xdr:colOff>
      <xdr:row>117</xdr:row>
      <xdr:rowOff>114300</xdr:rowOff>
    </xdr:to>
    <xdr:pic>
      <xdr:nvPicPr>
        <xdr:cNvPr id="5588" name="Picture 184">
          <a:extLst>
            <a:ext uri="{FF2B5EF4-FFF2-40B4-BE49-F238E27FC236}">
              <a16:creationId xmlns:a16="http://schemas.microsoft.com/office/drawing/2014/main" id="{5BC5AFC0-7945-BB4F-9059-0D37D5A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8" t="1468" r="1036" b="5391"/>
        <a:stretch>
          <a:fillRect/>
        </a:stretch>
      </xdr:blipFill>
      <xdr:spPr bwMode="auto">
        <a:xfrm>
          <a:off x="18338800" y="14859000"/>
          <a:ext cx="3403600" cy="494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558800</xdr:colOff>
      <xdr:row>78</xdr:row>
      <xdr:rowOff>114300</xdr:rowOff>
    </xdr:from>
    <xdr:to>
      <xdr:col>51</xdr:col>
      <xdr:colOff>203201</xdr:colOff>
      <xdr:row>85</xdr:row>
      <xdr:rowOff>152400</xdr:rowOff>
    </xdr:to>
    <xdr:pic>
      <xdr:nvPicPr>
        <xdr:cNvPr id="5589" name="Picture 185">
          <a:extLst>
            <a:ext uri="{FF2B5EF4-FFF2-40B4-BE49-F238E27FC236}">
              <a16:creationId xmlns:a16="http://schemas.microsoft.com/office/drawing/2014/main" id="{56E7EF65-66D6-3B47-8F14-7A1CCD138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8" t="2498" r="4573" b="76299"/>
        <a:stretch>
          <a:fillRect/>
        </a:stretch>
      </xdr:blipFill>
      <xdr:spPr bwMode="auto">
        <a:xfrm>
          <a:off x="18351500" y="13233400"/>
          <a:ext cx="34925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482600</xdr:colOff>
      <xdr:row>32</xdr:row>
      <xdr:rowOff>50800</xdr:rowOff>
    </xdr:from>
    <xdr:to>
      <xdr:col>66</xdr:col>
      <xdr:colOff>88901</xdr:colOff>
      <xdr:row>59</xdr:row>
      <xdr:rowOff>83820</xdr:rowOff>
    </xdr:to>
    <xdr:pic>
      <xdr:nvPicPr>
        <xdr:cNvPr id="5590" name="Picture 186">
          <a:extLst>
            <a:ext uri="{FF2B5EF4-FFF2-40B4-BE49-F238E27FC236}">
              <a16:creationId xmlns:a16="http://schemas.microsoft.com/office/drawing/2014/main" id="{E9C2A8D8-6B79-9A4E-B1D0-8762435D3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8" t="1468" r="1036" b="5391"/>
        <a:stretch>
          <a:fillRect/>
        </a:stretch>
      </xdr:blipFill>
      <xdr:spPr bwMode="auto">
        <a:xfrm>
          <a:off x="27952700" y="5854700"/>
          <a:ext cx="3035300" cy="440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355600</xdr:colOff>
      <xdr:row>112</xdr:row>
      <xdr:rowOff>38100</xdr:rowOff>
    </xdr:from>
    <xdr:to>
      <xdr:col>35</xdr:col>
      <xdr:colOff>165100</xdr:colOff>
      <xdr:row>115</xdr:row>
      <xdr:rowOff>0</xdr:rowOff>
    </xdr:to>
    <xdr:sp macro="" textlink="">
      <xdr:nvSpPr>
        <xdr:cNvPr id="5281" name="WordArt 215">
          <a:extLst>
            <a:ext uri="{FF2B5EF4-FFF2-40B4-BE49-F238E27FC236}">
              <a16:creationId xmlns:a16="http://schemas.microsoft.com/office/drawing/2014/main" id="{35604FFD-F9CD-374D-8370-BF472AF3CD7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677900" y="18897600"/>
          <a:ext cx="1524000" cy="4572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Easy And Quick To Install</a:t>
          </a:r>
        </a:p>
      </xdr:txBody>
    </xdr:sp>
    <xdr:clientData/>
  </xdr:twoCellAnchor>
  <xdr:twoCellAnchor>
    <xdr:from>
      <xdr:col>31</xdr:col>
      <xdr:colOff>317500</xdr:colOff>
      <xdr:row>109</xdr:row>
      <xdr:rowOff>0</xdr:rowOff>
    </xdr:from>
    <xdr:to>
      <xdr:col>34</xdr:col>
      <xdr:colOff>508000</xdr:colOff>
      <xdr:row>111</xdr:row>
      <xdr:rowOff>0</xdr:rowOff>
    </xdr:to>
    <xdr:sp macro="" textlink="">
      <xdr:nvSpPr>
        <xdr:cNvPr id="5282" name="WordArt 216">
          <a:extLst>
            <a:ext uri="{FF2B5EF4-FFF2-40B4-BE49-F238E27FC236}">
              <a16:creationId xmlns:a16="http://schemas.microsoft.com/office/drawing/2014/main" id="{243916DD-0193-F147-9C73-B6B8209C5AB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639800" y="18376900"/>
          <a:ext cx="1397000" cy="3175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lnSpc>
              <a:spcPts val="1200"/>
            </a:lnSpc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Stainless Steel</a:t>
          </a:r>
        </a:p>
        <a:p>
          <a:pPr algn="ctr" rtl="0">
            <a:lnSpc>
              <a:spcPts val="1200"/>
            </a:lnSpc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Headrail &amp; Hangers</a:t>
          </a:r>
        </a:p>
      </xdr:txBody>
    </xdr:sp>
    <xdr:clientData/>
  </xdr:twoCellAnchor>
  <xdr:twoCellAnchor>
    <xdr:from>
      <xdr:col>28</xdr:col>
      <xdr:colOff>190500</xdr:colOff>
      <xdr:row>84</xdr:row>
      <xdr:rowOff>38100</xdr:rowOff>
    </xdr:from>
    <xdr:to>
      <xdr:col>30</xdr:col>
      <xdr:colOff>152400</xdr:colOff>
      <xdr:row>88</xdr:row>
      <xdr:rowOff>0</xdr:rowOff>
    </xdr:to>
    <xdr:sp macro="" textlink="">
      <xdr:nvSpPr>
        <xdr:cNvPr id="5283" name="WordArt 220">
          <a:extLst>
            <a:ext uri="{FF2B5EF4-FFF2-40B4-BE49-F238E27FC236}">
              <a16:creationId xmlns:a16="http://schemas.microsoft.com/office/drawing/2014/main" id="{ABA4097B-A549-344B-92CB-9C4B91E8AD5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950700" y="14211300"/>
          <a:ext cx="965200" cy="6223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Aluminium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Economy Design</a:t>
          </a:r>
        </a:p>
        <a:p>
          <a:pPr algn="ctr" rtl="0">
            <a:lnSpc>
              <a:spcPts val="1300"/>
            </a:lnSpc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PVC Strip Door</a:t>
          </a:r>
        </a:p>
      </xdr:txBody>
    </xdr:sp>
    <xdr:clientData/>
  </xdr:twoCellAnchor>
  <xdr:twoCellAnchor editAs="oneCell">
    <xdr:from>
      <xdr:col>50</xdr:col>
      <xdr:colOff>165100</xdr:colOff>
      <xdr:row>79</xdr:row>
      <xdr:rowOff>38100</xdr:rowOff>
    </xdr:from>
    <xdr:to>
      <xdr:col>55</xdr:col>
      <xdr:colOff>292100</xdr:colOff>
      <xdr:row>104</xdr:row>
      <xdr:rowOff>88900</xdr:rowOff>
    </xdr:to>
    <xdr:pic>
      <xdr:nvPicPr>
        <xdr:cNvPr id="5594" name="Picture 226">
          <a:extLst>
            <a:ext uri="{FF2B5EF4-FFF2-40B4-BE49-F238E27FC236}">
              <a16:creationId xmlns:a16="http://schemas.microsoft.com/office/drawing/2014/main" id="{530C2EE1-1390-C14E-9812-BC099D527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45" t="1482" r="15543" b="6227"/>
        <a:stretch>
          <a:fillRect/>
        </a:stretch>
      </xdr:blipFill>
      <xdr:spPr bwMode="auto">
        <a:xfrm>
          <a:off x="21501100" y="13309600"/>
          <a:ext cx="2146300" cy="424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203200</xdr:colOff>
      <xdr:row>89</xdr:row>
      <xdr:rowOff>25400</xdr:rowOff>
    </xdr:from>
    <xdr:to>
      <xdr:col>30</xdr:col>
      <xdr:colOff>114300</xdr:colOff>
      <xdr:row>93</xdr:row>
      <xdr:rowOff>114300</xdr:rowOff>
    </xdr:to>
    <xdr:sp macro="" textlink="">
      <xdr:nvSpPr>
        <xdr:cNvPr id="5285" name="WordArt 231">
          <a:extLst>
            <a:ext uri="{FF2B5EF4-FFF2-40B4-BE49-F238E27FC236}">
              <a16:creationId xmlns:a16="http://schemas.microsoft.com/office/drawing/2014/main" id="{38D846C9-54D7-7240-99FE-C2A52414D89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950700" y="15024100"/>
          <a:ext cx="927100" cy="7493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Installation Free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Stainless Steel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PVC Strip Doors</a:t>
          </a:r>
        </a:p>
      </xdr:txBody>
    </xdr:sp>
    <xdr:clientData/>
  </xdr:twoCellAnchor>
  <xdr:twoCellAnchor>
    <xdr:from>
      <xdr:col>28</xdr:col>
      <xdr:colOff>38100</xdr:colOff>
      <xdr:row>94</xdr:row>
      <xdr:rowOff>101600</xdr:rowOff>
    </xdr:from>
    <xdr:to>
      <xdr:col>30</xdr:col>
      <xdr:colOff>571500</xdr:colOff>
      <xdr:row>100</xdr:row>
      <xdr:rowOff>0</xdr:rowOff>
    </xdr:to>
    <xdr:sp macro="" textlink="">
      <xdr:nvSpPr>
        <xdr:cNvPr id="5286" name="WordArt 232">
          <a:extLst>
            <a:ext uri="{FF2B5EF4-FFF2-40B4-BE49-F238E27FC236}">
              <a16:creationId xmlns:a16="http://schemas.microsoft.com/office/drawing/2014/main" id="{BDCD21B4-A4E2-374D-A1E1-071EEAB9CD9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798300" y="15925800"/>
          <a:ext cx="1524000" cy="8763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Reduced  Refrigeration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Energy &amp; Maintainence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Costs (35-50%)</a:t>
          </a:r>
        </a:p>
      </xdr:txBody>
    </xdr:sp>
    <xdr:clientData/>
  </xdr:twoCellAnchor>
  <xdr:twoCellAnchor>
    <xdr:from>
      <xdr:col>31</xdr:col>
      <xdr:colOff>127000</xdr:colOff>
      <xdr:row>101</xdr:row>
      <xdr:rowOff>127000</xdr:rowOff>
    </xdr:from>
    <xdr:to>
      <xdr:col>34</xdr:col>
      <xdr:colOff>571500</xdr:colOff>
      <xdr:row>105</xdr:row>
      <xdr:rowOff>139700</xdr:rowOff>
    </xdr:to>
    <xdr:sp macro="" textlink="">
      <xdr:nvSpPr>
        <xdr:cNvPr id="5287" name="WordArt 233">
          <a:extLst>
            <a:ext uri="{FF2B5EF4-FFF2-40B4-BE49-F238E27FC236}">
              <a16:creationId xmlns:a16="http://schemas.microsoft.com/office/drawing/2014/main" id="{0A466154-2022-7D40-9172-7B39D5BB960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449300" y="17094200"/>
          <a:ext cx="1587500" cy="7366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Easy to Clean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&amp; Maintain The</a:t>
          </a:r>
        </a:p>
        <a:p>
          <a:pPr algn="ctr" rtl="0">
            <a:lnSpc>
              <a:spcPts val="1300"/>
            </a:lnSpc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PVC Strips</a:t>
          </a:r>
        </a:p>
      </xdr:txBody>
    </xdr:sp>
    <xdr:clientData/>
  </xdr:twoCellAnchor>
  <xdr:twoCellAnchor>
    <xdr:from>
      <xdr:col>29</xdr:col>
      <xdr:colOff>254000</xdr:colOff>
      <xdr:row>107</xdr:row>
      <xdr:rowOff>101600</xdr:rowOff>
    </xdr:from>
    <xdr:to>
      <xdr:col>31</xdr:col>
      <xdr:colOff>444500</xdr:colOff>
      <xdr:row>111</xdr:row>
      <xdr:rowOff>0</xdr:rowOff>
    </xdr:to>
    <xdr:sp macro="" textlink="">
      <xdr:nvSpPr>
        <xdr:cNvPr id="5288" name="WordArt 234">
          <a:extLst>
            <a:ext uri="{FF2B5EF4-FFF2-40B4-BE49-F238E27FC236}">
              <a16:creationId xmlns:a16="http://schemas.microsoft.com/office/drawing/2014/main" id="{52859A56-B654-DF4E-B2E6-7D75EE6CAC0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2204700" y="18173700"/>
          <a:ext cx="1562100" cy="5207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lnSpc>
              <a:spcPts val="1200"/>
            </a:lnSpc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Reduced PVC Strip</a:t>
          </a:r>
        </a:p>
        <a:p>
          <a:pPr algn="ctr" rtl="0">
            <a:lnSpc>
              <a:spcPts val="1200"/>
            </a:lnSpc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Damage &amp; Breakage </a:t>
          </a:r>
        </a:p>
      </xdr:txBody>
    </xdr:sp>
    <xdr:clientData/>
  </xdr:twoCellAnchor>
  <xdr:twoCellAnchor>
    <xdr:from>
      <xdr:col>30</xdr:col>
      <xdr:colOff>304800</xdr:colOff>
      <xdr:row>89</xdr:row>
      <xdr:rowOff>12700</xdr:rowOff>
    </xdr:from>
    <xdr:to>
      <xdr:col>33</xdr:col>
      <xdr:colOff>596900</xdr:colOff>
      <xdr:row>93</xdr:row>
      <xdr:rowOff>114300</xdr:rowOff>
    </xdr:to>
    <xdr:sp macro="" textlink="">
      <xdr:nvSpPr>
        <xdr:cNvPr id="5289" name="WordArt 235">
          <a:extLst>
            <a:ext uri="{FF2B5EF4-FFF2-40B4-BE49-F238E27FC236}">
              <a16:creationId xmlns:a16="http://schemas.microsoft.com/office/drawing/2014/main" id="{70A7585F-CC09-F748-8B67-4097143AC0F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068300" y="15011400"/>
          <a:ext cx="1473200" cy="7620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Hygienic &amp; Foodsafe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Prefered By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Health Authorities</a:t>
          </a:r>
        </a:p>
      </xdr:txBody>
    </xdr:sp>
    <xdr:clientData/>
  </xdr:twoCellAnchor>
  <xdr:twoCellAnchor>
    <xdr:from>
      <xdr:col>28</xdr:col>
      <xdr:colOff>63500</xdr:colOff>
      <xdr:row>101</xdr:row>
      <xdr:rowOff>88900</xdr:rowOff>
    </xdr:from>
    <xdr:to>
      <xdr:col>30</xdr:col>
      <xdr:colOff>520700</xdr:colOff>
      <xdr:row>105</xdr:row>
      <xdr:rowOff>152400</xdr:rowOff>
    </xdr:to>
    <xdr:sp macro="" textlink="">
      <xdr:nvSpPr>
        <xdr:cNvPr id="5290" name="WordArt 236">
          <a:extLst>
            <a:ext uri="{FF2B5EF4-FFF2-40B4-BE49-F238E27FC236}">
              <a16:creationId xmlns:a16="http://schemas.microsoft.com/office/drawing/2014/main" id="{69A771E5-BC26-1948-8C32-3907D9FCD04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823700" y="17056100"/>
          <a:ext cx="1460500" cy="787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Reduced PVS Strip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 Wear &amp; Extends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Working Life (100%)</a:t>
          </a:r>
        </a:p>
      </xdr:txBody>
    </xdr:sp>
    <xdr:clientData/>
  </xdr:twoCellAnchor>
  <xdr:twoCellAnchor>
    <xdr:from>
      <xdr:col>31</xdr:col>
      <xdr:colOff>177800</xdr:colOff>
      <xdr:row>95</xdr:row>
      <xdr:rowOff>63500</xdr:rowOff>
    </xdr:from>
    <xdr:to>
      <xdr:col>34</xdr:col>
      <xdr:colOff>508000</xdr:colOff>
      <xdr:row>100</xdr:row>
      <xdr:rowOff>114300</xdr:rowOff>
    </xdr:to>
    <xdr:sp macro="" textlink="">
      <xdr:nvSpPr>
        <xdr:cNvPr id="5291" name="WordArt 237">
          <a:extLst>
            <a:ext uri="{FF2B5EF4-FFF2-40B4-BE49-F238E27FC236}">
              <a16:creationId xmlns:a16="http://schemas.microsoft.com/office/drawing/2014/main" id="{650D834E-8202-9E47-9EBE-E74C0691244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500100" y="16052800"/>
          <a:ext cx="1536700" cy="8636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Long Life Non Corrosive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Stainless Steel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Headrail &amp; Hangers</a:t>
          </a:r>
        </a:p>
      </xdr:txBody>
    </xdr:sp>
    <xdr:clientData/>
  </xdr:twoCellAnchor>
  <xdr:twoCellAnchor>
    <xdr:from>
      <xdr:col>29</xdr:col>
      <xdr:colOff>203200</xdr:colOff>
      <xdr:row>111</xdr:row>
      <xdr:rowOff>0</xdr:rowOff>
    </xdr:from>
    <xdr:to>
      <xdr:col>31</xdr:col>
      <xdr:colOff>546100</xdr:colOff>
      <xdr:row>113</xdr:row>
      <xdr:rowOff>63500</xdr:rowOff>
    </xdr:to>
    <xdr:sp macro="" textlink="">
      <xdr:nvSpPr>
        <xdr:cNvPr id="5292" name="WordArt 238">
          <a:extLst>
            <a:ext uri="{FF2B5EF4-FFF2-40B4-BE49-F238E27FC236}">
              <a16:creationId xmlns:a16="http://schemas.microsoft.com/office/drawing/2014/main" id="{88878BED-00B6-834F-A7DE-2B4CD17624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2153900" y="18694400"/>
          <a:ext cx="1714500" cy="3937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50mm PVC Strip Overlap</a:t>
          </a:r>
        </a:p>
      </xdr:txBody>
    </xdr:sp>
    <xdr:clientData/>
  </xdr:twoCellAnchor>
  <xdr:twoCellAnchor>
    <xdr:from>
      <xdr:col>30</xdr:col>
      <xdr:colOff>508000</xdr:colOff>
      <xdr:row>83</xdr:row>
      <xdr:rowOff>127000</xdr:rowOff>
    </xdr:from>
    <xdr:to>
      <xdr:col>33</xdr:col>
      <xdr:colOff>444500</xdr:colOff>
      <xdr:row>87</xdr:row>
      <xdr:rowOff>139700</xdr:rowOff>
    </xdr:to>
    <xdr:sp macro="" textlink="">
      <xdr:nvSpPr>
        <xdr:cNvPr id="5293" name="WordArt 247">
          <a:extLst>
            <a:ext uri="{FF2B5EF4-FFF2-40B4-BE49-F238E27FC236}">
              <a16:creationId xmlns:a16="http://schemas.microsoft.com/office/drawing/2014/main" id="{81CD623B-A0B7-344B-99AA-5B2B6D0A5B2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71500" y="14135100"/>
          <a:ext cx="1231900" cy="6731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Stainless Steel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High Performance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PVC Strip Door</a:t>
          </a:r>
        </a:p>
      </xdr:txBody>
    </xdr:sp>
    <xdr:clientData/>
  </xdr:twoCellAnchor>
  <xdr:twoCellAnchor>
    <xdr:from>
      <xdr:col>29</xdr:col>
      <xdr:colOff>584200</xdr:colOff>
      <xdr:row>118</xdr:row>
      <xdr:rowOff>139700</xdr:rowOff>
    </xdr:from>
    <xdr:to>
      <xdr:col>33</xdr:col>
      <xdr:colOff>38100</xdr:colOff>
      <xdr:row>128</xdr:row>
      <xdr:rowOff>139700</xdr:rowOff>
    </xdr:to>
    <xdr:pic>
      <xdr:nvPicPr>
        <xdr:cNvPr id="5604" name="Picture 248" descr="BA2iN">
          <a:extLst>
            <a:ext uri="{FF2B5EF4-FFF2-40B4-BE49-F238E27FC236}">
              <a16:creationId xmlns:a16="http://schemas.microsoft.com/office/drawing/2014/main" id="{1A2A52C8-F332-1E4A-A6A9-24B5D9AB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4900" y="19989800"/>
          <a:ext cx="1562100" cy="165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952500</xdr:colOff>
      <xdr:row>77</xdr:row>
      <xdr:rowOff>139700</xdr:rowOff>
    </xdr:from>
    <xdr:to>
      <xdr:col>33</xdr:col>
      <xdr:colOff>368300</xdr:colOff>
      <xdr:row>82</xdr:row>
      <xdr:rowOff>38100</xdr:rowOff>
    </xdr:to>
    <xdr:sp macro="" textlink="">
      <xdr:nvSpPr>
        <xdr:cNvPr id="5295" name="WordArt 327">
          <a:extLst>
            <a:ext uri="{FF2B5EF4-FFF2-40B4-BE49-F238E27FC236}">
              <a16:creationId xmlns:a16="http://schemas.microsoft.com/office/drawing/2014/main" id="{68EB9D8C-859A-1248-8051-153A517C666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2763500" y="13030200"/>
          <a:ext cx="1663700" cy="8509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Inflate">
            <a:avLst>
              <a:gd name="adj" fmla="val 13634"/>
            </a:avLst>
          </a:prstTxWarp>
        </a:bodyPr>
        <a:lstStyle/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PVC Strip Door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300mm x 3mm Rib Flat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Ambient Coolroom Freezer Temp</a:t>
          </a:r>
        </a:p>
        <a:p>
          <a:pPr algn="ctr" rtl="0">
            <a:buNone/>
          </a:pPr>
          <a:r>
            <a:rPr lang="en-US" sz="12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latin typeface="Arial Rounded MT Bold" charset="0"/>
              <a:ea typeface="Arial Rounded MT Bold" charset="0"/>
              <a:cs typeface="Arial Rounded MT Bold" charset="0"/>
            </a:rPr>
            <a:t>Stainless Steel</a:t>
          </a:r>
        </a:p>
      </xdr:txBody>
    </xdr:sp>
    <xdr:clientData/>
  </xdr:twoCellAnchor>
  <xdr:twoCellAnchor>
    <xdr:from>
      <xdr:col>43</xdr:col>
      <xdr:colOff>0</xdr:colOff>
      <xdr:row>0</xdr:row>
      <xdr:rowOff>127000</xdr:rowOff>
    </xdr:from>
    <xdr:to>
      <xdr:col>44</xdr:col>
      <xdr:colOff>495300</xdr:colOff>
      <xdr:row>3</xdr:row>
      <xdr:rowOff>0</xdr:rowOff>
    </xdr:to>
    <xdr:pic>
      <xdr:nvPicPr>
        <xdr:cNvPr id="5606" name="Picture 335">
          <a:extLst>
            <a:ext uri="{FF2B5EF4-FFF2-40B4-BE49-F238E27FC236}">
              <a16:creationId xmlns:a16="http://schemas.microsoft.com/office/drawing/2014/main" id="{43C28DEE-82A5-A840-8C09-DB5A0EC70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7" t="5051" r="18779" b="20203"/>
        <a:stretch>
          <a:fillRect/>
        </a:stretch>
      </xdr:blipFill>
      <xdr:spPr bwMode="auto">
        <a:xfrm>
          <a:off x="17792700" y="127000"/>
          <a:ext cx="13462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12700</xdr:colOff>
      <xdr:row>0</xdr:row>
      <xdr:rowOff>76200</xdr:rowOff>
    </xdr:from>
    <xdr:to>
      <xdr:col>30</xdr:col>
      <xdr:colOff>520700</xdr:colOff>
      <xdr:row>2</xdr:row>
      <xdr:rowOff>152400</xdr:rowOff>
    </xdr:to>
    <xdr:pic>
      <xdr:nvPicPr>
        <xdr:cNvPr id="5607" name="Picture 336">
          <a:extLst>
            <a:ext uri="{FF2B5EF4-FFF2-40B4-BE49-F238E27FC236}">
              <a16:creationId xmlns:a16="http://schemas.microsoft.com/office/drawing/2014/main" id="{803DAF14-A08A-914E-8EAB-B19BD54A8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7" t="5051" r="18779" b="20203"/>
        <a:stretch>
          <a:fillRect/>
        </a:stretch>
      </xdr:blipFill>
      <xdr:spPr bwMode="auto">
        <a:xfrm>
          <a:off x="11963400" y="76200"/>
          <a:ext cx="13208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139700</xdr:rowOff>
    </xdr:from>
    <xdr:to>
      <xdr:col>6</xdr:col>
      <xdr:colOff>88900</xdr:colOff>
      <xdr:row>3</xdr:row>
      <xdr:rowOff>12700</xdr:rowOff>
    </xdr:to>
    <xdr:pic>
      <xdr:nvPicPr>
        <xdr:cNvPr id="5608" name="Picture 337">
          <a:extLst>
            <a:ext uri="{FF2B5EF4-FFF2-40B4-BE49-F238E27FC236}">
              <a16:creationId xmlns:a16="http://schemas.microsoft.com/office/drawing/2014/main" id="{9AA150F2-6BDA-2F43-9783-D3BEBF89F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7" t="5051" r="18779" b="20203"/>
        <a:stretch>
          <a:fillRect/>
        </a:stretch>
      </xdr:blipFill>
      <xdr:spPr bwMode="auto">
        <a:xfrm>
          <a:off x="266700" y="139700"/>
          <a:ext cx="1422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35</xdr:col>
      <xdr:colOff>177800</xdr:colOff>
      <xdr:row>85</xdr:row>
      <xdr:rowOff>25400</xdr:rowOff>
    </xdr:from>
    <xdr:to>
      <xdr:col>43</xdr:col>
      <xdr:colOff>431800</xdr:colOff>
      <xdr:row>92</xdr:row>
      <xdr:rowOff>127000</xdr:rowOff>
    </xdr:to>
    <xdr:pic>
      <xdr:nvPicPr>
        <xdr:cNvPr id="5609" name="Picture 338">
          <a:extLst>
            <a:ext uri="{FF2B5EF4-FFF2-40B4-BE49-F238E27FC236}">
              <a16:creationId xmlns:a16="http://schemas.microsoft.com/office/drawing/2014/main" id="{7DE318EF-AC2C-554B-9BCB-884DF2CC9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98" b="56801"/>
        <a:stretch>
          <a:fillRect/>
        </a:stretch>
      </xdr:blipFill>
      <xdr:spPr bwMode="auto">
        <a:xfrm>
          <a:off x="15214600" y="14363700"/>
          <a:ext cx="30099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1092200</xdr:colOff>
      <xdr:row>277</xdr:row>
      <xdr:rowOff>0</xdr:rowOff>
    </xdr:from>
    <xdr:to>
      <xdr:col>17</xdr:col>
      <xdr:colOff>609600</xdr:colOff>
      <xdr:row>277</xdr:row>
      <xdr:rowOff>0</xdr:rowOff>
    </xdr:to>
    <xdr:sp macro="" textlink="">
      <xdr:nvSpPr>
        <xdr:cNvPr id="1363" name="Text Box 339">
          <a:extLst>
            <a:ext uri="{FF2B5EF4-FFF2-40B4-BE49-F238E27FC236}">
              <a16:creationId xmlns:a16="http://schemas.microsoft.com/office/drawing/2014/main" id="{7F22BA3B-C602-2646-805B-9851DBBE0633}"/>
            </a:ext>
          </a:extLst>
        </xdr:cNvPr>
        <xdr:cNvSpPr txBox="1">
          <a:spLocks noChangeArrowheads="1"/>
        </xdr:cNvSpPr>
      </xdr:nvSpPr>
      <xdr:spPr bwMode="auto">
        <a:xfrm>
          <a:off x="9791700" y="41224200"/>
          <a:ext cx="13208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Isochill International Pty Ltd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50 Dudley Street 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West Melbourne 3003</a:t>
          </a: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Victoria  Australia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Ph     03 9326-7977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Fax   03 9326-7955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E-mail   isochill@hotmail.com</a:t>
          </a:r>
          <a:r>
            <a:rPr lang="en-US" sz="900" b="0" i="0" u="none" strike="noStrike" baseline="0">
              <a:solidFill>
                <a:srgbClr val="000000"/>
              </a:solidFill>
              <a:latin typeface="Helv"/>
              <a:ea typeface="Helv"/>
              <a:cs typeface="Helv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08"/>
  <sheetViews>
    <sheetView tabSelected="1" topLeftCell="AT1" zoomScale="137" zoomScaleNormal="137" workbookViewId="0">
      <selection activeCell="AL10" sqref="AL10"/>
    </sheetView>
  </sheetViews>
  <sheetFormatPr defaultColWidth="9.3046875" defaultRowHeight="11.65"/>
  <cols>
    <col min="1" max="7" width="3.4609375" style="7" customWidth="1"/>
    <col min="8" max="12" width="6.3046875" style="7" customWidth="1"/>
    <col min="13" max="13" width="9.3046875" style="7" customWidth="1"/>
    <col min="14" max="14" width="10.84375" style="7" customWidth="1"/>
    <col min="15" max="15" width="12.4609375" style="7" customWidth="1"/>
    <col min="16" max="18" width="6.69140625" style="7" customWidth="1"/>
    <col min="19" max="20" width="2.4609375" style="7" customWidth="1"/>
    <col min="21" max="26" width="6" style="7" customWidth="1"/>
    <col min="27" max="27" width="2.3046875" style="7" customWidth="1"/>
    <col min="28" max="28" width="2.15234375" style="7" customWidth="1"/>
    <col min="29" max="29" width="2.4609375" style="7" customWidth="1"/>
    <col min="30" max="30" width="10.69140625" style="7" customWidth="1"/>
    <col min="31" max="32" width="7.3046875" style="7" customWidth="1"/>
    <col min="33" max="33" width="2.3046875" style="7" customWidth="1"/>
    <col min="34" max="34" width="6.3046875" style="7" customWidth="1"/>
    <col min="35" max="35" width="6.4609375" style="7" customWidth="1"/>
    <col min="36" max="36" width="6.3046875" style="7" customWidth="1"/>
    <col min="37" max="37" width="2.84375" style="7" customWidth="1"/>
    <col min="38" max="38" width="31.3828125" style="7" bestFit="1" customWidth="1"/>
    <col min="39" max="39" width="2.3046875" style="7" customWidth="1"/>
    <col min="40" max="40" width="13.23046875" style="7" bestFit="1" customWidth="1"/>
    <col min="41" max="41" width="3.15234375" style="7" customWidth="1"/>
    <col min="42" max="43" width="2.4609375" style="7" customWidth="1"/>
    <col min="44" max="44" width="11.15234375" style="7" customWidth="1"/>
    <col min="45" max="46" width="6.69140625" style="7" customWidth="1"/>
    <col min="47" max="47" width="2" style="7" customWidth="1"/>
    <col min="48" max="48" width="6.84375" style="7" customWidth="1"/>
    <col min="49" max="49" width="6.69140625" style="7" customWidth="1"/>
    <col min="50" max="50" width="6.4609375" style="7" customWidth="1"/>
    <col min="51" max="51" width="4" style="7" customWidth="1"/>
    <col min="52" max="52" width="7.4609375" style="7" customWidth="1"/>
    <col min="53" max="53" width="2.69140625" style="7" customWidth="1"/>
    <col min="54" max="54" width="8.15234375" style="7" customWidth="1"/>
    <col min="55" max="55" width="4.15234375" style="7" customWidth="1"/>
    <col min="56" max="79" width="9" style="7" customWidth="1"/>
    <col min="80" max="16384" width="9.3046875" style="7"/>
  </cols>
  <sheetData>
    <row r="1" spans="1:69" ht="27.75">
      <c r="A1" s="1"/>
      <c r="B1" s="1"/>
      <c r="C1" s="1"/>
      <c r="D1" s="1"/>
      <c r="E1" s="1"/>
      <c r="F1" s="1"/>
      <c r="G1" s="1"/>
      <c r="H1" s="2"/>
      <c r="I1" s="2"/>
      <c r="J1" s="2"/>
      <c r="K1" s="1"/>
      <c r="L1" s="3"/>
      <c r="M1" s="3"/>
      <c r="N1" s="2"/>
      <c r="O1" s="188" t="s">
        <v>296</v>
      </c>
      <c r="P1" s="1"/>
      <c r="Q1" s="1"/>
      <c r="R1" s="4">
        <f>IF(AND($P$13&gt;=50,$P$16&gt;=300,$P$22&gt;=3,$P$25=A25,$P$28=A28,$P$32=A32),"Forklift Palett trucks Heavy duty ss ",IF(AND($P$13&lt;50,$P$16&lt;300,$P$22&lt;3,$P$25=A25,$P$28=A28,$P$32=A32),"Palett trucks Heavy duty ss ",))</f>
        <v>0</v>
      </c>
      <c r="S1" s="3"/>
      <c r="T1" s="8"/>
      <c r="U1" s="9"/>
      <c r="V1" s="6"/>
      <c r="W1" s="6"/>
      <c r="X1" s="1"/>
      <c r="Y1" s="6"/>
      <c r="Z1" s="1"/>
      <c r="AK1" s="10"/>
      <c r="AL1" s="175" t="s">
        <v>126</v>
      </c>
      <c r="AM1" s="10"/>
      <c r="AY1" s="10"/>
      <c r="AZ1" s="175" t="s">
        <v>126</v>
      </c>
      <c r="BA1" s="10"/>
      <c r="BI1" s="10"/>
      <c r="BK1" s="10"/>
      <c r="BO1" s="11"/>
      <c r="BQ1" s="12"/>
    </row>
    <row r="2" spans="1:69" ht="27.75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1"/>
      <c r="N2" s="1"/>
      <c r="O2" s="1"/>
      <c r="P2" s="1"/>
      <c r="Q2" s="1"/>
      <c r="R2" s="1"/>
      <c r="S2" s="3"/>
      <c r="T2" s="8"/>
      <c r="U2" s="13"/>
      <c r="V2" s="14"/>
      <c r="W2" s="15"/>
      <c r="X2" s="16"/>
      <c r="Y2" s="16"/>
      <c r="Z2" s="1"/>
      <c r="AK2" s="10"/>
      <c r="AL2" s="175" t="s">
        <v>108</v>
      </c>
      <c r="AM2" s="10"/>
      <c r="AY2" s="10"/>
      <c r="AZ2" s="175" t="s">
        <v>200</v>
      </c>
      <c r="BA2" s="10"/>
      <c r="BI2" s="10"/>
      <c r="BK2" s="10"/>
      <c r="BO2" s="11"/>
    </row>
    <row r="3" spans="1:69" ht="15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3"/>
      <c r="M3" s="1"/>
      <c r="N3" s="1"/>
      <c r="O3" s="1"/>
      <c r="P3" s="17"/>
      <c r="Q3" s="1"/>
      <c r="R3" s="1"/>
      <c r="S3" s="9" t="s">
        <v>74</v>
      </c>
      <c r="T3" s="8"/>
      <c r="U3" s="6"/>
      <c r="V3" s="6"/>
      <c r="W3" s="6"/>
      <c r="X3" s="1"/>
      <c r="Y3" s="4"/>
      <c r="Z3" s="8"/>
      <c r="AH3" s="247" t="s">
        <v>71</v>
      </c>
      <c r="AI3" s="248"/>
      <c r="AJ3" s="248"/>
      <c r="AK3" s="248"/>
      <c r="AL3" s="248"/>
      <c r="AM3" s="248"/>
      <c r="AN3" s="249"/>
      <c r="AV3" s="247" t="s">
        <v>368</v>
      </c>
      <c r="AW3" s="248"/>
      <c r="AX3" s="248"/>
      <c r="AY3" s="248"/>
      <c r="AZ3" s="248"/>
      <c r="BA3" s="248"/>
      <c r="BB3" s="249"/>
    </row>
    <row r="4" spans="1:69" ht="14" customHeight="1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1"/>
      <c r="N4" s="1"/>
      <c r="O4" s="1"/>
      <c r="P4" s="1"/>
      <c r="Q4" s="1"/>
      <c r="R4" s="2"/>
      <c r="S4" s="2" t="s">
        <v>291</v>
      </c>
      <c r="T4" s="8"/>
      <c r="U4" s="6"/>
      <c r="V4" s="6"/>
      <c r="W4" s="6"/>
      <c r="X4" s="1"/>
      <c r="Y4" s="6"/>
      <c r="Z4" s="1"/>
      <c r="AD4" s="26" t="s">
        <v>354</v>
      </c>
      <c r="AH4" s="19" t="s">
        <v>14</v>
      </c>
      <c r="AI4" s="246" t="s">
        <v>20</v>
      </c>
      <c r="AJ4" s="7" t="s">
        <v>145</v>
      </c>
      <c r="AK4" s="250" t="s">
        <v>70</v>
      </c>
      <c r="AL4" s="250"/>
      <c r="AM4" s="250"/>
      <c r="AN4" s="250"/>
      <c r="AR4" s="26" t="s">
        <v>354</v>
      </c>
      <c r="AV4" s="19" t="s">
        <v>14</v>
      </c>
      <c r="AW4" s="246" t="s">
        <v>20</v>
      </c>
      <c r="AX4" s="7" t="s">
        <v>145</v>
      </c>
      <c r="AY4" s="250" t="s">
        <v>30</v>
      </c>
      <c r="AZ4" s="250"/>
      <c r="BA4" s="250"/>
      <c r="BB4" s="250"/>
    </row>
    <row r="5" spans="1:69" ht="17.25">
      <c r="A5" s="176" t="s">
        <v>318</v>
      </c>
      <c r="B5" s="177"/>
      <c r="C5" s="20"/>
      <c r="D5" s="20"/>
      <c r="E5" s="20"/>
      <c r="F5" s="20"/>
      <c r="G5" s="20"/>
      <c r="H5" s="2"/>
      <c r="I5" s="2"/>
      <c r="J5" s="2" t="s">
        <v>109</v>
      </c>
      <c r="K5" s="1"/>
      <c r="L5" s="2"/>
      <c r="M5" s="3" t="s">
        <v>9</v>
      </c>
      <c r="N5" s="1"/>
      <c r="O5" s="3" t="s">
        <v>109</v>
      </c>
      <c r="P5" s="1" t="s">
        <v>197</v>
      </c>
      <c r="Q5" s="21"/>
      <c r="R5" s="22"/>
      <c r="S5" s="23"/>
      <c r="T5" s="24"/>
      <c r="U5" s="25"/>
      <c r="V5" s="25"/>
      <c r="W5" s="25"/>
      <c r="X5" s="25"/>
      <c r="Y5" s="6"/>
      <c r="Z5" s="1"/>
      <c r="AD5" s="26" t="s">
        <v>355</v>
      </c>
      <c r="AH5" s="19" t="s">
        <v>428</v>
      </c>
      <c r="AI5" s="112"/>
      <c r="AJ5" s="7" t="s">
        <v>264</v>
      </c>
      <c r="AK5" s="253" t="s">
        <v>31</v>
      </c>
      <c r="AL5" s="253"/>
      <c r="AM5" s="253"/>
      <c r="AN5" s="253"/>
      <c r="AR5" s="26" t="s">
        <v>355</v>
      </c>
      <c r="AV5" s="19" t="s">
        <v>428</v>
      </c>
      <c r="AW5" s="112"/>
      <c r="AX5" s="7" t="s">
        <v>264</v>
      </c>
      <c r="AY5" s="253" t="s">
        <v>31</v>
      </c>
      <c r="AZ5" s="253"/>
      <c r="BA5" s="253"/>
      <c r="BB5" s="253"/>
    </row>
    <row r="6" spans="1:69" ht="12.75">
      <c r="A6" s="1"/>
      <c r="B6" s="1"/>
      <c r="C6" s="1"/>
      <c r="D6" s="1"/>
      <c r="E6" s="1"/>
      <c r="F6" s="1"/>
      <c r="G6" s="1"/>
      <c r="H6" s="2"/>
      <c r="I6" s="2"/>
      <c r="J6" s="2" t="s">
        <v>298</v>
      </c>
      <c r="K6" s="1"/>
      <c r="L6" s="2"/>
      <c r="M6" s="3" t="s">
        <v>262</v>
      </c>
      <c r="N6" s="1"/>
      <c r="O6" s="3" t="s">
        <v>298</v>
      </c>
      <c r="P6" s="3" t="s">
        <v>262</v>
      </c>
      <c r="Q6" s="27"/>
      <c r="R6" s="23"/>
      <c r="S6" s="28"/>
      <c r="T6" s="29"/>
      <c r="U6" s="30"/>
      <c r="V6" s="25"/>
      <c r="W6" s="25"/>
      <c r="X6" s="25"/>
      <c r="Y6" s="6"/>
      <c r="Z6" s="1"/>
      <c r="AD6" s="26" t="s">
        <v>356</v>
      </c>
      <c r="AJ6" s="7" t="s">
        <v>271</v>
      </c>
      <c r="AK6" s="253" t="s">
        <v>32</v>
      </c>
      <c r="AL6" s="253"/>
      <c r="AM6" s="7" t="s">
        <v>112</v>
      </c>
      <c r="AN6" s="213" t="s">
        <v>32</v>
      </c>
      <c r="AR6" s="26" t="s">
        <v>356</v>
      </c>
      <c r="AX6" s="7" t="s">
        <v>271</v>
      </c>
      <c r="AY6" s="253" t="s">
        <v>32</v>
      </c>
      <c r="AZ6" s="253"/>
      <c r="BA6" s="7" t="s">
        <v>112</v>
      </c>
      <c r="BB6" s="213" t="s">
        <v>32</v>
      </c>
    </row>
    <row r="7" spans="1:69" s="19" customFormat="1" ht="12.75">
      <c r="A7" s="3"/>
      <c r="B7" s="3"/>
      <c r="C7" s="3"/>
      <c r="D7" s="3"/>
      <c r="E7" s="3"/>
      <c r="F7" s="3"/>
      <c r="G7" s="3"/>
      <c r="H7" s="3"/>
      <c r="I7" s="3"/>
      <c r="J7" s="3"/>
      <c r="K7" s="1"/>
      <c r="L7" s="3"/>
      <c r="M7" s="3"/>
      <c r="N7" s="3"/>
      <c r="O7" s="1"/>
      <c r="P7" s="3"/>
      <c r="Q7" s="3"/>
      <c r="R7" s="31"/>
      <c r="S7" s="28"/>
      <c r="T7" s="29"/>
      <c r="U7" s="31"/>
      <c r="V7" s="25"/>
      <c r="W7" s="25"/>
      <c r="X7" s="22"/>
      <c r="Y7" s="6"/>
      <c r="Z7" s="1"/>
      <c r="AA7" s="7"/>
      <c r="AD7" s="26"/>
      <c r="AE7" s="7"/>
      <c r="AF7" s="7"/>
      <c r="AN7" s="32"/>
      <c r="AR7" s="26"/>
      <c r="AS7" s="7"/>
      <c r="AT7" s="7"/>
      <c r="BB7" s="32"/>
    </row>
    <row r="8" spans="1:69" s="39" customFormat="1" ht="12.75">
      <c r="A8" s="17"/>
      <c r="B8" s="3">
        <v>50</v>
      </c>
      <c r="C8" s="3">
        <v>100</v>
      </c>
      <c r="D8" s="17"/>
      <c r="E8" s="17"/>
      <c r="F8" s="17"/>
      <c r="G8" s="17"/>
      <c r="H8" s="17"/>
      <c r="I8" s="17"/>
      <c r="J8" s="33">
        <f>($R$8)</f>
        <v>50</v>
      </c>
      <c r="K8" s="17"/>
      <c r="L8" s="17"/>
      <c r="M8" s="34">
        <v>4500</v>
      </c>
      <c r="N8" s="35" t="s">
        <v>458</v>
      </c>
      <c r="O8" s="33">
        <f>($R$8)</f>
        <v>50</v>
      </c>
      <c r="P8" s="36">
        <f>(J8+M8+O8)</f>
        <v>4600</v>
      </c>
      <c r="Q8" s="17"/>
      <c r="R8" s="35">
        <f>(IF($P$25=$A$25,50,IF($P$25=$B$25,50,IF($P$25=$C$25,50,IF($P$25=$D$25,50)))))</f>
        <v>50</v>
      </c>
      <c r="S8" s="37" t="str">
        <f>(IF($P$25=$A$25,"Std temp min 50mm cover each side of the door",IF($P$25=$B$25,"Polar temp min 50mm cover each side of the door",IF($P$25=$C$25,"Polar temp min 50mm cover each side of the door",IF($P$25=$D$25,"Polar temp min 50mm cover each side of the door")))))</f>
        <v>Std temp min 50mm cover each side of the door</v>
      </c>
      <c r="T8" s="17"/>
      <c r="U8" s="17"/>
      <c r="V8" s="38"/>
      <c r="W8" s="38"/>
      <c r="X8" s="38"/>
      <c r="Y8" s="38"/>
      <c r="Z8" s="4"/>
      <c r="AN8" s="40"/>
      <c r="AX8" s="7"/>
      <c r="AY8" s="41" t="s">
        <v>109</v>
      </c>
      <c r="AZ8" s="42">
        <f>($M$8)</f>
        <v>4500</v>
      </c>
      <c r="BB8" s="40"/>
    </row>
    <row r="9" spans="1:69" s="19" customFormat="1" ht="12.75">
      <c r="A9" s="3"/>
      <c r="B9" s="3"/>
      <c r="C9" s="3"/>
      <c r="D9" s="3"/>
      <c r="E9" s="3"/>
      <c r="F9" s="3"/>
      <c r="G9" s="3"/>
      <c r="H9" s="3" t="s">
        <v>144</v>
      </c>
      <c r="I9" s="43"/>
      <c r="J9" s="3"/>
      <c r="K9" s="3"/>
      <c r="L9" s="3"/>
      <c r="M9" s="3"/>
      <c r="N9" s="3"/>
      <c r="O9" s="3"/>
      <c r="P9" s="3"/>
      <c r="Q9" s="3" t="s">
        <v>90</v>
      </c>
      <c r="R9" s="1"/>
      <c r="S9" s="3"/>
      <c r="T9" s="5"/>
      <c r="U9" s="6"/>
      <c r="V9" s="6"/>
      <c r="W9" s="6"/>
      <c r="X9" s="6"/>
      <c r="Y9" s="6"/>
      <c r="Z9" s="6"/>
      <c r="AA9" s="44"/>
      <c r="AC9" s="39">
        <v>2</v>
      </c>
      <c r="AD9" s="26" t="s">
        <v>315</v>
      </c>
      <c r="AE9" s="42">
        <v>4000</v>
      </c>
      <c r="AF9" s="51">
        <v>9000</v>
      </c>
      <c r="AG9" s="46" t="s">
        <v>120</v>
      </c>
      <c r="AH9" s="42">
        <v>4000</v>
      </c>
      <c r="AI9" s="51" t="s">
        <v>439</v>
      </c>
      <c r="AJ9" s="183">
        <f>($P$66)</f>
        <v>4800</v>
      </c>
      <c r="AK9" s="184">
        <v>0</v>
      </c>
      <c r="AL9" s="241">
        <f>($R$380)-(($R$380)*AK9%)+($AL$75)</f>
        <v>1440.7405159999998</v>
      </c>
      <c r="AM9" s="232"/>
      <c r="AN9" s="233">
        <f>(AC9*AL9)</f>
        <v>2881.4810319999997</v>
      </c>
      <c r="AQ9" s="39"/>
      <c r="AR9" s="26"/>
      <c r="AS9" s="42"/>
      <c r="AT9" s="45"/>
      <c r="AU9" s="46"/>
      <c r="AV9" s="42"/>
      <c r="AW9" s="45"/>
      <c r="AX9" s="51"/>
      <c r="AY9" s="7"/>
      <c r="AZ9" s="49"/>
      <c r="BA9" s="7"/>
      <c r="BB9" s="50"/>
    </row>
    <row r="10" spans="1:69" ht="12.75">
      <c r="A10" s="3">
        <v>0</v>
      </c>
      <c r="B10" s="3">
        <v>100</v>
      </c>
      <c r="C10" s="3">
        <v>200</v>
      </c>
      <c r="D10" s="3">
        <v>300</v>
      </c>
      <c r="E10" s="3">
        <v>400</v>
      </c>
      <c r="F10" s="1"/>
      <c r="G10" s="1"/>
      <c r="H10" s="3" t="s">
        <v>177</v>
      </c>
      <c r="I10" s="52" t="str">
        <f>(IF($J$10=$A$10,"0",IF($J$10=$B$10,"100",IF($J$10=$C$10,"200",IF($J$10=$D$10,"300",IF($J$10=$E$10,"400"))))))</f>
        <v>0</v>
      </c>
      <c r="J10" s="53">
        <v>0</v>
      </c>
      <c r="K10" s="54" t="str">
        <f>(IF($J$10=$A$10,"0mm",IF($J$10=$B$10,"100mm",IF($J$10=$C$10,"200mm",IF($J$10=$D$10,"300mm",IF($J$10=$E$10,"400mm"))))))</f>
        <v>0mm</v>
      </c>
      <c r="L10" s="3"/>
      <c r="M10" s="3"/>
      <c r="N10" s="2"/>
      <c r="O10" s="1"/>
      <c r="P10" s="1"/>
      <c r="Q10" s="55">
        <v>0</v>
      </c>
      <c r="R10" s="3"/>
      <c r="S10" s="3"/>
      <c r="T10" s="5"/>
      <c r="U10" s="6"/>
      <c r="V10" s="56"/>
      <c r="W10" s="56"/>
      <c r="X10" s="56"/>
      <c r="Y10" s="56"/>
      <c r="Z10" s="56"/>
      <c r="AA10" s="57"/>
      <c r="AB10" s="19"/>
      <c r="AC10" s="58"/>
      <c r="AD10" s="19" t="s">
        <v>418</v>
      </c>
      <c r="AE10" s="59" t="str">
        <f>($S$32)</f>
        <v>Galvinsed</v>
      </c>
      <c r="AF10" s="19"/>
      <c r="AH10" s="60">
        <f>($R$12)</f>
        <v>50</v>
      </c>
      <c r="AI10" s="59" t="str">
        <f>($S$13)</f>
        <v>mm overlap</v>
      </c>
      <c r="AJ10" s="47">
        <f>($P$66-$M$8)/2</f>
        <v>150</v>
      </c>
      <c r="AL10" s="232"/>
      <c r="AM10" s="232"/>
      <c r="AN10" s="233"/>
      <c r="AO10" s="19"/>
      <c r="AP10" s="19"/>
      <c r="AQ10" s="58"/>
      <c r="AR10" s="51" t="s">
        <v>372</v>
      </c>
      <c r="AS10" s="42">
        <f>($I$17)</f>
        <v>4000</v>
      </c>
      <c r="AT10" s="45" t="s">
        <v>277</v>
      </c>
      <c r="AV10" s="19"/>
      <c r="AW10" s="44"/>
      <c r="BB10" s="50"/>
      <c r="BC10" s="19"/>
    </row>
    <row r="11" spans="1:69" ht="12.75">
      <c r="A11" s="1"/>
      <c r="B11" s="1"/>
      <c r="C11" s="1"/>
      <c r="D11" s="1"/>
      <c r="E11" s="1"/>
      <c r="F11" s="1"/>
      <c r="G11" s="1"/>
      <c r="H11" s="3"/>
      <c r="I11" s="17"/>
      <c r="J11" s="2"/>
      <c r="K11" s="1"/>
      <c r="L11" s="3"/>
      <c r="M11" s="3"/>
      <c r="N11" s="2"/>
      <c r="O11" s="1"/>
      <c r="P11" s="61"/>
      <c r="Q11" s="62"/>
      <c r="R11" s="3"/>
      <c r="S11" s="17"/>
      <c r="T11" s="63"/>
      <c r="U11" s="6"/>
      <c r="V11" s="64"/>
      <c r="W11" s="64"/>
      <c r="X11" s="64"/>
      <c r="Y11" s="64"/>
      <c r="Z11" s="64"/>
      <c r="AA11" s="65"/>
      <c r="AC11" s="58"/>
      <c r="AD11" s="19" t="s">
        <v>72</v>
      </c>
      <c r="AE11" s="60">
        <f>($P$19)</f>
        <v>300</v>
      </c>
      <c r="AF11" s="45" t="s">
        <v>439</v>
      </c>
      <c r="AG11" s="19" t="s">
        <v>120</v>
      </c>
      <c r="AH11" s="66">
        <f>($P$22)</f>
        <v>3</v>
      </c>
      <c r="AI11" s="45" t="s">
        <v>282</v>
      </c>
      <c r="AJ11" s="67">
        <f>($Q$104)</f>
        <v>69.5</v>
      </c>
      <c r="AL11" s="158"/>
      <c r="AM11" s="232"/>
      <c r="AN11" s="233"/>
      <c r="AQ11" s="58"/>
      <c r="AR11" s="51" t="s">
        <v>213</v>
      </c>
      <c r="AS11" s="42">
        <f>($M$8)</f>
        <v>4500</v>
      </c>
      <c r="AT11" s="45" t="s">
        <v>277</v>
      </c>
      <c r="AU11" s="19"/>
      <c r="AV11" s="66"/>
      <c r="AW11" s="45"/>
      <c r="AX11" s="45"/>
      <c r="AZ11" s="57"/>
      <c r="BB11" s="50"/>
    </row>
    <row r="12" spans="1:69" ht="14" customHeight="1">
      <c r="A12" s="1"/>
      <c r="B12" s="1"/>
      <c r="C12" s="1"/>
      <c r="D12" s="1"/>
      <c r="E12" s="1"/>
      <c r="F12" s="1"/>
      <c r="G12" s="1"/>
      <c r="H12" s="3"/>
      <c r="I12" s="17"/>
      <c r="J12" s="2"/>
      <c r="K12" s="1"/>
      <c r="L12" s="3"/>
      <c r="M12" s="3"/>
      <c r="N12" s="2"/>
      <c r="O12" s="1"/>
      <c r="P12" s="258" t="s">
        <v>410</v>
      </c>
      <c r="Q12" s="258"/>
      <c r="R12" s="196">
        <f>IF(AND($P$13=$C$13,$P$16=150,$P$19=100,$R$19=2),15,$R$13)</f>
        <v>50</v>
      </c>
      <c r="S12" s="17"/>
      <c r="T12" s="63"/>
      <c r="U12" s="6"/>
      <c r="V12" s="69"/>
      <c r="W12" s="64"/>
      <c r="X12" s="64"/>
      <c r="Y12" s="64"/>
      <c r="Z12" s="64"/>
      <c r="AA12" s="65"/>
      <c r="AD12" s="19" t="s">
        <v>227</v>
      </c>
      <c r="AE12" s="44" t="str">
        <f>($S$25)</f>
        <v>Coolroom Ambient Temp</v>
      </c>
      <c r="AG12" s="59" t="str">
        <f>($S$28)</f>
        <v>Ribbed profile</v>
      </c>
      <c r="AI12" s="47"/>
      <c r="AJ12" s="189">
        <f>($P$69)</f>
        <v>19</v>
      </c>
      <c r="AL12" s="232"/>
      <c r="AM12" s="232"/>
      <c r="AN12" s="232"/>
      <c r="AR12" s="51" t="s">
        <v>75</v>
      </c>
      <c r="AS12" s="60">
        <f>($P$66)</f>
        <v>4800</v>
      </c>
      <c r="AT12" s="45" t="s">
        <v>277</v>
      </c>
      <c r="AV12" s="45" t="s">
        <v>270</v>
      </c>
    </row>
    <row r="13" spans="1:69" ht="13.05" customHeight="1">
      <c r="A13" s="1">
        <v>33</v>
      </c>
      <c r="B13" s="1">
        <v>66</v>
      </c>
      <c r="C13" s="3">
        <v>0</v>
      </c>
      <c r="D13" s="1">
        <v>10</v>
      </c>
      <c r="E13" s="1">
        <v>20</v>
      </c>
      <c r="F13" s="1">
        <v>25</v>
      </c>
      <c r="G13" s="1">
        <v>50</v>
      </c>
      <c r="H13" s="3">
        <v>100</v>
      </c>
      <c r="I13" s="17"/>
      <c r="J13" s="2"/>
      <c r="K13" s="1"/>
      <c r="L13" s="3"/>
      <c r="M13" s="3"/>
      <c r="N13" s="2"/>
      <c r="O13" s="70" t="s">
        <v>338</v>
      </c>
      <c r="P13" s="71">
        <v>50</v>
      </c>
      <c r="Q13" s="71">
        <v>50</v>
      </c>
      <c r="R13" s="35">
        <f>(IF(P13=A13,($P$16*33.333%)/2,IF(P13=B13,($P$16*66.666%)/2,IF(P13=C13,C13,IF(P13=D13,D13,IF(P13=E13,E13,IF(P13=F13,F13,IF(P13=G13,G13,IF(P13=H13,H13)))))))))</f>
        <v>50</v>
      </c>
      <c r="S13" s="54" t="str">
        <f>(IF($P$13=$A$13,"mm  33.3% overlap",IF($P$13=$B$13,"mm  66.6% overlap",IF($P$13=$C$13,"mm overlap",IF($P$13=$D$13,"mm overlap",IF($P$13=$E$13,"mm overlap",IF($P$13=$F$13,"mm overlap",IF($P$13=$G$13,"mm overlap",IF($P$13=$H$13,"mm overlap")))))))))</f>
        <v>mm overlap</v>
      </c>
      <c r="T13" s="63"/>
      <c r="U13" s="6"/>
      <c r="V13" s="6"/>
      <c r="W13" s="214" t="s">
        <v>192</v>
      </c>
      <c r="X13" s="215" t="s">
        <v>5</v>
      </c>
      <c r="Y13" s="216"/>
      <c r="Z13" s="217"/>
      <c r="AA13" s="218"/>
      <c r="AD13" s="19" t="str">
        <f>(IF($Q$10&gt;=1,"PVC Strips Special","."))</f>
        <v>.</v>
      </c>
      <c r="AE13" s="19" t="str">
        <f>(IF($Q$10&gt;=1,$Q$19,"."))</f>
        <v>.</v>
      </c>
      <c r="AF13" s="19" t="str">
        <f>(IF($Q$10&gt;=1,"mm Width","."))</f>
        <v>.</v>
      </c>
      <c r="AG13" s="19" t="str">
        <f>(IF($Q$10&gt;=1,"x","."))</f>
        <v>.</v>
      </c>
      <c r="AH13" s="66" t="str">
        <f>(IF($Q$10&gt;=1,$Q$22,"."))</f>
        <v>.</v>
      </c>
      <c r="AI13" s="19" t="str">
        <f>(IF($Q$10&gt;=1,"mm Width","."))</f>
        <v>.</v>
      </c>
      <c r="AJ13" s="72"/>
      <c r="AL13" s="232"/>
      <c r="AM13" s="232"/>
      <c r="AN13" s="232"/>
      <c r="AV13" s="42">
        <f>($I$17)</f>
        <v>4000</v>
      </c>
    </row>
    <row r="14" spans="1:69" ht="12.75">
      <c r="A14" s="1"/>
      <c r="B14" s="1"/>
      <c r="C14" s="1"/>
      <c r="D14" s="1"/>
      <c r="E14" s="1"/>
      <c r="F14" s="1"/>
      <c r="G14" s="1"/>
      <c r="H14" s="3"/>
      <c r="I14" s="17"/>
      <c r="J14" s="2"/>
      <c r="K14" s="1"/>
      <c r="L14" s="3"/>
      <c r="M14" s="3"/>
      <c r="N14" s="2"/>
      <c r="O14" s="1"/>
      <c r="P14" s="61"/>
      <c r="Q14" s="1"/>
      <c r="R14" s="35">
        <f>(IF(Q13=A13,($Q$16*33.333%)/2,IF(Q13=B13,($Q$16*66.666%)/2,IF(Q13=C13,C13,IF(Q13=D13,D13,IF(Q13=E13,E13,IF(Q13=F13,F13,IF(Q13=G13,G13,IF(Q13=H13,H13)))))))))</f>
        <v>50</v>
      </c>
      <c r="S14" s="54" t="str">
        <f>(IF($Q$13=$A$13,"mm  33.3% overlap",IF($Q$13=$B$13,"mm  66.6% overlap",IF($Q$13=$C$13,"mm overlap",IF($Q$13=$D$13,"mm overlap",IF($Q$13=$E$13,"mm overlap",IF($Q$13=$F$13,"mm overlap",IF($Q$13=$G$13,"mm overlap",IF($Q$13=$H$13,"mm overlap")))))))))</f>
        <v>mm overlap</v>
      </c>
      <c r="T14" s="5"/>
      <c r="U14" s="73"/>
      <c r="V14" s="56"/>
      <c r="W14" s="219"/>
      <c r="X14" s="220" t="s">
        <v>62</v>
      </c>
      <c r="Y14" s="219"/>
      <c r="Z14" s="221"/>
      <c r="AA14" s="158"/>
      <c r="AD14" s="19" t="str">
        <f>(IF($Q$10&gt;=1,"Strips Type","."))</f>
        <v>.</v>
      </c>
      <c r="AE14" s="45" t="str">
        <f>(IF($Q$10&gt;=1,$S$26,"."))</f>
        <v>.</v>
      </c>
      <c r="AG14" s="45" t="str">
        <f>(IF($Q$10&gt;=1,$S$29,"."))</f>
        <v>.</v>
      </c>
      <c r="AI14" s="26"/>
      <c r="AJ14" s="74" t="str">
        <f>(IF($Q$10&gt;=1,$Q$10,"."))</f>
        <v>.</v>
      </c>
      <c r="AK14" s="19"/>
      <c r="AL14" s="232"/>
      <c r="AM14" s="232"/>
      <c r="AN14" s="232"/>
      <c r="AR14" s="51" t="s">
        <v>418</v>
      </c>
      <c r="AS14" s="59" t="str">
        <f>($S$32)</f>
        <v>Galvinsed</v>
      </c>
      <c r="AT14" s="75"/>
      <c r="BC14" s="76"/>
    </row>
    <row r="15" spans="1:69" ht="14" customHeight="1">
      <c r="A15" s="1"/>
      <c r="B15" s="1"/>
      <c r="C15" s="1"/>
      <c r="D15" s="1"/>
      <c r="E15" s="1"/>
      <c r="F15" s="1"/>
      <c r="G15" s="1"/>
      <c r="H15" s="3" t="s">
        <v>144</v>
      </c>
      <c r="I15" s="17"/>
      <c r="J15" s="2"/>
      <c r="K15" s="1"/>
      <c r="L15" s="3"/>
      <c r="M15" s="3"/>
      <c r="N15" s="2"/>
      <c r="O15" s="1"/>
      <c r="P15" s="258" t="s">
        <v>160</v>
      </c>
      <c r="Q15" s="258"/>
      <c r="R15" s="2"/>
      <c r="S15" s="77"/>
      <c r="T15" s="5"/>
      <c r="U15" s="6"/>
      <c r="V15" s="56"/>
      <c r="W15" s="222"/>
      <c r="X15" s="222"/>
      <c r="Y15" s="222"/>
      <c r="Z15" s="222"/>
      <c r="AA15" s="119"/>
      <c r="AL15" s="232"/>
      <c r="AM15" s="232"/>
      <c r="AN15" s="232"/>
      <c r="AO15" s="76"/>
      <c r="AQ15" s="39"/>
      <c r="AR15" s="51"/>
      <c r="AT15" s="19"/>
      <c r="AW15" s="45"/>
      <c r="AX15" s="51"/>
      <c r="AZ15" s="50"/>
      <c r="BB15" s="50"/>
    </row>
    <row r="16" spans="1:69" ht="13.05" customHeight="1">
      <c r="A16" s="1"/>
      <c r="B16" s="1">
        <v>100</v>
      </c>
      <c r="C16" s="1">
        <v>150</v>
      </c>
      <c r="D16" s="1">
        <v>200</v>
      </c>
      <c r="E16" s="1">
        <v>300</v>
      </c>
      <c r="F16" s="1">
        <v>400</v>
      </c>
      <c r="G16" s="62"/>
      <c r="H16" s="3" t="s">
        <v>11</v>
      </c>
      <c r="I16" s="17"/>
      <c r="J16" s="2"/>
      <c r="K16" s="1"/>
      <c r="L16" s="3"/>
      <c r="M16" s="3"/>
      <c r="N16" s="2"/>
      <c r="O16" s="70" t="s">
        <v>384</v>
      </c>
      <c r="P16" s="34">
        <v>300</v>
      </c>
      <c r="Q16" s="34">
        <v>200</v>
      </c>
      <c r="R16" s="1"/>
      <c r="S16" s="54" t="str">
        <f>(IF($P$16=$B$16,"100mm wide hanger",IF($P$16=$C$16,"150mm wide hanger",IF($P$16=$D$16,"200mm wide hanger",IF($P$16=$E$16,"300mm wide hanger",IF($P$16=$F$16,"400mm wide hanger",IF($P$16=$A$17,"1200mm wide hanger",IF($P$16=$B$17,"1370mm wide hanger"))))))))</f>
        <v>300mm wide hanger</v>
      </c>
      <c r="T16" s="5"/>
      <c r="U16" s="6"/>
      <c r="V16" s="6"/>
      <c r="W16" s="214" t="s">
        <v>54</v>
      </c>
      <c r="X16" s="223" t="s">
        <v>243</v>
      </c>
      <c r="Y16" s="216"/>
      <c r="Z16" s="224"/>
      <c r="AA16" s="225"/>
      <c r="AB16" s="78"/>
      <c r="AC16" s="78"/>
      <c r="AD16" s="26"/>
      <c r="AE16" s="45" t="s">
        <v>162</v>
      </c>
      <c r="AF16" s="45"/>
      <c r="AG16" s="46"/>
      <c r="AH16" s="42"/>
      <c r="AI16" s="45"/>
      <c r="AJ16" s="51"/>
      <c r="AL16" s="159" t="s">
        <v>21</v>
      </c>
      <c r="AM16" s="159"/>
      <c r="AN16" s="159" t="s">
        <v>176</v>
      </c>
      <c r="AQ16" s="58"/>
      <c r="AR16" s="58" t="s">
        <v>25</v>
      </c>
      <c r="AS16" s="42">
        <f>($P$19)</f>
        <v>300</v>
      </c>
      <c r="AT16" s="45" t="s">
        <v>277</v>
      </c>
      <c r="AV16" s="19" t="str">
        <f>(IF($Q$10&gt;=1,$Q$19,"."))</f>
        <v>.</v>
      </c>
      <c r="AW16" s="45" t="str">
        <f>(IF($Q$10&gt;=1,$AT$16,"."))</f>
        <v>.</v>
      </c>
      <c r="BB16" s="50"/>
    </row>
    <row r="17" spans="1:54" ht="12.75">
      <c r="A17" s="79">
        <v>1200</v>
      </c>
      <c r="B17" s="79">
        <v>1370</v>
      </c>
      <c r="C17" s="79"/>
      <c r="D17" s="79"/>
      <c r="E17" s="79"/>
      <c r="F17" s="79"/>
      <c r="G17" s="1"/>
      <c r="H17" s="3" t="s">
        <v>29</v>
      </c>
      <c r="I17" s="256">
        <v>4000</v>
      </c>
      <c r="J17" s="257"/>
      <c r="K17" s="1"/>
      <c r="L17" s="3"/>
      <c r="M17" s="3"/>
      <c r="N17" s="2"/>
      <c r="O17" s="80"/>
      <c r="P17" s="1"/>
      <c r="Q17" s="1"/>
      <c r="R17" s="1"/>
      <c r="S17" s="54" t="str">
        <f>(IF($Q$16=$B$16,"100mm wide hanger",IF($Q$16=$C$16,"150mm wide hanger",IF($Q$16=$D$16,"200mm wide hanger",IF($Q$16=$E$16,"300mm wide hanger",IF($Q$16=$F$16,"400mm wide hanger",IF($Q$16=$A$17,"1200mm wide hanger",IF($Q$16=$B$17,"1370mm wide hanger"))))))))</f>
        <v>200mm wide hanger</v>
      </c>
      <c r="T17" s="5"/>
      <c r="U17" s="73"/>
      <c r="V17" s="6"/>
      <c r="W17" s="214"/>
      <c r="X17" s="226" t="s">
        <v>117</v>
      </c>
      <c r="Y17" s="226"/>
      <c r="Z17" s="222"/>
      <c r="AA17" s="119"/>
      <c r="AC17" s="58"/>
      <c r="AD17" s="19"/>
      <c r="AE17" s="60"/>
      <c r="AF17" s="45"/>
      <c r="AG17" s="19"/>
      <c r="AH17" s="66"/>
      <c r="AI17" s="45"/>
      <c r="AJ17" s="45"/>
      <c r="AL17" s="232"/>
      <c r="AM17" s="232"/>
      <c r="AN17" s="233"/>
      <c r="AQ17" s="58"/>
      <c r="AR17" s="58" t="s">
        <v>26</v>
      </c>
      <c r="AS17" s="81">
        <f>($P$22)</f>
        <v>3</v>
      </c>
      <c r="AT17" s="45" t="s">
        <v>277</v>
      </c>
      <c r="AV17" s="66" t="str">
        <f>(IF($Q$10&gt;=1,$Q$22,"."))</f>
        <v>.</v>
      </c>
      <c r="AW17" s="45" t="str">
        <f>(IF($Q$10&gt;=1,$AT$17,"."))</f>
        <v>.</v>
      </c>
      <c r="AX17" s="45"/>
      <c r="AZ17" s="57"/>
      <c r="BB17" s="50"/>
    </row>
    <row r="18" spans="1:54" ht="12.75">
      <c r="A18" s="79"/>
      <c r="B18" s="79"/>
      <c r="C18" s="79"/>
      <c r="D18" s="79"/>
      <c r="E18" s="79"/>
      <c r="F18" s="79"/>
      <c r="G18" s="1"/>
      <c r="H18" s="3"/>
      <c r="I18" s="82"/>
      <c r="J18" s="82"/>
      <c r="K18" s="1"/>
      <c r="L18" s="3"/>
      <c r="M18" s="3"/>
      <c r="N18" s="2"/>
      <c r="O18" s="80"/>
      <c r="P18" s="258" t="s">
        <v>163</v>
      </c>
      <c r="Q18" s="258"/>
      <c r="R18" s="83"/>
      <c r="S18" s="54"/>
      <c r="T18" s="5"/>
      <c r="U18" s="73"/>
      <c r="V18" s="6"/>
      <c r="W18" s="222"/>
      <c r="X18" s="222"/>
      <c r="Y18" s="222"/>
      <c r="Z18" s="79"/>
      <c r="AA18" s="119"/>
      <c r="AC18" s="39">
        <v>1</v>
      </c>
      <c r="AD18" s="26" t="s">
        <v>315</v>
      </c>
      <c r="AE18" s="42"/>
      <c r="AF18" s="45" t="s">
        <v>91</v>
      </c>
      <c r="AG18" s="46" t="s">
        <v>120</v>
      </c>
      <c r="AH18" s="42"/>
      <c r="AI18" s="45" t="s">
        <v>439</v>
      </c>
      <c r="AJ18" s="47"/>
      <c r="AK18" s="48"/>
      <c r="AL18" s="241"/>
      <c r="AM18" s="232"/>
      <c r="AN18" s="233"/>
      <c r="AQ18" s="58"/>
      <c r="AR18" s="58"/>
      <c r="AS18" s="81"/>
      <c r="AT18" s="45"/>
      <c r="AV18" s="66"/>
      <c r="AW18" s="45"/>
      <c r="AX18" s="45"/>
      <c r="AZ18" s="57"/>
      <c r="BB18" s="50"/>
    </row>
    <row r="19" spans="1:54" ht="12.75">
      <c r="A19" s="1"/>
      <c r="B19" s="1">
        <v>100</v>
      </c>
      <c r="C19" s="1">
        <v>150</v>
      </c>
      <c r="D19" s="1">
        <v>200</v>
      </c>
      <c r="E19" s="1">
        <v>300</v>
      </c>
      <c r="F19" s="1">
        <v>400</v>
      </c>
      <c r="G19" s="1"/>
      <c r="H19" s="3"/>
      <c r="I19" s="82"/>
      <c r="J19" s="82"/>
      <c r="K19" s="1"/>
      <c r="L19" s="3"/>
      <c r="M19" s="3"/>
      <c r="N19" s="2"/>
      <c r="O19" s="70" t="s">
        <v>384</v>
      </c>
      <c r="P19" s="84">
        <f>(P16)</f>
        <v>300</v>
      </c>
      <c r="Q19" s="84">
        <f>(Q16)</f>
        <v>200</v>
      </c>
      <c r="R19" s="85">
        <v>1</v>
      </c>
      <c r="S19" s="54" t="str">
        <f>(IF($P$19=$B$16,"100mm wide strip",IF($P$19=$C$16,"150mm wide strip",IF($P$19=$D$16,"200mm wide strip",IF($P$19=$E$16,"300mm wide strip",IF($P$19=$F$16,"400mm wide strip",IF($P$19=$A$17,"1200mm wide strip",IF($P$19=$B$17,"1370mm wide strip"))))))))</f>
        <v>300mm wide strip</v>
      </c>
      <c r="T19" s="5"/>
      <c r="U19" s="73"/>
      <c r="V19" s="86" t="s">
        <v>420</v>
      </c>
      <c r="W19" s="222"/>
      <c r="X19" s="214" t="s">
        <v>78</v>
      </c>
      <c r="Y19" s="223" t="s">
        <v>118</v>
      </c>
      <c r="Z19" s="227"/>
      <c r="AA19" s="119"/>
      <c r="AC19" s="58"/>
      <c r="AD19" s="19" t="s">
        <v>418</v>
      </c>
      <c r="AE19" s="59"/>
      <c r="AF19" s="19"/>
      <c r="AH19" s="60"/>
      <c r="AI19" s="59"/>
      <c r="AJ19" s="47"/>
      <c r="AL19" s="232"/>
      <c r="AM19" s="232"/>
      <c r="AN19" s="233"/>
      <c r="AQ19" s="58"/>
      <c r="AR19" s="58"/>
      <c r="AS19" s="81"/>
      <c r="AT19" s="45"/>
      <c r="AV19" s="66"/>
      <c r="AW19" s="45"/>
      <c r="AX19" s="45"/>
      <c r="AZ19" s="57"/>
      <c r="BB19" s="50"/>
    </row>
    <row r="20" spans="1:54" ht="12.75">
      <c r="A20" s="79">
        <v>1200</v>
      </c>
      <c r="B20" s="79">
        <v>1370</v>
      </c>
      <c r="C20" s="79"/>
      <c r="D20" s="79"/>
      <c r="E20" s="79"/>
      <c r="F20" s="79"/>
      <c r="G20" s="1"/>
      <c r="H20" s="3"/>
      <c r="I20" s="82"/>
      <c r="J20" s="82"/>
      <c r="K20" s="1"/>
      <c r="L20" s="3"/>
      <c r="M20" s="3"/>
      <c r="N20" s="2"/>
      <c r="O20" s="80"/>
      <c r="P20" s="1"/>
      <c r="Q20" s="1"/>
      <c r="R20" s="83"/>
      <c r="S20" s="54" t="str">
        <f>(IF($Q$19=$B$16,"100mm wide strip",IF($Q$19=$C$16,"150mm wide strip",IF($Q$19=$D$16,"200mm wide strip",IF($Q$19=$E$16,"300mm wide strip",IF($Q$19=$F$16,"400mm wide strip",IF($Q$19=$A$17,"1200mm wide strip",IF($Q$19=$B$17,"1370mm wide strip"))))))))</f>
        <v>200mm wide strip</v>
      </c>
      <c r="T20" s="5"/>
      <c r="U20" s="73"/>
      <c r="V20" s="6"/>
      <c r="W20" s="222"/>
      <c r="X20" s="226"/>
      <c r="Y20" s="226" t="s">
        <v>117</v>
      </c>
      <c r="Z20" s="227"/>
      <c r="AA20" s="119"/>
      <c r="AC20" s="58"/>
      <c r="AD20" s="19" t="s">
        <v>360</v>
      </c>
      <c r="AE20" s="60"/>
      <c r="AF20" s="45" t="s">
        <v>439</v>
      </c>
      <c r="AG20" s="19" t="s">
        <v>120</v>
      </c>
      <c r="AH20" s="66"/>
      <c r="AI20" s="45" t="s">
        <v>282</v>
      </c>
      <c r="AJ20" s="67"/>
      <c r="AL20" s="158"/>
      <c r="AM20" s="232"/>
      <c r="AN20" s="233"/>
      <c r="AQ20" s="58"/>
      <c r="AR20" s="58"/>
      <c r="AS20" s="81"/>
      <c r="AT20" s="45"/>
      <c r="AV20" s="66"/>
      <c r="AW20" s="45"/>
      <c r="AX20" s="45"/>
      <c r="AZ20" s="57"/>
      <c r="BB20" s="50"/>
    </row>
    <row r="21" spans="1:54" ht="12.75">
      <c r="A21" s="1"/>
      <c r="B21" s="1"/>
      <c r="C21" s="1"/>
      <c r="D21" s="1"/>
      <c r="E21" s="1"/>
      <c r="F21" s="1"/>
      <c r="G21" s="1"/>
      <c r="H21" s="3"/>
      <c r="I21" s="38"/>
      <c r="J21" s="2"/>
      <c r="K21" s="1"/>
      <c r="L21" s="3"/>
      <c r="M21" s="3"/>
      <c r="N21" s="2"/>
      <c r="O21" s="1"/>
      <c r="P21" s="258" t="s">
        <v>409</v>
      </c>
      <c r="Q21" s="258"/>
      <c r="R21" s="1"/>
      <c r="S21" s="251"/>
      <c r="T21" s="251"/>
      <c r="U21" s="6"/>
      <c r="V21" s="6"/>
      <c r="W21" s="214" t="s">
        <v>79</v>
      </c>
      <c r="X21" s="223" t="s">
        <v>299</v>
      </c>
      <c r="Y21" s="226"/>
      <c r="Z21" s="227"/>
      <c r="AA21" s="119"/>
      <c r="AD21" s="19" t="s">
        <v>227</v>
      </c>
      <c r="AE21" s="44"/>
      <c r="AG21" s="59"/>
      <c r="AI21" s="47"/>
      <c r="AJ21" s="47"/>
      <c r="AL21" s="232"/>
      <c r="AM21" s="232"/>
      <c r="AN21" s="232"/>
      <c r="AQ21" s="26"/>
      <c r="AR21" s="26"/>
      <c r="AS21" s="60"/>
      <c r="AT21" s="19"/>
      <c r="AU21" s="19"/>
      <c r="BB21" s="87"/>
    </row>
    <row r="22" spans="1:54" ht="12.75">
      <c r="A22" s="3">
        <v>1.2</v>
      </c>
      <c r="B22" s="3">
        <v>1.6</v>
      </c>
      <c r="C22" s="3">
        <v>2</v>
      </c>
      <c r="D22" s="3">
        <v>3</v>
      </c>
      <c r="E22" s="3">
        <v>4</v>
      </c>
      <c r="F22" s="3">
        <v>5</v>
      </c>
      <c r="G22" s="2"/>
      <c r="H22" s="2"/>
      <c r="I22" s="38"/>
      <c r="J22" s="2"/>
      <c r="K22" s="1"/>
      <c r="L22" s="3"/>
      <c r="M22" s="3"/>
      <c r="N22" s="2"/>
      <c r="O22" s="70" t="s">
        <v>324</v>
      </c>
      <c r="P22" s="88">
        <v>3</v>
      </c>
      <c r="Q22" s="88">
        <v>2</v>
      </c>
      <c r="R22" s="1"/>
      <c r="S22" s="54" t="str">
        <f>(IF($P$22=$A$22,"1.2mm thick",IF($P$22=$B$22,"1.6mm thick",IF($P$22=$C$22,"2mm thick",IF($P$22=$D$22,"3mm thick",IF($P$22=$E$22,"4mm thick",IF($P$22=$F$22,"5mm thick",IF($P$22=$A$23,"6mm thick",IF($P$22=$B$23,"7mm thick")))))))))</f>
        <v>3mm thick</v>
      </c>
      <c r="T22" s="5"/>
      <c r="U22" s="6"/>
      <c r="V22" s="6"/>
      <c r="W22" s="226"/>
      <c r="X22" s="226" t="s">
        <v>188</v>
      </c>
      <c r="Y22" s="226"/>
      <c r="Z22" s="227"/>
      <c r="AA22" s="119"/>
      <c r="AD22" s="19"/>
      <c r="AE22" s="60"/>
      <c r="AF22" s="45"/>
      <c r="AG22" s="19"/>
      <c r="AH22" s="66"/>
      <c r="AI22" s="45"/>
      <c r="AJ22" s="72"/>
      <c r="AL22" s="232"/>
      <c r="AM22" s="232"/>
      <c r="AN22" s="232"/>
      <c r="AQ22" s="51"/>
      <c r="AR22" s="51" t="s">
        <v>38</v>
      </c>
      <c r="AS22" s="44" t="str">
        <f>($S$25)</f>
        <v>Coolroom Ambient Temp</v>
      </c>
      <c r="AV22" s="45" t="str">
        <f>(IF($Q$10&gt;=1,$S$26,"."))</f>
        <v>.</v>
      </c>
      <c r="BB22" s="87"/>
    </row>
    <row r="23" spans="1:54" ht="12.75">
      <c r="A23" s="3">
        <v>6</v>
      </c>
      <c r="B23" s="3">
        <v>7</v>
      </c>
      <c r="C23" s="1"/>
      <c r="D23" s="1"/>
      <c r="E23" s="1"/>
      <c r="F23" s="1"/>
      <c r="G23" s="1"/>
      <c r="H23" s="3"/>
      <c r="I23" s="38"/>
      <c r="J23" s="2"/>
      <c r="K23" s="1"/>
      <c r="L23" s="3"/>
      <c r="M23" s="3"/>
      <c r="N23" s="2"/>
      <c r="O23" s="80" t="s">
        <v>358</v>
      </c>
      <c r="P23" s="1"/>
      <c r="Q23" s="1"/>
      <c r="R23" s="1"/>
      <c r="S23" s="54" t="str">
        <f>(IF($Q$22=$A$22,"1.2mm thick",IF($Q$22=$B$22,"1.6mm thick",IF($Q$22=$C$22,"2mm thick",IF($Q$22=$D$22,"3mm thick",IF($Q$22=$E$22,"4mm thick",IF($Q$22=$F$22,"5mm thick",IF($Q$22=$A$23,"6mm thick",IF($Q$22=$B$23,"7mm thick")))))))))</f>
        <v>2mm thick</v>
      </c>
      <c r="T23" s="5"/>
      <c r="U23" s="73"/>
      <c r="V23" s="6"/>
      <c r="W23" s="6"/>
      <c r="X23" s="6"/>
      <c r="Y23" s="6"/>
      <c r="Z23" s="6"/>
      <c r="AA23" s="44"/>
      <c r="AD23" s="19"/>
      <c r="AE23" s="44"/>
      <c r="AG23" s="59"/>
      <c r="AI23" s="47"/>
      <c r="AJ23" s="74"/>
      <c r="AK23" s="19"/>
      <c r="AL23" s="232"/>
      <c r="AM23" s="232"/>
      <c r="AN23" s="232"/>
      <c r="AQ23" s="39"/>
      <c r="AR23" s="51" t="s">
        <v>43</v>
      </c>
      <c r="AS23" s="44" t="str">
        <f>($S$28)</f>
        <v>Ribbed profile</v>
      </c>
      <c r="AV23" s="45" t="str">
        <f>(IF($Q$10&gt;=1,$S$29,"."))</f>
        <v>.</v>
      </c>
      <c r="AW23" s="45"/>
      <c r="AX23" s="51"/>
      <c r="AZ23" s="50"/>
      <c r="BB23" s="50"/>
    </row>
    <row r="24" spans="1:54" ht="12.75">
      <c r="A24" s="1"/>
      <c r="B24" s="1"/>
      <c r="C24" s="1"/>
      <c r="D24" s="1"/>
      <c r="E24" s="1"/>
      <c r="F24" s="1"/>
      <c r="G24" s="1"/>
      <c r="H24" s="3"/>
      <c r="I24" s="38"/>
      <c r="J24" s="2"/>
      <c r="K24" s="1"/>
      <c r="L24" s="3"/>
      <c r="M24" s="3"/>
      <c r="N24" s="2"/>
      <c r="O24" s="1"/>
      <c r="P24" s="258" t="s">
        <v>202</v>
      </c>
      <c r="Q24" s="258"/>
      <c r="R24" s="89"/>
      <c r="S24" s="90"/>
      <c r="T24" s="5"/>
      <c r="U24" s="6"/>
      <c r="V24" s="3"/>
      <c r="W24" s="6"/>
      <c r="X24" s="6"/>
      <c r="Y24" s="6"/>
      <c r="Z24" s="6"/>
      <c r="AA24" s="44"/>
      <c r="AD24" s="19"/>
      <c r="AE24" s="59"/>
      <c r="AF24" s="19"/>
      <c r="AH24" s="60"/>
      <c r="AI24" s="45"/>
      <c r="AJ24" s="72"/>
      <c r="AL24" s="232"/>
      <c r="AM24" s="232"/>
      <c r="AN24" s="232"/>
      <c r="AQ24" s="58"/>
      <c r="AR24" s="26"/>
      <c r="AS24" s="60"/>
      <c r="AT24" s="91"/>
      <c r="AU24" s="19"/>
      <c r="AV24" s="19"/>
      <c r="AW24" s="44"/>
      <c r="BB24" s="50"/>
    </row>
    <row r="25" spans="1:54" ht="12.75">
      <c r="A25" s="92" t="s">
        <v>335</v>
      </c>
      <c r="B25" s="92" t="s">
        <v>10</v>
      </c>
      <c r="C25" s="92" t="s">
        <v>431</v>
      </c>
      <c r="D25" s="1" t="s">
        <v>432</v>
      </c>
      <c r="E25" s="1"/>
      <c r="F25" s="1"/>
      <c r="G25" s="1"/>
      <c r="H25" s="3"/>
      <c r="I25" s="38"/>
      <c r="J25" s="2"/>
      <c r="K25" s="1"/>
      <c r="L25" s="3"/>
      <c r="M25" s="3"/>
      <c r="N25" s="14"/>
      <c r="O25" s="70" t="s">
        <v>203</v>
      </c>
      <c r="P25" s="71" t="s">
        <v>57</v>
      </c>
      <c r="Q25" s="71" t="s">
        <v>57</v>
      </c>
      <c r="R25" s="1"/>
      <c r="S25" s="54" t="str">
        <f>(IF($P$25=$A$25,"Coolroom Ambient Temp",IF($P$25=$B$25,"Freezer Temp -30",IF($P$25=$C$25,"Coolroom Ambient Temp Reinfocred",IF($P$25=$D$25,"Freezer Temp Supa -40")))))</f>
        <v>Coolroom Ambient Temp</v>
      </c>
      <c r="T25" s="8"/>
      <c r="U25" s="92"/>
      <c r="V25" s="92"/>
      <c r="W25" s="92"/>
      <c r="X25" s="6"/>
      <c r="Y25" s="6"/>
      <c r="Z25" s="6"/>
      <c r="AA25" s="44"/>
      <c r="AC25" s="39">
        <v>1</v>
      </c>
      <c r="AD25" s="26" t="s">
        <v>315</v>
      </c>
      <c r="AE25" s="42"/>
      <c r="AF25" s="45" t="s">
        <v>91</v>
      </c>
      <c r="AG25" s="46" t="s">
        <v>120</v>
      </c>
      <c r="AH25" s="42"/>
      <c r="AI25" s="45" t="s">
        <v>439</v>
      </c>
      <c r="AJ25" s="47"/>
      <c r="AK25" s="48"/>
      <c r="AL25" s="241"/>
      <c r="AM25" s="232"/>
      <c r="AN25" s="233"/>
      <c r="AQ25" s="58"/>
      <c r="AR25" s="51" t="s">
        <v>129</v>
      </c>
      <c r="AS25" s="60">
        <f>($R$12)</f>
        <v>50</v>
      </c>
      <c r="AT25" s="45" t="s">
        <v>277</v>
      </c>
      <c r="AV25" s="42" t="str">
        <f>(IF($Q$10&gt;=1,$R$14,"."))</f>
        <v>.</v>
      </c>
      <c r="AW25" s="45" t="str">
        <f>(IF($Q$10&gt;=1,$AT$25,"."))</f>
        <v>.</v>
      </c>
      <c r="AX25" s="45"/>
      <c r="AZ25" s="57"/>
      <c r="BB25" s="50"/>
    </row>
    <row r="26" spans="1:54" ht="12.75">
      <c r="A26" s="1"/>
      <c r="B26" s="1"/>
      <c r="C26" s="1"/>
      <c r="D26" s="1"/>
      <c r="E26" s="1"/>
      <c r="F26" s="1"/>
      <c r="G26" s="1"/>
      <c r="H26" s="3"/>
      <c r="I26" s="38"/>
      <c r="J26" s="2"/>
      <c r="K26" s="1"/>
      <c r="L26" s="3"/>
      <c r="M26" s="3"/>
      <c r="N26" s="2"/>
      <c r="O26" s="14"/>
      <c r="P26" s="1"/>
      <c r="Q26" s="1"/>
      <c r="R26" s="1"/>
      <c r="S26" s="54" t="str">
        <f>(IF($Q$25=$A$25,"Coolroom Ambient Temp",IF($Q$25=$B$25,"Freezer Temp -30",IF($Q$25=$C$25,"Coolroom Ambient Temp Reinfocred",IF($Q$25=$D$25,"Freezer Temp Supa -40")))))</f>
        <v>Coolroom Ambient Temp</v>
      </c>
      <c r="T26" s="5"/>
      <c r="U26" s="6"/>
      <c r="V26" s="6"/>
      <c r="W26" s="6"/>
      <c r="X26" s="6"/>
      <c r="Y26" s="6"/>
      <c r="Z26" s="6"/>
      <c r="AA26" s="44"/>
      <c r="AC26" s="58"/>
      <c r="AD26" s="19" t="s">
        <v>418</v>
      </c>
      <c r="AE26" s="59"/>
      <c r="AF26" s="19"/>
      <c r="AH26" s="60"/>
      <c r="AI26" s="59"/>
      <c r="AJ26" s="47"/>
      <c r="AL26" s="232"/>
      <c r="AM26" s="232"/>
      <c r="AN26" s="233"/>
      <c r="AR26" s="51" t="s">
        <v>35</v>
      </c>
      <c r="AS26" s="42">
        <f>($P$66-$M$8)/2</f>
        <v>150</v>
      </c>
      <c r="AT26" s="45" t="s">
        <v>277</v>
      </c>
      <c r="AU26" s="19"/>
    </row>
    <row r="27" spans="1:54" ht="12.75">
      <c r="A27" s="1"/>
      <c r="B27" s="1"/>
      <c r="C27" s="1"/>
      <c r="D27" s="1"/>
      <c r="E27" s="1"/>
      <c r="F27" s="1"/>
      <c r="G27" s="1"/>
      <c r="H27" s="2"/>
      <c r="I27" s="2"/>
      <c r="J27" s="2"/>
      <c r="K27" s="1"/>
      <c r="L27" s="3"/>
      <c r="M27" s="3"/>
      <c r="N27" s="2"/>
      <c r="O27" s="1"/>
      <c r="P27" s="258" t="s">
        <v>143</v>
      </c>
      <c r="Q27" s="258"/>
      <c r="R27" s="1"/>
      <c r="S27" s="2"/>
      <c r="T27" s="5"/>
      <c r="U27" s="6"/>
      <c r="V27" s="3"/>
      <c r="W27" s="6"/>
      <c r="X27" s="6"/>
      <c r="Y27" s="6"/>
      <c r="Z27" s="6"/>
      <c r="AA27" s="44"/>
      <c r="AC27" s="58"/>
      <c r="AD27" s="19" t="s">
        <v>360</v>
      </c>
      <c r="AE27" s="60"/>
      <c r="AF27" s="45" t="s">
        <v>439</v>
      </c>
      <c r="AG27" s="19" t="s">
        <v>120</v>
      </c>
      <c r="AH27" s="66"/>
      <c r="AI27" s="45" t="s">
        <v>282</v>
      </c>
      <c r="AJ27" s="67"/>
      <c r="AL27" s="158"/>
      <c r="AM27" s="232"/>
      <c r="AN27" s="233"/>
    </row>
    <row r="28" spans="1:54" ht="12.75">
      <c r="A28" s="92" t="s">
        <v>10</v>
      </c>
      <c r="B28" s="92" t="s">
        <v>333</v>
      </c>
      <c r="C28" s="92" t="s">
        <v>334</v>
      </c>
      <c r="D28" s="1" t="s">
        <v>335</v>
      </c>
      <c r="E28" s="1"/>
      <c r="F28" s="1"/>
      <c r="G28" s="1"/>
      <c r="H28" s="3" t="s">
        <v>12</v>
      </c>
      <c r="I28" s="2"/>
      <c r="J28" s="2"/>
      <c r="K28" s="1"/>
      <c r="L28" s="3"/>
      <c r="M28" s="3"/>
      <c r="N28" s="2"/>
      <c r="O28" s="70" t="s">
        <v>281</v>
      </c>
      <c r="P28" s="93" t="s">
        <v>333</v>
      </c>
      <c r="Q28" s="93" t="s">
        <v>86</v>
      </c>
      <c r="R28" s="1"/>
      <c r="S28" s="54" t="str">
        <f>(IF($P$28=$A$28,"Plain profile",IF($P$28=$B$28,"Ribbed profile",IF($P$28=$C$28,"Coloured",IF($P$28=$D$28,"Sheet")))))</f>
        <v>Ribbed profile</v>
      </c>
      <c r="T28" s="5"/>
      <c r="U28" s="6"/>
      <c r="V28" s="16"/>
      <c r="W28" s="6"/>
      <c r="X28" s="6"/>
      <c r="Y28" s="6"/>
      <c r="Z28" s="6"/>
      <c r="AA28" s="44"/>
      <c r="AD28" s="19" t="s">
        <v>227</v>
      </c>
      <c r="AE28" s="44"/>
      <c r="AG28" s="59"/>
      <c r="AI28" s="47"/>
      <c r="AJ28" s="47"/>
      <c r="AL28" s="232"/>
      <c r="AM28" s="232"/>
      <c r="AN28" s="232"/>
      <c r="AR28" s="45" t="s">
        <v>221</v>
      </c>
      <c r="AS28" s="60">
        <f>($P$66)</f>
        <v>4800</v>
      </c>
      <c r="AT28" s="45" t="s">
        <v>277</v>
      </c>
      <c r="BB28" s="87"/>
    </row>
    <row r="29" spans="1:54" ht="12.75">
      <c r="A29" s="3">
        <v>0</v>
      </c>
      <c r="B29" s="3">
        <v>10</v>
      </c>
      <c r="C29" s="3">
        <v>20</v>
      </c>
      <c r="D29" s="3">
        <v>25</v>
      </c>
      <c r="E29" s="3">
        <v>30</v>
      </c>
      <c r="F29" s="1"/>
      <c r="G29" s="1"/>
      <c r="H29" s="3" t="s">
        <v>313</v>
      </c>
      <c r="I29" s="52" t="str">
        <f>(IF($J$29=$A$29,"0",IF($J$29=$B$29,"10",IF($J$29=$C$29,"20",IF($J$29=$D$29,"25",IF($J$29=$E$29,"30"))))))</f>
        <v>0</v>
      </c>
      <c r="J29" s="53">
        <v>0</v>
      </c>
      <c r="K29" s="54" t="str">
        <f>(IF($J$29=$A$29,"0mm",IF($J$29=$B$29,"10mm",IF($J$29=$C$29,"20mm",IF($J$29=$D$29,"25mm",IF($J$29=$E$29,"30mm"))))))</f>
        <v>0mm</v>
      </c>
      <c r="L29" s="3"/>
      <c r="M29" s="3"/>
      <c r="N29" s="2"/>
      <c r="O29" s="1"/>
      <c r="P29" s="1"/>
      <c r="Q29" s="1"/>
      <c r="R29" s="1"/>
      <c r="S29" s="54" t="str">
        <f>(IF($Q$28=$A$28,"Plain profile",IF($Q$28=$B$28,"Ribbed profile",IF($Q$28=$C$28,"Coloured",IF($Q$28=$D$28,"Sheet")))))</f>
        <v>Coloured</v>
      </c>
      <c r="T29" s="5"/>
      <c r="U29" s="6"/>
      <c r="V29" s="6"/>
      <c r="W29" s="6"/>
      <c r="X29" s="6"/>
      <c r="Y29" s="6"/>
      <c r="Z29" s="6"/>
      <c r="AA29" s="44"/>
      <c r="AD29" s="19"/>
      <c r="AE29" s="60"/>
      <c r="AF29" s="45"/>
      <c r="AG29" s="19"/>
      <c r="AH29" s="66"/>
      <c r="AI29" s="45"/>
      <c r="AJ29" s="72"/>
      <c r="AL29" s="232"/>
      <c r="AM29" s="232"/>
      <c r="AN29" s="232"/>
      <c r="AR29" s="45" t="s">
        <v>278</v>
      </c>
      <c r="AS29" s="60">
        <f>($P$69)</f>
        <v>19</v>
      </c>
      <c r="AT29" s="7" t="s">
        <v>56</v>
      </c>
      <c r="AV29" s="42" t="str">
        <f>(IF($Q$10&gt;=1,$Q$10,"."))</f>
        <v>.</v>
      </c>
      <c r="AW29" s="45" t="str">
        <f>(IF($Q$10&gt;=1,$AT$29,"."))</f>
        <v>.</v>
      </c>
    </row>
    <row r="30" spans="1:54" ht="12.75">
      <c r="A30" s="1"/>
      <c r="B30" s="1"/>
      <c r="C30" s="1"/>
      <c r="D30" s="1"/>
      <c r="E30" s="1"/>
      <c r="F30" s="1"/>
      <c r="G30" s="1"/>
      <c r="H30" s="3" t="s">
        <v>132</v>
      </c>
      <c r="I30" s="38"/>
      <c r="J30" s="2"/>
      <c r="K30" s="1"/>
      <c r="L30" s="3"/>
      <c r="M30" s="3"/>
      <c r="N30" s="2"/>
      <c r="O30" s="2"/>
      <c r="P30" s="1"/>
      <c r="Q30" s="1"/>
      <c r="R30" s="1"/>
      <c r="S30" s="2"/>
      <c r="T30" s="5"/>
      <c r="U30" s="52"/>
      <c r="V30" s="52"/>
      <c r="W30" s="52"/>
      <c r="X30" s="94"/>
      <c r="Y30" s="52"/>
      <c r="Z30" s="6"/>
      <c r="AA30" s="44"/>
      <c r="AD30" s="19"/>
      <c r="AE30" s="44"/>
      <c r="AG30" s="59"/>
      <c r="AI30" s="47"/>
      <c r="AJ30" s="74"/>
      <c r="AK30" s="19"/>
      <c r="AL30" s="232"/>
      <c r="AM30" s="232"/>
      <c r="AN30" s="232"/>
      <c r="AZ30" s="51"/>
    </row>
    <row r="31" spans="1:54" s="26" customFormat="1" ht="12.75">
      <c r="A31" s="95"/>
      <c r="B31" s="95"/>
      <c r="C31" s="95"/>
      <c r="D31" s="95"/>
      <c r="E31" s="95"/>
      <c r="F31" s="95"/>
      <c r="G31" s="95"/>
      <c r="H31" s="3" t="s">
        <v>29</v>
      </c>
      <c r="I31" s="36">
        <f>(I10+I17-I29)</f>
        <v>4000</v>
      </c>
      <c r="J31" s="95"/>
      <c r="K31" s="95"/>
      <c r="L31" s="3"/>
      <c r="M31" s="3"/>
      <c r="N31" s="2"/>
      <c r="O31" s="1"/>
      <c r="P31" s="3" t="s">
        <v>304</v>
      </c>
      <c r="Q31" s="95"/>
      <c r="R31" s="95"/>
      <c r="S31" s="96"/>
      <c r="T31" s="80"/>
      <c r="U31" s="95"/>
      <c r="V31" s="97"/>
      <c r="W31" s="97"/>
      <c r="X31" s="97"/>
      <c r="Y31" s="97"/>
      <c r="Z31" s="97"/>
      <c r="AA31" s="98"/>
      <c r="AC31" s="39"/>
      <c r="AE31" s="42"/>
      <c r="AF31" s="45"/>
      <c r="AG31" s="46"/>
      <c r="AH31" s="42"/>
      <c r="AI31" s="45"/>
      <c r="AJ31" s="191"/>
      <c r="AK31" s="7"/>
      <c r="AL31" s="241"/>
      <c r="AM31" s="232"/>
      <c r="AN31" s="233"/>
      <c r="AO31" s="7"/>
      <c r="AR31" s="45" t="s">
        <v>44</v>
      </c>
      <c r="AS31" s="60">
        <f>($I$35)</f>
        <v>4040</v>
      </c>
      <c r="AT31" s="45" t="s">
        <v>277</v>
      </c>
      <c r="AU31" s="7"/>
      <c r="AV31" s="60" t="str">
        <f>(IF($Q$10&gt;=1,$I$35,"."))</f>
        <v>.</v>
      </c>
      <c r="AW31" s="45" t="str">
        <f>(IF($Q$10&gt;=1,$AT$31,"."))</f>
        <v>.</v>
      </c>
    </row>
    <row r="32" spans="1:54" ht="12.75">
      <c r="A32" s="92" t="s">
        <v>242</v>
      </c>
      <c r="B32" s="92" t="s">
        <v>179</v>
      </c>
      <c r="C32" s="92" t="s">
        <v>251</v>
      </c>
      <c r="D32" s="1" t="s">
        <v>216</v>
      </c>
      <c r="E32" s="1"/>
      <c r="F32" s="1"/>
      <c r="G32" s="1"/>
      <c r="H32" s="3" t="s">
        <v>326</v>
      </c>
      <c r="I32" s="96"/>
      <c r="J32" s="2"/>
      <c r="K32" s="99" t="s">
        <v>416</v>
      </c>
      <c r="L32" s="2"/>
      <c r="M32" s="1"/>
      <c r="N32" s="95"/>
      <c r="O32" s="95"/>
      <c r="P32" s="93" t="s">
        <v>297</v>
      </c>
      <c r="Q32" s="100">
        <f>(IF(P32=A32,102.5,IF(P32=B32,102.5,IF(P32=C32,120,IF(P32=D32,120)))))</f>
        <v>102.5</v>
      </c>
      <c r="R32" s="1"/>
      <c r="S32" s="54" t="str">
        <f>(IF(P32=A32,"Stainless Steel",IF(P32=B32,"Galvinsed",IF(P32=C32,"Aluminium Light",IF(P32=D32,"Aluminium Shop Front")))))</f>
        <v>Galvinsed</v>
      </c>
      <c r="T32" s="5"/>
      <c r="U32" s="6"/>
      <c r="V32" s="6"/>
      <c r="W32" s="6"/>
      <c r="X32" s="6"/>
      <c r="Y32" s="6"/>
      <c r="Z32" s="6"/>
      <c r="AA32" s="44"/>
      <c r="AC32" s="39">
        <v>1</v>
      </c>
      <c r="AD32" s="26" t="s">
        <v>315</v>
      </c>
      <c r="AE32" s="42"/>
      <c r="AF32" s="45" t="s">
        <v>91</v>
      </c>
      <c r="AG32" s="46" t="s">
        <v>120</v>
      </c>
      <c r="AH32" s="42"/>
      <c r="AI32" s="45" t="s">
        <v>439</v>
      </c>
      <c r="AJ32" s="47"/>
      <c r="AK32" s="48"/>
      <c r="AL32" s="241"/>
      <c r="AM32" s="232"/>
      <c r="AN32" s="233"/>
      <c r="AO32" s="26"/>
      <c r="AR32" s="45" t="s">
        <v>76</v>
      </c>
      <c r="AS32" s="57">
        <f>($J$46)</f>
        <v>76.760000000000005</v>
      </c>
      <c r="AT32" s="59" t="s">
        <v>77</v>
      </c>
      <c r="AU32" s="45"/>
      <c r="AV32" s="57" t="str">
        <f>(IF($Q$10&gt;=1,$J$49,"."))</f>
        <v>.</v>
      </c>
      <c r="AW32" s="45" t="str">
        <f>(IF($Q$10&gt;=1,$AT$32,"."))</f>
        <v>.</v>
      </c>
    </row>
    <row r="33" spans="1:55" ht="12.75">
      <c r="A33" s="92"/>
      <c r="B33" s="92"/>
      <c r="C33" s="92"/>
      <c r="D33" s="1"/>
      <c r="E33" s="1"/>
      <c r="F33" s="1"/>
      <c r="G33" s="1"/>
      <c r="H33" s="3" t="s">
        <v>125</v>
      </c>
      <c r="I33" s="101" t="str">
        <f>(IF(P32=A32,"-15",IF(P32=B32,"40",IF(P32=C32,"40",IF(P32=D32,"20")))))</f>
        <v>40</v>
      </c>
      <c r="J33" s="2"/>
      <c r="K33" s="1"/>
      <c r="L33" s="2"/>
      <c r="M33" s="99"/>
      <c r="N33" s="95"/>
      <c r="O33" s="95"/>
      <c r="P33" s="3" t="s">
        <v>305</v>
      </c>
      <c r="Q33" s="1"/>
      <c r="R33" s="1"/>
      <c r="S33" s="54"/>
      <c r="T33" s="5"/>
      <c r="U33" s="6"/>
      <c r="V33" s="6"/>
      <c r="W33" s="6"/>
      <c r="X33" s="6"/>
      <c r="Y33" s="6"/>
      <c r="Z33" s="6"/>
      <c r="AA33" s="44"/>
      <c r="AC33" s="58"/>
      <c r="AD33" s="19" t="s">
        <v>418</v>
      </c>
      <c r="AE33" s="59"/>
      <c r="AF33" s="19"/>
      <c r="AH33" s="60"/>
      <c r="AI33" s="59"/>
      <c r="AJ33" s="47"/>
      <c r="AL33" s="232"/>
      <c r="AM33" s="232"/>
      <c r="AN33" s="233"/>
    </row>
    <row r="34" spans="1:55" ht="12.75">
      <c r="A34" s="92" t="s">
        <v>96</v>
      </c>
      <c r="B34" s="92" t="s">
        <v>97</v>
      </c>
      <c r="C34" s="92"/>
      <c r="D34" s="1"/>
      <c r="E34" s="1"/>
      <c r="F34" s="1"/>
      <c r="G34" s="1"/>
      <c r="H34" s="3" t="s">
        <v>326</v>
      </c>
      <c r="I34" s="2"/>
      <c r="J34" s="2"/>
      <c r="K34" s="99" t="s">
        <v>95</v>
      </c>
      <c r="L34" s="2"/>
      <c r="M34" s="99"/>
      <c r="N34" s="95"/>
      <c r="O34" s="95"/>
      <c r="P34" s="102" t="s">
        <v>93</v>
      </c>
      <c r="Q34" s="1"/>
      <c r="R34" s="1"/>
      <c r="S34" s="54" t="str">
        <f>(IF(P34=A34,"Whole Door",IF(P34=B34,"Strips Only")))</f>
        <v>Whole Door</v>
      </c>
      <c r="T34" s="5"/>
      <c r="U34" s="6"/>
      <c r="V34" s="6"/>
      <c r="W34" s="6"/>
      <c r="X34" s="6"/>
      <c r="Y34" s="6"/>
      <c r="Z34" s="6"/>
      <c r="AA34" s="44"/>
      <c r="AC34" s="58"/>
      <c r="AD34" s="19" t="s">
        <v>360</v>
      </c>
      <c r="AE34" s="60"/>
      <c r="AF34" s="45" t="s">
        <v>439</v>
      </c>
      <c r="AG34" s="19" t="s">
        <v>120</v>
      </c>
      <c r="AH34" s="66"/>
      <c r="AI34" s="45" t="s">
        <v>282</v>
      </c>
      <c r="AJ34" s="67"/>
      <c r="AL34" s="158"/>
      <c r="AM34" s="232"/>
      <c r="AN34" s="233"/>
      <c r="AR34" s="7" t="s">
        <v>151</v>
      </c>
      <c r="AS34" s="57">
        <f>($L$46)</f>
        <v>23.028000000000002</v>
      </c>
      <c r="AT34" s="7" t="s">
        <v>152</v>
      </c>
      <c r="AV34" s="57" t="str">
        <f>(IF($Q$10&gt;=1,$L$49,"."))</f>
        <v>.</v>
      </c>
      <c r="AW34" s="45" t="str">
        <f>(IF($Q$10&gt;=1,$AT$34,"."))</f>
        <v>.</v>
      </c>
    </row>
    <row r="35" spans="1:55" ht="12.75">
      <c r="A35" s="92"/>
      <c r="B35" s="92"/>
      <c r="C35" s="92"/>
      <c r="D35" s="1"/>
      <c r="E35" s="1"/>
      <c r="F35" s="1"/>
      <c r="G35" s="1"/>
      <c r="H35" s="3" t="s">
        <v>442</v>
      </c>
      <c r="I35" s="103">
        <f>(I31+I33)</f>
        <v>4040</v>
      </c>
      <c r="J35" s="2"/>
      <c r="K35" s="1"/>
      <c r="L35" s="2"/>
      <c r="M35" s="99"/>
      <c r="N35" s="95"/>
      <c r="O35" s="95"/>
      <c r="P35" s="3" t="s">
        <v>201</v>
      </c>
      <c r="Q35" s="1"/>
      <c r="R35" s="54"/>
      <c r="S35" s="3"/>
      <c r="T35" s="5"/>
      <c r="U35" s="6"/>
      <c r="V35" s="6"/>
      <c r="W35" s="6"/>
      <c r="X35" s="6"/>
      <c r="Y35" s="6"/>
      <c r="Z35" s="6"/>
      <c r="AA35" s="44"/>
      <c r="AD35" s="19" t="s">
        <v>227</v>
      </c>
      <c r="AE35" s="44"/>
      <c r="AG35" s="59"/>
      <c r="AI35" s="47"/>
      <c r="AJ35" s="47"/>
      <c r="AL35" s="232"/>
      <c r="AM35" s="232"/>
      <c r="AN35" s="232"/>
      <c r="AR35" s="45" t="s">
        <v>141</v>
      </c>
      <c r="AS35" s="57">
        <f>(($AZ$39/($L$46+$L$49)))</f>
        <v>62.56472624630883</v>
      </c>
      <c r="AT35" s="7" t="s">
        <v>229</v>
      </c>
    </row>
    <row r="36" spans="1:55" ht="12.75">
      <c r="A36" s="92" t="s">
        <v>49</v>
      </c>
      <c r="B36" s="92" t="s">
        <v>50</v>
      </c>
      <c r="C36" s="92"/>
      <c r="D36" s="1"/>
      <c r="E36" s="1"/>
      <c r="F36" s="1"/>
      <c r="G36" s="1"/>
      <c r="H36" s="2"/>
      <c r="I36" s="2"/>
      <c r="J36" s="2"/>
      <c r="K36" s="2"/>
      <c r="L36" s="1"/>
      <c r="M36" s="1"/>
      <c r="N36" s="1"/>
      <c r="O36" s="95"/>
      <c r="P36" s="104" t="s">
        <v>50</v>
      </c>
      <c r="Q36" s="8">
        <f>(IF($P$36=$A$36,$Q$75,IF($P$36=$B$36,$W$69*$R$19)))</f>
        <v>76.760000000000005</v>
      </c>
      <c r="R36" s="8">
        <f>(IF($P$36=$A$36,$Q$76,IF($P$36=$B$36,$W$74*$R$19)))</f>
        <v>0</v>
      </c>
      <c r="S36" s="54" t="str">
        <f>(IF($P$36=$A$36,"Full Materials",IF($P$36=$B$36,"Part Materials")))</f>
        <v>Part Materials</v>
      </c>
      <c r="T36" s="5"/>
      <c r="U36" s="6"/>
      <c r="V36" s="35">
        <f>IF(AND($P$19=$A$20,$P$28=$D$28),20,IF(AND($P$19=$B$20,$P$28=$D$28),15,50))</f>
        <v>50</v>
      </c>
      <c r="W36" s="35">
        <f>IF(AND($Q$19=$A$20,$Q$28=$D$28),20,IF(AND($Q$19=$B$20,$Q$28=$D$28),15,50))</f>
        <v>50</v>
      </c>
      <c r="X36" s="6"/>
      <c r="Y36" s="6"/>
      <c r="Z36" s="6"/>
      <c r="AA36" s="44"/>
      <c r="AD36" s="19"/>
      <c r="AE36" s="60"/>
      <c r="AF36" s="45"/>
      <c r="AG36" s="19"/>
      <c r="AH36" s="66"/>
      <c r="AI36" s="45"/>
      <c r="AJ36" s="72"/>
      <c r="AL36" s="232"/>
      <c r="AM36" s="232"/>
      <c r="AN36" s="232"/>
    </row>
    <row r="37" spans="1:55" ht="12.75">
      <c r="A37" s="92"/>
      <c r="B37" s="92"/>
      <c r="C37" s="92"/>
      <c r="D37" s="1"/>
      <c r="E37" s="1"/>
      <c r="F37" s="1"/>
      <c r="G37" s="1"/>
      <c r="H37" s="2"/>
      <c r="I37" s="2"/>
      <c r="J37" s="2"/>
      <c r="K37" s="2"/>
      <c r="L37" s="1"/>
      <c r="M37" s="105" t="s">
        <v>175</v>
      </c>
      <c r="N37" s="64">
        <f>($N$57*$O$57%)+$N$57</f>
        <v>1440.7405160000003</v>
      </c>
      <c r="O37" s="95"/>
      <c r="P37" s="106"/>
      <c r="Q37" s="8"/>
      <c r="R37" s="8"/>
      <c r="S37" s="54"/>
      <c r="T37" s="5"/>
      <c r="U37" s="6"/>
      <c r="V37" s="35"/>
      <c r="W37" s="35"/>
      <c r="X37" s="6"/>
      <c r="Y37" s="6"/>
      <c r="Z37" s="6"/>
      <c r="AA37" s="44"/>
      <c r="AD37" s="19"/>
      <c r="AE37" s="44"/>
      <c r="AG37" s="59"/>
      <c r="AI37" s="47"/>
      <c r="AJ37" s="74"/>
      <c r="AK37" s="19"/>
      <c r="AL37" s="232"/>
      <c r="AM37" s="232"/>
      <c r="AN37" s="232"/>
      <c r="AQ37" s="19" t="s">
        <v>56</v>
      </c>
      <c r="AR37" s="19"/>
      <c r="AS37" s="45" t="s">
        <v>162</v>
      </c>
      <c r="AT37" s="19"/>
      <c r="AV37" s="19"/>
      <c r="AW37" s="19"/>
      <c r="AX37" s="19"/>
      <c r="AY37" s="19"/>
      <c r="AZ37" s="19" t="s">
        <v>21</v>
      </c>
      <c r="BA37" s="19"/>
      <c r="BB37" s="19" t="s">
        <v>176</v>
      </c>
    </row>
    <row r="38" spans="1:55" ht="12.75">
      <c r="A38" s="92"/>
      <c r="B38" s="92"/>
      <c r="C38" s="92"/>
      <c r="D38" s="1"/>
      <c r="E38" s="1"/>
      <c r="F38" s="1"/>
      <c r="G38" s="1"/>
      <c r="H38" s="2"/>
      <c r="I38" s="2"/>
      <c r="J38" s="2"/>
      <c r="K38" s="2"/>
      <c r="L38" s="1"/>
      <c r="M38" s="1"/>
      <c r="N38" s="1"/>
      <c r="O38" s="95"/>
      <c r="P38" s="106"/>
      <c r="Q38" s="105" t="s">
        <v>94</v>
      </c>
      <c r="R38" s="105" t="s">
        <v>237</v>
      </c>
      <c r="S38" s="54"/>
      <c r="T38" s="5"/>
      <c r="U38" s="6"/>
      <c r="V38" s="105" t="s">
        <v>238</v>
      </c>
      <c r="W38" s="105" t="s">
        <v>85</v>
      </c>
      <c r="X38" s="6"/>
      <c r="Y38" s="6"/>
      <c r="Z38" s="6"/>
      <c r="AA38" s="44"/>
      <c r="AC38" s="58"/>
      <c r="AD38" s="19"/>
      <c r="AE38" s="44"/>
      <c r="AH38" s="60"/>
      <c r="AI38" s="59"/>
      <c r="AJ38" s="72"/>
      <c r="AL38" s="158"/>
      <c r="AM38" s="232"/>
      <c r="AN38" s="233"/>
    </row>
    <row r="39" spans="1:55" s="18" customFormat="1" ht="15">
      <c r="A39" s="176" t="s">
        <v>174</v>
      </c>
      <c r="B39" s="177"/>
      <c r="C39" s="177"/>
      <c r="D39" s="177"/>
      <c r="E39" s="177"/>
      <c r="F39" s="177"/>
      <c r="G39" s="187" t="s">
        <v>348</v>
      </c>
      <c r="H39" s="186"/>
      <c r="I39" s="177"/>
      <c r="J39" s="179"/>
      <c r="K39" s="177"/>
      <c r="L39" s="177"/>
      <c r="M39" s="177"/>
      <c r="N39" s="179"/>
      <c r="O39" s="179"/>
      <c r="P39" s="177"/>
      <c r="Q39" s="178"/>
      <c r="R39" s="180"/>
      <c r="S39" s="180"/>
      <c r="T39" s="180"/>
      <c r="U39" s="180"/>
      <c r="V39" s="181"/>
      <c r="W39" s="177"/>
      <c r="X39" s="177"/>
      <c r="Y39" s="177"/>
      <c r="Z39" s="177"/>
      <c r="AA39" s="182"/>
      <c r="AC39" s="39">
        <v>1</v>
      </c>
      <c r="AD39" s="26" t="s">
        <v>315</v>
      </c>
      <c r="AE39" s="42"/>
      <c r="AF39" s="45" t="s">
        <v>91</v>
      </c>
      <c r="AG39" s="46" t="s">
        <v>120</v>
      </c>
      <c r="AH39" s="42"/>
      <c r="AI39" s="45" t="s">
        <v>439</v>
      </c>
      <c r="AJ39" s="47"/>
      <c r="AK39" s="48"/>
      <c r="AL39" s="241"/>
      <c r="AM39" s="232"/>
      <c r="AN39" s="233"/>
      <c r="AO39" s="26"/>
      <c r="AP39" s="26"/>
      <c r="AQ39" s="39">
        <v>1</v>
      </c>
      <c r="AR39" s="26" t="s">
        <v>315</v>
      </c>
      <c r="AS39" s="42">
        <f>($I$17)</f>
        <v>4000</v>
      </c>
      <c r="AT39" s="51" t="s">
        <v>91</v>
      </c>
      <c r="AU39" s="46" t="s">
        <v>120</v>
      </c>
      <c r="AV39" s="42">
        <f>($M$8)</f>
        <v>4500</v>
      </c>
      <c r="AW39" s="51" t="s">
        <v>439</v>
      </c>
      <c r="AX39" s="183">
        <f>($P$66)</f>
        <v>4800</v>
      </c>
      <c r="AY39" s="184">
        <v>0</v>
      </c>
      <c r="AZ39" s="241">
        <f>($R$380)-(($R$380)*AY39%)+($AZ$75)</f>
        <v>1440.7405159999998</v>
      </c>
      <c r="BA39" s="232"/>
      <c r="BB39" s="233">
        <f>(AQ39*AZ39)</f>
        <v>1440.7405159999998</v>
      </c>
      <c r="BC39" s="46"/>
    </row>
    <row r="40" spans="1:55" ht="12.75">
      <c r="A40" s="92"/>
      <c r="B40" s="92"/>
      <c r="C40" s="92"/>
      <c r="D40" s="1"/>
      <c r="E40" s="1"/>
      <c r="F40" s="1"/>
      <c r="G40" s="1"/>
      <c r="H40" s="2"/>
      <c r="I40" s="2"/>
      <c r="J40" s="2"/>
      <c r="K40" s="2"/>
      <c r="L40" s="1"/>
      <c r="M40" s="1"/>
      <c r="N40" s="1"/>
      <c r="O40" s="95"/>
      <c r="P40" s="106"/>
      <c r="Q40" s="8"/>
      <c r="R40" s="8"/>
      <c r="S40" s="54"/>
      <c r="T40" s="5"/>
      <c r="U40" s="6"/>
      <c r="V40" s="35"/>
      <c r="W40" s="35"/>
      <c r="X40" s="6"/>
      <c r="Y40" s="6"/>
      <c r="Z40" s="6"/>
      <c r="AA40" s="44"/>
      <c r="AC40" s="58"/>
      <c r="AD40" s="19" t="s">
        <v>418</v>
      </c>
      <c r="AE40" s="59"/>
      <c r="AF40" s="19"/>
      <c r="AH40" s="60"/>
      <c r="AI40" s="59"/>
      <c r="AJ40" s="47"/>
      <c r="AL40" s="232"/>
      <c r="AM40" s="232"/>
      <c r="AN40" s="233"/>
      <c r="AP40" s="26"/>
      <c r="AQ40" s="58"/>
      <c r="AR40" s="19" t="s">
        <v>418</v>
      </c>
      <c r="AS40" s="59" t="str">
        <f>($S$32)</f>
        <v>Galvinsed</v>
      </c>
      <c r="AT40" s="19"/>
      <c r="AV40" s="60">
        <f>($R$12)</f>
        <v>50</v>
      </c>
      <c r="AW40" s="59" t="str">
        <f>($S$13)</f>
        <v>mm overlap</v>
      </c>
      <c r="AX40" s="47">
        <f>($P$66-$M$8)/2</f>
        <v>150</v>
      </c>
      <c r="AZ40" s="232"/>
      <c r="BA40" s="232"/>
      <c r="BB40" s="233"/>
      <c r="BC40" s="19"/>
    </row>
    <row r="41" spans="1:55" ht="12.75">
      <c r="A41" s="92"/>
      <c r="B41" s="92"/>
      <c r="C41" s="92"/>
      <c r="D41" s="1"/>
      <c r="E41" s="1"/>
      <c r="F41" s="1"/>
      <c r="G41" s="1"/>
      <c r="H41" s="2"/>
      <c r="I41" s="2"/>
      <c r="J41" s="2"/>
      <c r="K41" s="2"/>
      <c r="L41" s="56">
        <f>(($I$17*$M$8)/1000000)</f>
        <v>18</v>
      </c>
      <c r="M41" s="95"/>
      <c r="N41" s="56">
        <f>($Q$57/L41)</f>
        <v>80.041139777777801</v>
      </c>
      <c r="O41" s="95"/>
      <c r="P41" s="106"/>
      <c r="Q41" s="8"/>
      <c r="R41" s="8"/>
      <c r="S41" s="54"/>
      <c r="T41" s="5"/>
      <c r="U41" s="6"/>
      <c r="V41" s="35"/>
      <c r="W41" s="35"/>
      <c r="X41" s="6"/>
      <c r="Y41" s="6"/>
      <c r="Z41" s="6"/>
      <c r="AA41" s="44"/>
      <c r="AC41" s="58"/>
      <c r="AD41" s="19" t="s">
        <v>360</v>
      </c>
      <c r="AE41" s="60"/>
      <c r="AF41" s="45" t="s">
        <v>439</v>
      </c>
      <c r="AG41" s="19" t="s">
        <v>120</v>
      </c>
      <c r="AH41" s="66"/>
      <c r="AI41" s="45" t="s">
        <v>282</v>
      </c>
      <c r="AJ41" s="67"/>
      <c r="AL41" s="158"/>
      <c r="AM41" s="232"/>
      <c r="AN41" s="233"/>
      <c r="AQ41" s="58"/>
      <c r="AR41" s="19" t="s">
        <v>72</v>
      </c>
      <c r="AS41" s="60">
        <f>($P$19)</f>
        <v>300</v>
      </c>
      <c r="AT41" s="45" t="s">
        <v>439</v>
      </c>
      <c r="AU41" s="19" t="s">
        <v>120</v>
      </c>
      <c r="AV41" s="66">
        <f>($P$22)</f>
        <v>3</v>
      </c>
      <c r="AW41" s="45" t="s">
        <v>282</v>
      </c>
      <c r="AX41" s="67">
        <f>($Q$104)</f>
        <v>69.5</v>
      </c>
      <c r="AZ41" s="158"/>
      <c r="BA41" s="232"/>
      <c r="BB41" s="233"/>
    </row>
    <row r="42" spans="1:55" ht="13.05" customHeight="1">
      <c r="A42" s="1"/>
      <c r="B42" s="1"/>
      <c r="C42" s="1"/>
      <c r="D42" s="1"/>
      <c r="E42" s="1"/>
      <c r="F42" s="1"/>
      <c r="G42" s="1"/>
      <c r="H42" s="2"/>
      <c r="I42" s="3" t="s">
        <v>194</v>
      </c>
      <c r="J42" s="2"/>
      <c r="K42" s="3" t="s">
        <v>194</v>
      </c>
      <c r="L42" s="2"/>
      <c r="M42" s="3" t="s">
        <v>194</v>
      </c>
      <c r="N42" s="1"/>
      <c r="O42" s="3" t="s">
        <v>194</v>
      </c>
      <c r="P42" s="1"/>
      <c r="Q42" s="3" t="s">
        <v>194</v>
      </c>
      <c r="R42" s="95"/>
      <c r="S42" s="3"/>
      <c r="T42" s="5"/>
      <c r="U42" s="3" t="s">
        <v>18</v>
      </c>
      <c r="V42" s="6"/>
      <c r="W42" s="6"/>
      <c r="X42" s="6"/>
      <c r="Y42" s="6"/>
      <c r="Z42" s="6"/>
      <c r="AA42" s="98"/>
      <c r="AD42" s="19" t="s">
        <v>227</v>
      </c>
      <c r="AE42" s="44"/>
      <c r="AG42" s="59"/>
      <c r="AI42" s="47"/>
      <c r="AJ42" s="47"/>
      <c r="AL42" s="232"/>
      <c r="AM42" s="232"/>
      <c r="AN42" s="232"/>
      <c r="AR42" s="19" t="s">
        <v>227</v>
      </c>
      <c r="AS42" s="44" t="str">
        <f>($S$25)</f>
        <v>Coolroom Ambient Temp</v>
      </c>
      <c r="AU42" s="59" t="str">
        <f>($S$28)</f>
        <v>Ribbed profile</v>
      </c>
      <c r="AW42" s="47"/>
      <c r="AX42" s="189">
        <f>($P$69)</f>
        <v>19</v>
      </c>
      <c r="AZ42" s="232"/>
      <c r="BA42" s="232"/>
      <c r="BB42" s="232"/>
    </row>
    <row r="43" spans="1:55" ht="12.75">
      <c r="A43" s="1"/>
      <c r="B43" s="1"/>
      <c r="C43" s="1"/>
      <c r="D43" s="1"/>
      <c r="E43" s="1"/>
      <c r="F43" s="1"/>
      <c r="G43" s="1"/>
      <c r="H43" s="2"/>
      <c r="I43" s="3" t="s">
        <v>116</v>
      </c>
      <c r="J43" s="92">
        <f>($W$63)</f>
        <v>73.528000000000006</v>
      </c>
      <c r="K43" s="3" t="s">
        <v>142</v>
      </c>
      <c r="L43" s="56">
        <f>($Y$63)</f>
        <v>22.058400000000002</v>
      </c>
      <c r="M43" s="3" t="s">
        <v>47</v>
      </c>
      <c r="N43" s="56">
        <f>($Q$57/L43)</f>
        <v>65.314824103289453</v>
      </c>
      <c r="O43" s="3" t="s">
        <v>90</v>
      </c>
      <c r="P43" s="54">
        <f>($N$69)</f>
        <v>18.2</v>
      </c>
      <c r="Q43" s="3" t="s">
        <v>374</v>
      </c>
      <c r="R43" s="110">
        <f>($P$8)</f>
        <v>4600</v>
      </c>
      <c r="S43" s="3"/>
      <c r="T43" s="8"/>
      <c r="U43" s="3" t="s">
        <v>19</v>
      </c>
      <c r="V43" s="111">
        <f>($Q$104)</f>
        <v>69.5</v>
      </c>
      <c r="W43" s="95"/>
      <c r="X43" s="2"/>
      <c r="Y43" s="1"/>
      <c r="Z43" s="6"/>
      <c r="AA43" s="44"/>
      <c r="AD43" s="19"/>
      <c r="AE43" s="60"/>
      <c r="AF43" s="45"/>
      <c r="AG43" s="19"/>
      <c r="AH43" s="66"/>
      <c r="AI43" s="45"/>
      <c r="AJ43" s="72"/>
      <c r="AL43" s="232"/>
      <c r="AM43" s="232"/>
      <c r="AN43" s="232"/>
      <c r="AR43" s="19" t="str">
        <f>(IF($Q$10&gt;=1,"PVC Strips Special","."))</f>
        <v>.</v>
      </c>
      <c r="AS43" s="19" t="str">
        <f>(IF($Q$10&gt;=1,$Q$19,"."))</f>
        <v>.</v>
      </c>
      <c r="AT43" s="19" t="str">
        <f>(IF($Q$10&gt;=1,"mm Width","."))</f>
        <v>.</v>
      </c>
      <c r="AU43" s="19" t="str">
        <f>(IF($Q$10&gt;=1,"x","."))</f>
        <v>.</v>
      </c>
      <c r="AV43" s="66" t="str">
        <f>(IF($Q$10&gt;=1,$Q$22,"."))</f>
        <v>.</v>
      </c>
      <c r="AW43" s="19" t="str">
        <f>(IF($Q$10&gt;=1,"mm Width","."))</f>
        <v>.</v>
      </c>
      <c r="AX43" s="72"/>
      <c r="AZ43" s="232"/>
      <c r="BA43" s="232"/>
      <c r="BB43" s="232"/>
    </row>
    <row r="44" spans="1:55" ht="12.75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1"/>
      <c r="M44" s="2"/>
      <c r="N44" s="1"/>
      <c r="O44" s="2"/>
      <c r="P44" s="2"/>
      <c r="Q44" s="2"/>
      <c r="R44" s="89"/>
      <c r="S44" s="1"/>
      <c r="T44" s="1"/>
      <c r="U44" s="2"/>
      <c r="V44" s="1"/>
      <c r="W44" s="8"/>
      <c r="X44" s="3"/>
      <c r="Y44" s="8"/>
      <c r="Z44" s="6"/>
      <c r="AA44" s="44"/>
      <c r="AD44" s="19"/>
      <c r="AE44" s="44"/>
      <c r="AG44" s="59"/>
      <c r="AI44" s="47"/>
      <c r="AJ44" s="74"/>
      <c r="AK44" s="19"/>
      <c r="AL44" s="232"/>
      <c r="AM44" s="232"/>
      <c r="AN44" s="232"/>
      <c r="AO44" s="26"/>
      <c r="AP44" s="26"/>
      <c r="AR44" s="19" t="str">
        <f>(IF($Q$10&gt;=1,"Strips Type","."))</f>
        <v>.</v>
      </c>
      <c r="AS44" s="45" t="str">
        <f>(IF($Q$10&gt;=1,$S$26,"."))</f>
        <v>.</v>
      </c>
      <c r="AU44" s="45" t="str">
        <f>(IF($Q$10&gt;=1,$S$29,"."))</f>
        <v>.</v>
      </c>
      <c r="AW44" s="26"/>
      <c r="AX44" s="74" t="str">
        <f>(IF($Q$10&gt;=1,$Q$10,"."))</f>
        <v>.</v>
      </c>
      <c r="AY44" s="19"/>
      <c r="AZ44" s="232"/>
      <c r="BA44" s="232"/>
      <c r="BB44" s="232"/>
    </row>
    <row r="45" spans="1:55" ht="12.75">
      <c r="A45" s="1"/>
      <c r="B45" s="1"/>
      <c r="C45" s="1"/>
      <c r="D45" s="1"/>
      <c r="E45" s="1"/>
      <c r="F45" s="1"/>
      <c r="G45" s="1"/>
      <c r="H45" s="2"/>
      <c r="I45" s="3" t="s">
        <v>139</v>
      </c>
      <c r="J45" s="2"/>
      <c r="K45" s="3" t="s">
        <v>139</v>
      </c>
      <c r="L45" s="1"/>
      <c r="M45" s="1"/>
      <c r="N45" s="1"/>
      <c r="O45" s="3" t="s">
        <v>139</v>
      </c>
      <c r="P45" s="92"/>
      <c r="Q45" s="3" t="s">
        <v>139</v>
      </c>
      <c r="R45" s="110"/>
      <c r="S45" s="1"/>
      <c r="T45" s="1"/>
      <c r="U45" s="2"/>
      <c r="V45" s="1"/>
      <c r="W45" s="35"/>
      <c r="X45" s="3"/>
      <c r="Y45" s="6"/>
      <c r="Z45" s="6"/>
      <c r="AA45" s="44"/>
      <c r="AC45" s="112">
        <v>1</v>
      </c>
      <c r="AD45" s="7" t="s">
        <v>370</v>
      </c>
      <c r="AE45" s="60"/>
      <c r="AF45" s="45"/>
      <c r="AG45" s="19"/>
      <c r="AH45" s="60"/>
      <c r="AI45" s="45"/>
      <c r="AJ45" s="45"/>
      <c r="AL45" s="231">
        <v>0</v>
      </c>
      <c r="AM45" s="232"/>
      <c r="AN45" s="233">
        <f>(AC45*AL45)</f>
        <v>0</v>
      </c>
      <c r="AO45" s="26"/>
      <c r="AP45" s="26"/>
      <c r="AQ45" s="112">
        <v>1</v>
      </c>
      <c r="AR45" s="7" t="s">
        <v>370</v>
      </c>
      <c r="AS45" s="60"/>
      <c r="AT45" s="45"/>
      <c r="AU45" s="19"/>
      <c r="AV45" s="60"/>
      <c r="AW45" s="45"/>
      <c r="AX45" s="45"/>
      <c r="AZ45" s="231">
        <v>0</v>
      </c>
      <c r="BA45" s="232"/>
      <c r="BB45" s="233">
        <f>(AQ45*AZ45)</f>
        <v>0</v>
      </c>
      <c r="BC45" s="26"/>
    </row>
    <row r="46" spans="1:55">
      <c r="A46" s="1"/>
      <c r="B46" s="1"/>
      <c r="C46" s="1"/>
      <c r="D46" s="1"/>
      <c r="E46" s="1"/>
      <c r="F46" s="1"/>
      <c r="G46" s="1"/>
      <c r="H46" s="2"/>
      <c r="I46" s="3" t="s">
        <v>116</v>
      </c>
      <c r="J46" s="54">
        <f>($W$69)</f>
        <v>76.760000000000005</v>
      </c>
      <c r="K46" s="3" t="s">
        <v>142</v>
      </c>
      <c r="L46" s="8">
        <f>($Y$69)</f>
        <v>23.028000000000002</v>
      </c>
      <c r="M46" s="1"/>
      <c r="N46" s="1"/>
      <c r="O46" s="3" t="s">
        <v>90</v>
      </c>
      <c r="P46" s="54">
        <f>($P$69)</f>
        <v>19</v>
      </c>
      <c r="Q46" s="3" t="s">
        <v>374</v>
      </c>
      <c r="R46" s="110">
        <f>($P$66)</f>
        <v>4800</v>
      </c>
      <c r="S46" s="1"/>
      <c r="T46" s="1"/>
      <c r="U46" s="2"/>
      <c r="V46" s="1"/>
      <c r="W46" s="8"/>
      <c r="X46" s="3"/>
      <c r="Y46" s="8"/>
      <c r="Z46" s="6"/>
      <c r="AA46" s="44"/>
      <c r="AB46" s="19"/>
      <c r="AC46" s="112">
        <f>SUM(AC17:AC44)</f>
        <v>4</v>
      </c>
      <c r="AD46" s="7" t="s">
        <v>375</v>
      </c>
      <c r="AE46" s="60"/>
      <c r="AF46" s="45"/>
      <c r="AG46" s="19"/>
      <c r="AH46" s="60"/>
      <c r="AI46" s="45"/>
      <c r="AJ46" s="45"/>
      <c r="AL46" s="233">
        <v>0</v>
      </c>
      <c r="AM46" s="232"/>
      <c r="AN46" s="233">
        <f>(AC46*AL46)</f>
        <v>0</v>
      </c>
      <c r="AP46" s="19"/>
      <c r="AQ46" s="112">
        <f>SUM(AQ38:AQ44)</f>
        <v>1</v>
      </c>
      <c r="AR46" s="7" t="s">
        <v>181</v>
      </c>
      <c r="AS46" s="60"/>
      <c r="AT46" s="45"/>
      <c r="AU46" s="19"/>
      <c r="AV46" s="60"/>
      <c r="AW46" s="45"/>
      <c r="AX46" s="45"/>
      <c r="AZ46" s="233">
        <v>45</v>
      </c>
      <c r="BA46" s="232"/>
      <c r="BB46" s="233">
        <f>(AQ46*AZ46)</f>
        <v>45</v>
      </c>
      <c r="BC46" s="19"/>
    </row>
    <row r="47" spans="1:55">
      <c r="A47" s="1"/>
      <c r="B47" s="1"/>
      <c r="C47" s="1"/>
      <c r="D47" s="1"/>
      <c r="E47" s="1"/>
      <c r="F47" s="1"/>
      <c r="G47" s="1"/>
      <c r="H47" s="2"/>
      <c r="I47" s="2"/>
      <c r="J47" s="2"/>
      <c r="K47" s="1"/>
      <c r="L47" s="99"/>
      <c r="M47" s="3" t="s">
        <v>6</v>
      </c>
      <c r="N47" s="1"/>
      <c r="O47" s="1"/>
      <c r="P47" s="1"/>
      <c r="Q47" s="106"/>
      <c r="R47" s="3"/>
      <c r="S47" s="3"/>
      <c r="T47" s="5"/>
      <c r="U47" s="2"/>
      <c r="V47" s="2"/>
      <c r="W47" s="2"/>
      <c r="X47" s="1"/>
      <c r="Y47" s="99"/>
      <c r="Z47" s="6"/>
      <c r="AA47" s="44"/>
      <c r="AB47" s="19"/>
      <c r="AC47" s="244" t="s">
        <v>455</v>
      </c>
      <c r="AF47" s="242"/>
      <c r="AG47" s="53"/>
      <c r="AH47" s="44"/>
      <c r="AI47" s="44"/>
      <c r="AJ47" s="44"/>
      <c r="AK47" s="44"/>
      <c r="AL47" s="119"/>
      <c r="AM47" s="119"/>
      <c r="AN47" s="119"/>
      <c r="AP47" s="19"/>
      <c r="AQ47" s="244" t="s">
        <v>455</v>
      </c>
      <c r="AT47" s="242"/>
      <c r="AZ47" s="232"/>
      <c r="BA47" s="232"/>
      <c r="BB47" s="232"/>
    </row>
    <row r="48" spans="1:55" ht="12.75">
      <c r="A48" s="1"/>
      <c r="B48" s="1"/>
      <c r="C48" s="1"/>
      <c r="D48" s="1"/>
      <c r="E48" s="1"/>
      <c r="F48" s="1"/>
      <c r="G48" s="1"/>
      <c r="H48" s="2"/>
      <c r="I48" s="3" t="s">
        <v>139</v>
      </c>
      <c r="J48" s="2"/>
      <c r="K48" s="3" t="s">
        <v>139</v>
      </c>
      <c r="L48" s="1"/>
      <c r="M48" s="3" t="s">
        <v>47</v>
      </c>
      <c r="N48" s="8">
        <f>(($Q$57/($L$46+$L$49)))</f>
        <v>62.564726246308851</v>
      </c>
      <c r="O48" s="3" t="s">
        <v>139</v>
      </c>
      <c r="P48" s="1"/>
      <c r="Q48" s="106"/>
      <c r="R48" s="3"/>
      <c r="S48" s="3"/>
      <c r="T48" s="5"/>
      <c r="U48" s="2"/>
      <c r="V48" s="2"/>
      <c r="W48" s="2"/>
      <c r="X48" s="1"/>
      <c r="Y48" s="99"/>
      <c r="Z48" s="6"/>
      <c r="AA48" s="44"/>
      <c r="AB48" s="19"/>
      <c r="AC48" s="244" t="s">
        <v>456</v>
      </c>
      <c r="AD48" s="19"/>
      <c r="AE48" s="19"/>
      <c r="AF48" s="242"/>
      <c r="AG48" s="26"/>
      <c r="AH48" s="44"/>
      <c r="AI48" s="44"/>
      <c r="AJ48" s="44"/>
      <c r="AK48" s="44"/>
      <c r="AL48" s="119"/>
      <c r="AM48" s="119"/>
      <c r="AN48" s="119"/>
      <c r="AP48" s="19"/>
      <c r="AQ48" s="244" t="s">
        <v>456</v>
      </c>
      <c r="AR48" s="19"/>
      <c r="AS48" s="19"/>
      <c r="AT48" s="242"/>
      <c r="AU48" s="44"/>
      <c r="AV48" s="44"/>
      <c r="AW48" s="44"/>
      <c r="AX48" s="44"/>
      <c r="AY48" s="44"/>
      <c r="AZ48" s="119"/>
      <c r="BA48" s="119"/>
      <c r="BB48" s="119"/>
      <c r="BC48" s="19"/>
    </row>
    <row r="49" spans="1:56" ht="12.75">
      <c r="A49" s="200"/>
      <c r="B49" s="6"/>
      <c r="C49" s="6"/>
      <c r="D49" s="6"/>
      <c r="E49" s="6"/>
      <c r="F49" s="6"/>
      <c r="G49" s="6"/>
      <c r="H49" s="6"/>
      <c r="I49" s="3" t="s">
        <v>116</v>
      </c>
      <c r="J49" s="54">
        <f>($W$74)</f>
        <v>0</v>
      </c>
      <c r="K49" s="3" t="s">
        <v>142</v>
      </c>
      <c r="L49" s="8">
        <f>($Y$74)</f>
        <v>0</v>
      </c>
      <c r="M49" s="3"/>
      <c r="N49" s="8"/>
      <c r="O49" s="3" t="s">
        <v>90</v>
      </c>
      <c r="P49" s="54">
        <f>($Q$10)</f>
        <v>0</v>
      </c>
      <c r="Q49" s="1"/>
      <c r="R49" s="1"/>
      <c r="S49" s="3"/>
      <c r="T49" s="5"/>
      <c r="U49" s="6"/>
      <c r="V49" s="6"/>
      <c r="W49" s="6"/>
      <c r="X49" s="6"/>
      <c r="Y49" s="6"/>
      <c r="Z49" s="6"/>
      <c r="AA49" s="44"/>
      <c r="AB49" s="19"/>
      <c r="AC49" s="243" t="s">
        <v>457</v>
      </c>
      <c r="AD49" s="19"/>
      <c r="AE49" s="19"/>
      <c r="AF49" s="19"/>
      <c r="AG49" s="26"/>
      <c r="AH49" s="44"/>
      <c r="AI49" s="7" t="s">
        <v>48</v>
      </c>
      <c r="AJ49" s="44"/>
      <c r="AL49" s="232"/>
      <c r="AM49" s="234"/>
      <c r="AN49" s="235">
        <f>SUM(AN17:AN47)</f>
        <v>0</v>
      </c>
      <c r="AO49" s="19"/>
      <c r="AP49" s="59"/>
      <c r="AQ49" s="243" t="s">
        <v>457</v>
      </c>
      <c r="AR49" s="19"/>
      <c r="AS49" s="19"/>
      <c r="AT49" s="19"/>
      <c r="AU49" s="114"/>
      <c r="AV49" s="44"/>
      <c r="AW49" s="7" t="s">
        <v>48</v>
      </c>
      <c r="AX49" s="44"/>
      <c r="AZ49" s="232"/>
      <c r="BA49" s="234"/>
      <c r="BB49" s="235">
        <f>SUM(BB38:BB48)</f>
        <v>1485.7405159999998</v>
      </c>
    </row>
    <row r="50" spans="1:56" ht="12.75">
      <c r="A50" s="200"/>
      <c r="B50" s="6"/>
      <c r="C50" s="6"/>
      <c r="D50" s="6"/>
      <c r="E50" s="6"/>
      <c r="F50" s="6"/>
      <c r="G50" s="6"/>
      <c r="H50" s="6"/>
      <c r="I50" s="3"/>
      <c r="J50" s="54"/>
      <c r="K50" s="1"/>
      <c r="L50" s="99"/>
      <c r="M50" s="1"/>
      <c r="N50" s="1"/>
      <c r="O50" s="3"/>
      <c r="P50" s="54"/>
      <c r="Q50" s="1"/>
      <c r="R50" s="1"/>
      <c r="S50" s="3"/>
      <c r="T50" s="5"/>
      <c r="U50" s="6"/>
      <c r="V50" s="6"/>
      <c r="W50" s="6"/>
      <c r="X50" s="6"/>
      <c r="Y50" s="6"/>
      <c r="Z50" s="6"/>
      <c r="AA50" s="44"/>
      <c r="AB50" s="19"/>
      <c r="AC50" s="230" t="s">
        <v>454</v>
      </c>
      <c r="AD50" s="19"/>
      <c r="AF50" s="60"/>
      <c r="AG50" s="26"/>
      <c r="AI50" s="59"/>
      <c r="AJ50" s="19"/>
      <c r="AL50" s="232"/>
      <c r="AM50" s="232"/>
      <c r="AN50" s="236"/>
      <c r="AP50" s="60"/>
      <c r="AQ50" s="230" t="s">
        <v>454</v>
      </c>
      <c r="AR50" s="19"/>
      <c r="AT50" s="60"/>
      <c r="AU50" s="114"/>
      <c r="AW50" s="59"/>
      <c r="AX50" s="19"/>
      <c r="AZ50" s="232"/>
      <c r="BA50" s="232"/>
      <c r="BB50" s="236"/>
      <c r="BC50" s="45"/>
    </row>
    <row r="51" spans="1:56">
      <c r="A51" s="201" t="s">
        <v>330</v>
      </c>
      <c r="B51" s="152"/>
      <c r="C51" s="152"/>
      <c r="D51" s="152"/>
      <c r="E51" s="152"/>
      <c r="F51" s="152"/>
      <c r="G51" s="202"/>
      <c r="H51" s="152"/>
      <c r="I51" s="152"/>
      <c r="J51" s="203"/>
      <c r="K51" s="152"/>
      <c r="L51" s="152"/>
      <c r="M51" s="152"/>
      <c r="N51" s="203"/>
      <c r="O51" s="203"/>
      <c r="P51" s="152"/>
      <c r="Q51" s="202"/>
      <c r="R51" s="145"/>
      <c r="S51" s="145"/>
      <c r="T51" s="145"/>
      <c r="U51" s="145"/>
      <c r="V51" s="146"/>
      <c r="W51" s="152"/>
      <c r="X51" s="152"/>
      <c r="Y51" s="152"/>
      <c r="Z51" s="152"/>
      <c r="AA51" s="44"/>
      <c r="AB51" s="59"/>
      <c r="AG51" s="19"/>
      <c r="AH51" s="19"/>
      <c r="AI51" s="115">
        <v>0</v>
      </c>
      <c r="AJ51" s="59" t="str">
        <f>(IF(AI51=AB54,"-",IF(AI51=#REF!,"Allowance",IF(AI51=AB55,"Allowance",IF(AI51=AC52," Allowance")))))</f>
        <v>-</v>
      </c>
      <c r="AL51" s="159"/>
      <c r="AM51" s="232"/>
      <c r="AN51" s="237">
        <f>(AN49*AI51%)</f>
        <v>0</v>
      </c>
      <c r="AO51" s="19"/>
      <c r="AP51" s="59"/>
      <c r="AU51" s="19"/>
      <c r="AV51" s="19"/>
      <c r="AW51" s="115">
        <v>0</v>
      </c>
      <c r="AX51" s="59" t="str">
        <f>(IF(AW51=AP54,"-",IF(AW51=AQ50,"Allowance",IF(AW51=AP55,"Allowance",IF(AW51=AQ52," Allowance")))))</f>
        <v>-</v>
      </c>
      <c r="AZ51" s="159"/>
      <c r="BA51" s="232"/>
      <c r="BB51" s="237">
        <f>(BB49*AW51%)</f>
        <v>0</v>
      </c>
      <c r="BC51" s="19"/>
    </row>
    <row r="52" spans="1:56">
      <c r="A52" s="1"/>
      <c r="B52" s="1"/>
      <c r="C52" s="1"/>
      <c r="D52" s="1"/>
      <c r="E52" s="1"/>
      <c r="F52" s="1"/>
      <c r="G52" s="1"/>
      <c r="H52" s="2"/>
      <c r="I52" s="2"/>
      <c r="J52" s="2"/>
      <c r="K52" s="1"/>
      <c r="L52" s="99"/>
      <c r="M52" s="1"/>
      <c r="N52" s="1"/>
      <c r="O52" s="1"/>
      <c r="P52" s="106"/>
      <c r="Q52" s="1"/>
      <c r="R52" s="118"/>
      <c r="S52" s="118"/>
      <c r="T52" s="118"/>
      <c r="U52" s="118"/>
      <c r="V52" s="94"/>
      <c r="W52" s="6"/>
      <c r="X52" s="6"/>
      <c r="Y52" s="6"/>
      <c r="Z52" s="6"/>
      <c r="AA52" s="44"/>
      <c r="AB52" s="44"/>
      <c r="AC52" s="197" t="s">
        <v>37</v>
      </c>
      <c r="AE52" s="19"/>
      <c r="AF52" s="19"/>
      <c r="AG52" s="19"/>
      <c r="AH52" s="45"/>
      <c r="AK52" s="19"/>
      <c r="AL52" s="119"/>
      <c r="AM52" s="119"/>
      <c r="AN52" s="119"/>
      <c r="AP52" s="44"/>
      <c r="AQ52" s="197" t="s">
        <v>37</v>
      </c>
      <c r="AS52" s="19"/>
      <c r="AT52" s="19"/>
      <c r="AU52" s="19"/>
      <c r="AV52" s="45"/>
      <c r="AY52" s="19"/>
      <c r="AZ52" s="119"/>
      <c r="BA52" s="119"/>
      <c r="BB52" s="119"/>
      <c r="BC52" s="19"/>
    </row>
    <row r="53" spans="1:56" s="19" customFormat="1">
      <c r="A53" s="117" t="s">
        <v>250</v>
      </c>
      <c r="B53" s="3"/>
      <c r="C53" s="3"/>
      <c r="D53" s="3"/>
      <c r="E53" s="3"/>
      <c r="F53" s="3"/>
      <c r="G53" s="3"/>
      <c r="H53" s="56" t="s">
        <v>250</v>
      </c>
      <c r="I53" s="56" t="s">
        <v>217</v>
      </c>
      <c r="J53" s="56" t="s">
        <v>2</v>
      </c>
      <c r="K53" s="56" t="s">
        <v>199</v>
      </c>
      <c r="L53" s="56" t="s">
        <v>418</v>
      </c>
      <c r="M53" s="56" t="s">
        <v>326</v>
      </c>
      <c r="N53" s="105" t="s">
        <v>176</v>
      </c>
      <c r="O53" s="3" t="s">
        <v>320</v>
      </c>
      <c r="P53" s="3" t="s">
        <v>302</v>
      </c>
      <c r="Q53" s="118" t="s">
        <v>175</v>
      </c>
      <c r="R53" s="3"/>
      <c r="S53" s="3"/>
      <c r="T53" s="3"/>
      <c r="U53" s="3" t="s">
        <v>279</v>
      </c>
      <c r="V53" s="94"/>
      <c r="W53" s="56"/>
      <c r="X53" s="56"/>
      <c r="Y53" s="56"/>
      <c r="Z53" s="56"/>
      <c r="AA53" s="57"/>
      <c r="AB53" s="60"/>
      <c r="AC53" s="44"/>
      <c r="AI53" s="7" t="s">
        <v>48</v>
      </c>
      <c r="AJ53" s="7"/>
      <c r="AK53" s="7"/>
      <c r="AL53" s="232"/>
      <c r="AM53" s="234"/>
      <c r="AN53" s="235">
        <f>(AN49-AN51)</f>
        <v>0</v>
      </c>
      <c r="AO53" s="45"/>
      <c r="AP53" s="60"/>
      <c r="AQ53" s="44"/>
      <c r="AW53" s="7" t="s">
        <v>48</v>
      </c>
      <c r="AX53" s="7"/>
      <c r="AY53" s="7"/>
      <c r="AZ53" s="232"/>
      <c r="BA53" s="234"/>
      <c r="BB53" s="235">
        <f>(BB49-BB51)</f>
        <v>1485.7405159999998</v>
      </c>
      <c r="BC53" s="44"/>
    </row>
    <row r="54" spans="1:56" s="19" customFormat="1">
      <c r="A54" s="3"/>
      <c r="B54" s="3"/>
      <c r="C54" s="3"/>
      <c r="D54" s="3"/>
      <c r="E54" s="3"/>
      <c r="F54" s="3"/>
      <c r="G54" s="3"/>
      <c r="H54" s="56" t="s">
        <v>27</v>
      </c>
      <c r="I54" s="56" t="s">
        <v>27</v>
      </c>
      <c r="J54" s="56" t="s">
        <v>27</v>
      </c>
      <c r="K54" s="56" t="s">
        <v>27</v>
      </c>
      <c r="L54" s="56" t="s">
        <v>27</v>
      </c>
      <c r="M54" s="56" t="s">
        <v>27</v>
      </c>
      <c r="N54" s="56" t="s">
        <v>247</v>
      </c>
      <c r="O54" s="3" t="s">
        <v>150</v>
      </c>
      <c r="P54" s="3" t="s">
        <v>150</v>
      </c>
      <c r="Q54" s="56" t="s">
        <v>247</v>
      </c>
      <c r="R54" s="3"/>
      <c r="S54" s="3"/>
      <c r="T54" s="3"/>
      <c r="U54" s="3" t="s">
        <v>280</v>
      </c>
      <c r="V54" s="94"/>
      <c r="W54" s="56"/>
      <c r="X54" s="56"/>
      <c r="Y54" s="56"/>
      <c r="Z54" s="56"/>
      <c r="AA54" s="57"/>
      <c r="AB54" s="185"/>
      <c r="AC54" s="197" t="s">
        <v>16</v>
      </c>
      <c r="AD54" s="7"/>
      <c r="AH54" s="44"/>
      <c r="AI54" s="44"/>
      <c r="AJ54" s="44"/>
      <c r="AK54" s="44"/>
      <c r="AL54" s="119"/>
      <c r="AM54" s="119"/>
      <c r="AN54" s="119"/>
      <c r="AP54" s="185"/>
      <c r="AQ54" s="197" t="s">
        <v>16</v>
      </c>
      <c r="AR54" s="7"/>
      <c r="AV54" s="44"/>
      <c r="AW54" s="44"/>
      <c r="AX54" s="44"/>
      <c r="AY54" s="44"/>
      <c r="AZ54" s="119"/>
      <c r="BA54" s="119"/>
      <c r="BB54" s="119"/>
    </row>
    <row r="55" spans="1:56" s="19" customFormat="1">
      <c r="A55" s="3"/>
      <c r="B55" s="3"/>
      <c r="C55" s="3"/>
      <c r="D55" s="3"/>
      <c r="E55" s="3"/>
      <c r="F55" s="3"/>
      <c r="G55" s="3"/>
      <c r="H55" s="56"/>
      <c r="I55" s="56"/>
      <c r="J55" s="56"/>
      <c r="K55" s="56"/>
      <c r="L55" s="56"/>
      <c r="M55" s="56"/>
      <c r="N55" s="56"/>
      <c r="O55" s="3"/>
      <c r="P55" s="3"/>
      <c r="Q55" s="56"/>
      <c r="R55" s="3"/>
      <c r="S55" s="3"/>
      <c r="T55" s="3"/>
      <c r="U55" s="3"/>
      <c r="V55" s="94"/>
      <c r="W55" s="56"/>
      <c r="X55" s="56"/>
      <c r="Y55" s="56"/>
      <c r="Z55" s="56"/>
      <c r="AA55" s="57"/>
      <c r="AB55" s="185"/>
      <c r="AC55" s="185"/>
      <c r="AD55" s="44"/>
      <c r="AE55" s="7"/>
      <c r="AF55" s="60"/>
      <c r="AG55" s="44"/>
      <c r="AH55" s="44"/>
      <c r="AI55" s="115">
        <v>10</v>
      </c>
      <c r="AJ55" s="59" t="str">
        <f>(IF(AI55=10,"GST - Includes GST",IF(AI55=0,"No GST -  GST Not Included")))</f>
        <v>GST - Includes GST</v>
      </c>
      <c r="AK55" s="7"/>
      <c r="AL55" s="159"/>
      <c r="AM55" s="232"/>
      <c r="AN55" s="237">
        <f>(AN53*AI55%)</f>
        <v>0</v>
      </c>
      <c r="AP55" s="185"/>
      <c r="AQ55" s="185"/>
      <c r="AR55" s="44"/>
      <c r="AS55" s="7"/>
      <c r="AT55" s="60"/>
      <c r="AU55" s="44"/>
      <c r="AV55" s="44"/>
      <c r="AW55" s="115">
        <v>10</v>
      </c>
      <c r="AX55" s="59" t="str">
        <f>(IF(AW55=10,"GST - Includes GST",IF(AW55=0,"No GST -  GST Not Included")))</f>
        <v>GST - Includes GST</v>
      </c>
      <c r="AY55" s="7"/>
      <c r="AZ55" s="159"/>
      <c r="BA55" s="232"/>
      <c r="BB55" s="237">
        <f>(BB53*AW55%)</f>
        <v>148.57405159999999</v>
      </c>
    </row>
    <row r="56" spans="1:56" s="19" customFormat="1" ht="12" thickBot="1">
      <c r="A56" s="3"/>
      <c r="B56" s="3"/>
      <c r="C56" s="3"/>
      <c r="D56" s="3"/>
      <c r="E56" s="3"/>
      <c r="F56" s="3"/>
      <c r="G56" s="3"/>
      <c r="H56" s="56"/>
      <c r="I56" s="56"/>
      <c r="J56" s="56"/>
      <c r="K56" s="56"/>
      <c r="L56" s="56"/>
      <c r="M56" s="56"/>
      <c r="N56" s="56">
        <f>(R376)</f>
        <v>626.40891999999997</v>
      </c>
      <c r="O56" s="3"/>
      <c r="P56" s="3"/>
      <c r="Q56" s="56">
        <f>(R384)</f>
        <v>1440.7405159999998</v>
      </c>
      <c r="R56" s="3"/>
      <c r="S56" s="3"/>
      <c r="T56" s="3"/>
      <c r="U56" s="56">
        <f>($AB$376)</f>
        <v>87.27600000000001</v>
      </c>
      <c r="V56" s="94"/>
      <c r="W56" s="56"/>
      <c r="X56" s="56"/>
      <c r="Y56" s="56"/>
      <c r="Z56" s="56"/>
      <c r="AA56" s="57"/>
      <c r="AB56" s="44"/>
      <c r="AC56" s="197" t="s">
        <v>220</v>
      </c>
      <c r="AD56" s="7"/>
      <c r="AF56" s="120"/>
      <c r="AH56" s="121"/>
      <c r="AK56" s="121"/>
      <c r="AL56" s="159"/>
      <c r="AM56" s="159"/>
      <c r="AN56" s="238"/>
      <c r="AO56" s="44"/>
      <c r="AP56" s="44"/>
      <c r="AQ56" s="197" t="s">
        <v>220</v>
      </c>
      <c r="AR56" s="7"/>
      <c r="AT56" s="120"/>
      <c r="AV56" s="121"/>
      <c r="AY56" s="121"/>
      <c r="AZ56" s="159"/>
      <c r="BA56" s="159"/>
      <c r="BB56" s="238"/>
      <c r="BC56" s="44"/>
    </row>
    <row r="57" spans="1:56" s="19" customFormat="1" ht="12" thickBot="1">
      <c r="A57" s="3"/>
      <c r="B57" s="3"/>
      <c r="C57" s="3"/>
      <c r="D57" s="3"/>
      <c r="E57" s="3"/>
      <c r="F57" s="3"/>
      <c r="G57" s="3"/>
      <c r="H57" s="56">
        <f>SUM(R350:R373)</f>
        <v>34.75</v>
      </c>
      <c r="I57" s="56">
        <f>SUM(R346:R348)</f>
        <v>3.81</v>
      </c>
      <c r="J57" s="56">
        <f>SUM(R259:R344)</f>
        <v>3.6859999999999995</v>
      </c>
      <c r="K57" s="56">
        <f>SUM(R225:R257)</f>
        <v>56.050000000000004</v>
      </c>
      <c r="L57" s="56">
        <f>SUM(R214:R223)</f>
        <v>81.599999999999994</v>
      </c>
      <c r="M57" s="56">
        <f>SUM(R111:R212)</f>
        <v>446.51292000000001</v>
      </c>
      <c r="N57" s="56">
        <f>SUM(H57:M57)</f>
        <v>626.40892000000008</v>
      </c>
      <c r="O57" s="198">
        <v>130</v>
      </c>
      <c r="P57" s="199">
        <v>130</v>
      </c>
      <c r="Q57" s="8">
        <f>($N$57*$O$57%)+$N$57</f>
        <v>1440.7405160000003</v>
      </c>
      <c r="R57" s="169"/>
      <c r="S57" s="86"/>
      <c r="T57" s="3"/>
      <c r="U57" s="3"/>
      <c r="V57" s="9"/>
      <c r="W57" s="56"/>
      <c r="X57" s="56"/>
      <c r="Y57" s="56"/>
      <c r="Z57" s="56"/>
      <c r="AA57" s="57"/>
      <c r="AB57" s="44"/>
      <c r="AC57" s="44"/>
      <c r="AD57" s="44"/>
      <c r="AE57" s="44"/>
      <c r="AF57" s="44"/>
      <c r="AG57" s="44"/>
      <c r="AH57" s="44"/>
      <c r="AI57" s="125" t="s">
        <v>176</v>
      </c>
      <c r="AJ57" s="125"/>
      <c r="AK57" s="126"/>
      <c r="AL57" s="239"/>
      <c r="AM57" s="239"/>
      <c r="AN57" s="240">
        <f>SUM(AN53:AN56)</f>
        <v>0</v>
      </c>
      <c r="AP57" s="44"/>
      <c r="AQ57" s="44"/>
      <c r="AR57" s="44"/>
      <c r="AS57" s="44"/>
      <c r="AT57" s="44"/>
      <c r="AU57" s="44"/>
      <c r="AV57" s="44"/>
      <c r="AW57" s="125" t="s">
        <v>176</v>
      </c>
      <c r="AX57" s="125"/>
      <c r="AY57" s="126"/>
      <c r="AZ57" s="239"/>
      <c r="BA57" s="239"/>
      <c r="BB57" s="240">
        <f>SUM(BB53:BB56)</f>
        <v>1634.3145675999999</v>
      </c>
      <c r="BC57" s="44"/>
    </row>
    <row r="58" spans="1:56" s="44" customFormat="1">
      <c r="A58" s="6"/>
      <c r="B58" s="6"/>
      <c r="C58" s="6"/>
      <c r="D58" s="6"/>
      <c r="E58" s="6"/>
      <c r="F58" s="6"/>
      <c r="G58" s="6"/>
      <c r="H58" s="6"/>
      <c r="I58" s="6"/>
      <c r="J58" s="92"/>
      <c r="K58" s="6"/>
      <c r="L58" s="6"/>
      <c r="M58" s="6"/>
      <c r="N58" s="92"/>
      <c r="O58" s="8" t="s">
        <v>122</v>
      </c>
      <c r="P58" s="6"/>
      <c r="Q58" s="6"/>
      <c r="R58" s="80"/>
      <c r="S58" s="80"/>
      <c r="T58" s="80"/>
      <c r="U58" s="80"/>
      <c r="V58" s="9"/>
      <c r="W58" s="6"/>
      <c r="X58" s="6"/>
      <c r="Y58" s="6"/>
      <c r="Z58" s="6"/>
      <c r="AB58" s="185"/>
      <c r="AD58" s="204" t="s">
        <v>357</v>
      </c>
      <c r="AE58" s="205">
        <v>30</v>
      </c>
      <c r="AF58" s="206" t="s">
        <v>88</v>
      </c>
      <c r="AG58" s="206"/>
      <c r="AH58" s="206"/>
      <c r="AI58" s="206"/>
      <c r="AJ58" s="207"/>
      <c r="AK58" s="206" t="s">
        <v>124</v>
      </c>
      <c r="AL58" s="207"/>
      <c r="AM58" s="207"/>
      <c r="AN58" s="208"/>
      <c r="AO58" s="209"/>
      <c r="AP58" s="210"/>
      <c r="AQ58" s="207"/>
      <c r="AR58" s="204" t="s">
        <v>357</v>
      </c>
      <c r="AS58" s="205">
        <v>30</v>
      </c>
      <c r="AT58" s="206" t="s">
        <v>88</v>
      </c>
      <c r="AU58" s="206"/>
      <c r="AV58" s="206"/>
      <c r="AW58" s="206"/>
      <c r="AX58" s="207"/>
      <c r="AY58" s="206" t="s">
        <v>124</v>
      </c>
      <c r="AZ58" s="207"/>
      <c r="BA58" s="207"/>
      <c r="BB58" s="208"/>
      <c r="BC58" s="207"/>
      <c r="BD58" s="207"/>
    </row>
    <row r="59" spans="1:56" s="44" customFormat="1">
      <c r="A59" s="201" t="s">
        <v>167</v>
      </c>
      <c r="B59" s="152"/>
      <c r="C59" s="152"/>
      <c r="D59" s="152"/>
      <c r="E59" s="152"/>
      <c r="F59" s="152"/>
      <c r="G59" s="152"/>
      <c r="H59" s="152"/>
      <c r="I59" s="152"/>
      <c r="J59" s="203"/>
      <c r="K59" s="152"/>
      <c r="L59" s="152"/>
      <c r="M59" s="152"/>
      <c r="N59" s="203"/>
      <c r="O59" s="203"/>
      <c r="P59" s="152"/>
      <c r="Q59" s="152"/>
      <c r="R59" s="145"/>
      <c r="S59" s="145"/>
      <c r="T59" s="145"/>
      <c r="U59" s="145"/>
      <c r="V59" s="146"/>
      <c r="W59" s="152"/>
      <c r="X59" s="152"/>
      <c r="Y59" s="152"/>
      <c r="Z59" s="152"/>
      <c r="AC59" s="204" t="s">
        <v>170</v>
      </c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207"/>
      <c r="AO59" s="207"/>
      <c r="AP59" s="207"/>
      <c r="AQ59" s="204" t="s">
        <v>170</v>
      </c>
      <c r="AR59" s="207"/>
      <c r="AS59" s="207"/>
      <c r="AT59" s="207"/>
      <c r="AU59" s="207"/>
      <c r="AV59" s="207"/>
      <c r="AW59" s="207"/>
      <c r="AX59" s="207"/>
      <c r="AY59" s="207"/>
      <c r="AZ59" s="207"/>
      <c r="BA59" s="207"/>
      <c r="BB59" s="207"/>
      <c r="BC59" s="207"/>
      <c r="BD59" s="207"/>
    </row>
    <row r="60" spans="1:56" s="44" customFormat="1">
      <c r="A60" s="6"/>
      <c r="B60" s="6"/>
      <c r="C60" s="6"/>
      <c r="D60" s="6"/>
      <c r="E60" s="6"/>
      <c r="F60" s="6"/>
      <c r="G60" s="6"/>
      <c r="H60" s="6"/>
      <c r="I60" s="6"/>
      <c r="J60" s="92"/>
      <c r="K60" s="6"/>
      <c r="L60" s="6"/>
      <c r="M60" s="6"/>
      <c r="N60" s="92"/>
      <c r="O60" s="92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56" s="44" customFormat="1">
      <c r="A61" s="6"/>
      <c r="B61" s="6"/>
      <c r="C61" s="254" t="s">
        <v>194</v>
      </c>
      <c r="D61" s="254"/>
      <c r="E61" s="86"/>
      <c r="F61" s="254" t="s">
        <v>444</v>
      </c>
      <c r="G61" s="254"/>
      <c r="H61" s="14" t="s">
        <v>326</v>
      </c>
      <c r="I61" s="14" t="s">
        <v>133</v>
      </c>
      <c r="J61" s="3" t="s">
        <v>132</v>
      </c>
      <c r="K61" s="3" t="s">
        <v>326</v>
      </c>
      <c r="L61" s="3" t="s">
        <v>326</v>
      </c>
      <c r="M61" s="3" t="s">
        <v>133</v>
      </c>
      <c r="N61" s="6"/>
      <c r="O61" s="3" t="s">
        <v>133</v>
      </c>
      <c r="P61" s="3" t="s">
        <v>436</v>
      </c>
      <c r="Q61" s="3" t="s">
        <v>418</v>
      </c>
      <c r="R61" s="92"/>
      <c r="S61" s="3"/>
      <c r="T61" s="5"/>
      <c r="U61" s="6"/>
      <c r="V61" s="6"/>
      <c r="W61" s="6"/>
      <c r="X61" s="6"/>
      <c r="Y61" s="6"/>
      <c r="Z61" s="6"/>
    </row>
    <row r="62" spans="1:56" s="44" customFormat="1">
      <c r="A62" s="6"/>
      <c r="B62" s="6"/>
      <c r="C62" s="254" t="s">
        <v>64</v>
      </c>
      <c r="D62" s="254"/>
      <c r="E62" s="86"/>
      <c r="F62" s="254" t="s">
        <v>262</v>
      </c>
      <c r="G62" s="254"/>
      <c r="H62" s="14" t="s">
        <v>177</v>
      </c>
      <c r="I62" s="14" t="s">
        <v>100</v>
      </c>
      <c r="J62" s="3" t="s">
        <v>262</v>
      </c>
      <c r="K62" s="56" t="s">
        <v>262</v>
      </c>
      <c r="L62" s="3" t="s">
        <v>177</v>
      </c>
      <c r="M62" s="3" t="s">
        <v>100</v>
      </c>
      <c r="N62" s="6"/>
      <c r="O62" s="3" t="s">
        <v>100</v>
      </c>
      <c r="P62" s="3" t="s">
        <v>100</v>
      </c>
      <c r="Q62" s="3" t="s">
        <v>186</v>
      </c>
      <c r="R62" s="92"/>
      <c r="S62" s="3"/>
      <c r="T62" s="5"/>
      <c r="U62" s="6"/>
      <c r="V62" s="6"/>
      <c r="W62" s="6"/>
      <c r="X62" s="6"/>
      <c r="Y62" s="6"/>
      <c r="Z62" s="6"/>
    </row>
    <row r="63" spans="1:56" s="44" customFormat="1">
      <c r="A63" s="6"/>
      <c r="B63" s="6"/>
      <c r="C63" s="6"/>
      <c r="D63" s="6"/>
      <c r="E63" s="6"/>
      <c r="F63" s="6"/>
      <c r="G63" s="6"/>
      <c r="H63" s="92"/>
      <c r="I63" s="6"/>
      <c r="J63" s="92"/>
      <c r="K63" s="6"/>
      <c r="L63" s="6"/>
      <c r="M63" s="6"/>
      <c r="N63" s="56"/>
      <c r="O63" s="92"/>
      <c r="P63" s="6"/>
      <c r="Q63" s="6"/>
      <c r="R63" s="92"/>
      <c r="S63" s="3"/>
      <c r="T63" s="5"/>
      <c r="U63" s="68">
        <f>(N69*Q69)</f>
        <v>73528</v>
      </c>
      <c r="V63" s="6"/>
      <c r="W63" s="8">
        <f>(U63/1000)</f>
        <v>73.528000000000006</v>
      </c>
      <c r="X63" s="8">
        <f>($P$16/1000)</f>
        <v>0.3</v>
      </c>
      <c r="Y63" s="8">
        <f>(W63*X63)</f>
        <v>22.058400000000002</v>
      </c>
      <c r="Z63" s="6"/>
      <c r="AD63" s="44" t="s">
        <v>283</v>
      </c>
      <c r="BA63" s="127"/>
      <c r="BB63" s="127"/>
    </row>
    <row r="64" spans="1:56" s="44" customFormat="1">
      <c r="A64" s="6"/>
      <c r="B64" s="6"/>
      <c r="C64" s="6"/>
      <c r="D64" s="6"/>
      <c r="E64" s="6"/>
      <c r="F64" s="252">
        <f>($Q$16)</f>
        <v>200</v>
      </c>
      <c r="G64" s="252"/>
      <c r="H64" s="83">
        <f>($R$14)</f>
        <v>50</v>
      </c>
      <c r="I64" s="83">
        <f>(F64-H64)</f>
        <v>150</v>
      </c>
      <c r="J64" s="6"/>
      <c r="K64" s="128">
        <f>($P$16)</f>
        <v>300</v>
      </c>
      <c r="L64" s="128">
        <f>($R$13)</f>
        <v>50</v>
      </c>
      <c r="M64" s="68">
        <f>(K64-L64)</f>
        <v>250</v>
      </c>
      <c r="N64" s="6"/>
      <c r="O64" s="68">
        <f>($M$64)</f>
        <v>250</v>
      </c>
      <c r="P64" s="56"/>
      <c r="Q64" s="6"/>
      <c r="R64" s="92"/>
      <c r="S64" s="56"/>
      <c r="T64" s="8"/>
      <c r="U64" s="92"/>
      <c r="V64" s="6"/>
      <c r="W64" s="94"/>
      <c r="X64" s="94"/>
      <c r="Y64" s="6"/>
      <c r="Z64" s="6"/>
      <c r="BA64" s="127"/>
      <c r="BB64" s="127"/>
    </row>
    <row r="65" spans="1:54" s="44" customFormat="1">
      <c r="A65" s="6"/>
      <c r="B65" s="6"/>
      <c r="C65" s="6"/>
      <c r="D65" s="6"/>
      <c r="E65" s="6"/>
      <c r="F65" s="94"/>
      <c r="G65" s="94"/>
      <c r="H65" s="94"/>
      <c r="I65" s="52"/>
      <c r="J65" s="6"/>
      <c r="K65" s="6"/>
      <c r="L65" s="6"/>
      <c r="M65" s="56"/>
      <c r="N65" s="6"/>
      <c r="O65" s="56"/>
      <c r="P65" s="56"/>
      <c r="Q65" s="6"/>
      <c r="R65" s="92"/>
      <c r="S65" s="56"/>
      <c r="T65" s="8"/>
      <c r="U65" s="3" t="s">
        <v>301</v>
      </c>
      <c r="V65" s="6"/>
      <c r="W65" s="3" t="s">
        <v>350</v>
      </c>
      <c r="X65" s="3" t="s">
        <v>326</v>
      </c>
      <c r="Y65" s="56" t="s">
        <v>267</v>
      </c>
      <c r="Z65" s="6"/>
      <c r="AE65" s="129" t="s">
        <v>351</v>
      </c>
      <c r="AF65" s="130"/>
      <c r="AG65" s="130"/>
      <c r="AH65" s="130"/>
      <c r="AI65" s="130"/>
      <c r="AJ65" s="130"/>
      <c r="AK65" s="130"/>
      <c r="AL65" s="131">
        <v>0</v>
      </c>
      <c r="AS65" s="129" t="s">
        <v>351</v>
      </c>
      <c r="AT65" s="130"/>
      <c r="AU65" s="130"/>
      <c r="AV65" s="130"/>
      <c r="AW65" s="130"/>
      <c r="AX65" s="130"/>
      <c r="AY65" s="130"/>
      <c r="AZ65" s="131"/>
      <c r="BA65" s="127"/>
      <c r="BB65" s="127"/>
    </row>
    <row r="66" spans="1:54" s="44" customFormat="1">
      <c r="A66" s="6"/>
      <c r="B66" s="6"/>
      <c r="C66" s="252">
        <f>($P$8)</f>
        <v>4600</v>
      </c>
      <c r="D66" s="252"/>
      <c r="E66" s="6"/>
      <c r="F66" s="6"/>
      <c r="G66" s="6"/>
      <c r="H66" s="6"/>
      <c r="I66" s="83">
        <f>(I64*I69)</f>
        <v>0</v>
      </c>
      <c r="J66" s="128">
        <f>(C66-I66)</f>
        <v>4600</v>
      </c>
      <c r="K66" s="128">
        <f>($P$16)</f>
        <v>300</v>
      </c>
      <c r="L66" s="6"/>
      <c r="M66" s="68">
        <f>(J66-K66)</f>
        <v>4300</v>
      </c>
      <c r="N66" s="6"/>
      <c r="O66" s="68">
        <f>(O64*O69)</f>
        <v>4500</v>
      </c>
      <c r="P66" s="35">
        <f>(I66+K66+O66)</f>
        <v>4800</v>
      </c>
      <c r="Q66" s="8">
        <f>(P66/1000)</f>
        <v>4.8</v>
      </c>
      <c r="R66" s="92"/>
      <c r="S66" s="56"/>
      <c r="T66" s="8"/>
      <c r="U66" s="3" t="s">
        <v>101</v>
      </c>
      <c r="V66" s="6"/>
      <c r="W66" s="3" t="s">
        <v>215</v>
      </c>
      <c r="X66" s="3" t="s">
        <v>323</v>
      </c>
      <c r="Y66" s="56" t="s">
        <v>34</v>
      </c>
      <c r="Z66" s="6"/>
      <c r="AE66" s="129" t="s">
        <v>351</v>
      </c>
      <c r="AF66" s="130"/>
      <c r="AG66" s="130"/>
      <c r="AH66" s="130"/>
      <c r="AI66" s="130"/>
      <c r="AJ66" s="130"/>
      <c r="AK66" s="130"/>
      <c r="AL66" s="131">
        <v>0</v>
      </c>
      <c r="AS66" s="129" t="s">
        <v>351</v>
      </c>
      <c r="AT66" s="130"/>
      <c r="AU66" s="130"/>
      <c r="AV66" s="130"/>
      <c r="AW66" s="130"/>
      <c r="AX66" s="130"/>
      <c r="AY66" s="130"/>
      <c r="AZ66" s="131">
        <v>0</v>
      </c>
      <c r="BA66" s="127"/>
      <c r="BB66" s="127"/>
    </row>
    <row r="67" spans="1:54" s="44" customFormat="1">
      <c r="A67" s="6"/>
      <c r="B67" s="6"/>
      <c r="C67" s="6"/>
      <c r="D67" s="6"/>
      <c r="E67" s="6"/>
      <c r="F67" s="94"/>
      <c r="G67" s="94"/>
      <c r="H67" s="94"/>
      <c r="I67" s="52"/>
      <c r="J67" s="6"/>
      <c r="K67" s="6"/>
      <c r="L67" s="6"/>
      <c r="M67" s="56"/>
      <c r="N67" s="6"/>
      <c r="O67" s="56"/>
      <c r="P67" s="56"/>
      <c r="Q67" s="6"/>
      <c r="R67" s="92"/>
      <c r="S67" s="56"/>
      <c r="T67" s="8"/>
      <c r="U67" s="6"/>
      <c r="V67" s="6"/>
      <c r="W67" s="6"/>
      <c r="X67" s="6"/>
      <c r="Y67" s="6"/>
      <c r="Z67" s="6"/>
      <c r="AE67" s="129" t="s">
        <v>351</v>
      </c>
      <c r="AF67" s="130"/>
      <c r="AG67" s="130"/>
      <c r="AH67" s="130"/>
      <c r="AI67" s="130"/>
      <c r="AJ67" s="130"/>
      <c r="AK67" s="130"/>
      <c r="AL67" s="131">
        <v>0</v>
      </c>
      <c r="AS67" s="129" t="s">
        <v>351</v>
      </c>
      <c r="AT67" s="130"/>
      <c r="AU67" s="130"/>
      <c r="AV67" s="130"/>
      <c r="AW67" s="130"/>
      <c r="AX67" s="130"/>
      <c r="AY67" s="130"/>
      <c r="AZ67" s="131">
        <v>0</v>
      </c>
      <c r="BA67" s="127"/>
      <c r="BB67" s="127"/>
    </row>
    <row r="68" spans="1:54" s="44" customFormat="1">
      <c r="A68" s="6"/>
      <c r="B68" s="6"/>
      <c r="C68" s="6"/>
      <c r="D68" s="6"/>
      <c r="E68" s="6"/>
      <c r="F68" s="94"/>
      <c r="G68" s="94"/>
      <c r="H68" s="94"/>
      <c r="I68" s="52"/>
      <c r="J68" s="6"/>
      <c r="K68" s="6"/>
      <c r="L68" s="6"/>
      <c r="M68" s="56"/>
      <c r="N68" s="6"/>
      <c r="O68" s="56"/>
      <c r="P68" s="56"/>
      <c r="Q68" s="6"/>
      <c r="R68" s="92"/>
      <c r="S68" s="56"/>
      <c r="T68" s="8"/>
      <c r="U68" s="6"/>
      <c r="V68" s="6"/>
      <c r="W68" s="6"/>
      <c r="X68" s="6"/>
      <c r="Y68" s="6"/>
      <c r="Z68" s="6"/>
      <c r="AE68" s="129" t="s">
        <v>351</v>
      </c>
      <c r="AF68" s="130"/>
      <c r="AG68" s="130"/>
      <c r="AH68" s="130"/>
      <c r="AI68" s="130"/>
      <c r="AJ68" s="130"/>
      <c r="AK68" s="130"/>
      <c r="AL68" s="131">
        <v>0</v>
      </c>
      <c r="AS68" s="129" t="s">
        <v>351</v>
      </c>
      <c r="AT68" s="130"/>
      <c r="AU68" s="130"/>
      <c r="AV68" s="130"/>
      <c r="AW68" s="130"/>
      <c r="AX68" s="130"/>
      <c r="AY68" s="130"/>
      <c r="AZ68" s="131">
        <v>0</v>
      </c>
      <c r="BA68" s="127"/>
      <c r="BB68" s="127"/>
    </row>
    <row r="69" spans="1:54" s="44" customFormat="1">
      <c r="A69" s="6"/>
      <c r="B69" s="6"/>
      <c r="C69" s="6"/>
      <c r="D69" s="6"/>
      <c r="E69" s="6"/>
      <c r="F69" s="68"/>
      <c r="G69" s="68"/>
      <c r="H69" s="56"/>
      <c r="I69" s="68">
        <f>($Q$10)</f>
        <v>0</v>
      </c>
      <c r="J69" s="6"/>
      <c r="K69" s="6">
        <f>(K66/K64)</f>
        <v>1</v>
      </c>
      <c r="L69" s="6"/>
      <c r="M69" s="56">
        <f>(M66/M64)</f>
        <v>17.2</v>
      </c>
      <c r="N69" s="8">
        <f>SUM(K69:M69)</f>
        <v>18.2</v>
      </c>
      <c r="O69" s="56">
        <f>ROUNDUP((M69),0)</f>
        <v>18</v>
      </c>
      <c r="P69" s="8">
        <f>ROUNDUP(($K$69+$M$69),0)</f>
        <v>19</v>
      </c>
      <c r="Q69" s="68">
        <f>($I$35)</f>
        <v>4040</v>
      </c>
      <c r="R69" s="6"/>
      <c r="S69" s="52"/>
      <c r="T69" s="52"/>
      <c r="U69" s="68">
        <f>(P69*Q69)</f>
        <v>76760</v>
      </c>
      <c r="V69" s="6"/>
      <c r="W69" s="8">
        <f>(U69/1000)</f>
        <v>76.760000000000005</v>
      </c>
      <c r="X69" s="8">
        <f>($P$16/1000)</f>
        <v>0.3</v>
      </c>
      <c r="Y69" s="8">
        <f>(W69*X69)</f>
        <v>23.028000000000002</v>
      </c>
      <c r="Z69" s="132">
        <v>1</v>
      </c>
      <c r="AE69" s="129" t="s">
        <v>351</v>
      </c>
      <c r="AF69" s="130"/>
      <c r="AG69" s="130"/>
      <c r="AH69" s="130"/>
      <c r="AI69" s="130"/>
      <c r="AJ69" s="130"/>
      <c r="AK69" s="130"/>
      <c r="AL69" s="131">
        <v>0</v>
      </c>
      <c r="AS69" s="129" t="s">
        <v>351</v>
      </c>
      <c r="AT69" s="130"/>
      <c r="AU69" s="130"/>
      <c r="AV69" s="130"/>
      <c r="AW69" s="130"/>
      <c r="AX69" s="130"/>
      <c r="AY69" s="130"/>
      <c r="AZ69" s="131">
        <v>0</v>
      </c>
      <c r="BA69" s="127"/>
      <c r="BB69" s="127"/>
    </row>
    <row r="70" spans="1:54" s="44" customFormat="1">
      <c r="A70" s="6"/>
      <c r="B70" s="6"/>
      <c r="C70" s="6"/>
      <c r="D70" s="6"/>
      <c r="E70" s="6"/>
      <c r="F70" s="6"/>
      <c r="G70" s="6"/>
      <c r="H70" s="92"/>
      <c r="I70" s="6"/>
      <c r="J70" s="92"/>
      <c r="K70" s="92"/>
      <c r="L70" s="6"/>
      <c r="M70" s="56"/>
      <c r="N70" s="56"/>
      <c r="O70" s="92"/>
      <c r="P70" s="6"/>
      <c r="Q70" s="6"/>
      <c r="R70" s="6"/>
      <c r="S70" s="52"/>
      <c r="T70" s="52"/>
      <c r="U70" s="92"/>
      <c r="V70" s="6"/>
      <c r="W70" s="94"/>
      <c r="X70" s="94"/>
      <c r="Y70" s="6"/>
      <c r="Z70" s="6"/>
      <c r="AE70" s="129" t="s">
        <v>351</v>
      </c>
      <c r="AF70" s="130"/>
      <c r="AG70" s="130"/>
      <c r="AH70" s="130"/>
      <c r="AI70" s="130"/>
      <c r="AJ70" s="130"/>
      <c r="AK70" s="130"/>
      <c r="AL70" s="131">
        <v>0</v>
      </c>
      <c r="AS70" s="129" t="s">
        <v>351</v>
      </c>
      <c r="AT70" s="130"/>
      <c r="AU70" s="130"/>
      <c r="AV70" s="130"/>
      <c r="AW70" s="130"/>
      <c r="AX70" s="130"/>
      <c r="AY70" s="130"/>
      <c r="AZ70" s="131">
        <v>0</v>
      </c>
      <c r="BA70" s="127"/>
      <c r="BB70" s="127"/>
    </row>
    <row r="71" spans="1:54" s="44" customFormat="1">
      <c r="A71" s="6"/>
      <c r="B71" s="6"/>
      <c r="C71" s="6"/>
      <c r="D71" s="6"/>
      <c r="E71" s="6"/>
      <c r="F71" s="6"/>
      <c r="G71" s="6"/>
      <c r="H71" s="92"/>
      <c r="I71" s="8" t="s">
        <v>445</v>
      </c>
      <c r="J71" s="92"/>
      <c r="K71" s="80" t="s">
        <v>114</v>
      </c>
      <c r="L71" s="6"/>
      <c r="M71" s="80" t="s">
        <v>253</v>
      </c>
      <c r="N71" s="3" t="s">
        <v>65</v>
      </c>
      <c r="O71" s="3" t="s">
        <v>102</v>
      </c>
      <c r="P71" s="3" t="s">
        <v>102</v>
      </c>
      <c r="Q71" s="3" t="s">
        <v>326</v>
      </c>
      <c r="R71" s="6"/>
      <c r="S71" s="52"/>
      <c r="T71" s="52"/>
      <c r="U71" s="3" t="s">
        <v>23</v>
      </c>
      <c r="V71" s="6"/>
      <c r="W71" s="3" t="s">
        <v>23</v>
      </c>
      <c r="X71" s="3" t="s">
        <v>326</v>
      </c>
      <c r="Y71" s="56" t="s">
        <v>139</v>
      </c>
      <c r="Z71" s="6"/>
      <c r="AE71" s="129" t="s">
        <v>351</v>
      </c>
      <c r="AF71" s="130"/>
      <c r="AG71" s="130"/>
      <c r="AH71" s="130"/>
      <c r="AI71" s="130"/>
      <c r="AJ71" s="130"/>
      <c r="AK71" s="130"/>
      <c r="AL71" s="131">
        <v>0</v>
      </c>
      <c r="AS71" s="129" t="s">
        <v>351</v>
      </c>
      <c r="AT71" s="130"/>
      <c r="AU71" s="130"/>
      <c r="AV71" s="130"/>
      <c r="AW71" s="130"/>
      <c r="AX71" s="130"/>
      <c r="AY71" s="130"/>
      <c r="AZ71" s="131">
        <v>0</v>
      </c>
      <c r="BA71" s="127"/>
      <c r="BB71" s="127"/>
    </row>
    <row r="72" spans="1:54" s="44" customFormat="1">
      <c r="A72" s="6"/>
      <c r="B72" s="6"/>
      <c r="C72" s="6"/>
      <c r="D72" s="6"/>
      <c r="E72" s="6"/>
      <c r="F72" s="6"/>
      <c r="G72" s="6"/>
      <c r="H72" s="6"/>
      <c r="I72" s="14" t="s">
        <v>63</v>
      </c>
      <c r="J72" s="6"/>
      <c r="K72" s="80" t="s">
        <v>111</v>
      </c>
      <c r="L72" s="6"/>
      <c r="M72" s="80" t="s">
        <v>254</v>
      </c>
      <c r="N72" s="3" t="s">
        <v>326</v>
      </c>
      <c r="O72" s="56" t="s">
        <v>444</v>
      </c>
      <c r="P72" s="56" t="s">
        <v>444</v>
      </c>
      <c r="Q72" s="3" t="s">
        <v>442</v>
      </c>
      <c r="R72" s="6"/>
      <c r="S72" s="52"/>
      <c r="T72" s="52"/>
      <c r="U72" s="3" t="s">
        <v>101</v>
      </c>
      <c r="V72" s="6"/>
      <c r="W72" s="3" t="s">
        <v>215</v>
      </c>
      <c r="X72" s="3" t="s">
        <v>323</v>
      </c>
      <c r="Y72" s="56" t="s">
        <v>34</v>
      </c>
      <c r="Z72" s="6"/>
      <c r="AE72" s="129" t="s">
        <v>351</v>
      </c>
      <c r="AF72" s="130"/>
      <c r="AG72" s="130"/>
      <c r="AH72" s="130"/>
      <c r="AI72" s="130"/>
      <c r="AJ72" s="130"/>
      <c r="AK72" s="130"/>
      <c r="AL72" s="131">
        <v>0</v>
      </c>
      <c r="AS72" s="129" t="s">
        <v>351</v>
      </c>
      <c r="AT72" s="130"/>
      <c r="AU72" s="130"/>
      <c r="AV72" s="130"/>
      <c r="AW72" s="130"/>
      <c r="AX72" s="130"/>
      <c r="AY72" s="130"/>
      <c r="AZ72" s="131">
        <v>0</v>
      </c>
      <c r="BA72" s="127"/>
      <c r="BB72" s="127"/>
    </row>
    <row r="73" spans="1:54" s="44" customFormat="1">
      <c r="A73" s="6"/>
      <c r="B73" s="6"/>
      <c r="C73" s="6"/>
      <c r="D73" s="6"/>
      <c r="E73" s="6"/>
      <c r="F73" s="6"/>
      <c r="G73" s="6"/>
      <c r="H73" s="6"/>
      <c r="I73" s="6"/>
      <c r="J73" s="6"/>
      <c r="K73" s="52" t="s">
        <v>186</v>
      </c>
      <c r="L73" s="6"/>
      <c r="M73" s="52" t="s">
        <v>255</v>
      </c>
      <c r="N73" s="3"/>
      <c r="O73" s="56"/>
      <c r="P73" s="56"/>
      <c r="Q73" s="6"/>
      <c r="R73" s="92"/>
      <c r="S73" s="52"/>
      <c r="T73" s="52"/>
      <c r="U73" s="94"/>
      <c r="V73" s="94"/>
      <c r="W73" s="94"/>
      <c r="X73" s="94"/>
      <c r="Y73" s="94"/>
      <c r="Z73" s="94"/>
      <c r="AA73" s="127"/>
      <c r="AE73" s="129" t="s">
        <v>351</v>
      </c>
      <c r="AF73" s="130"/>
      <c r="AG73" s="130"/>
      <c r="AH73" s="130"/>
      <c r="AI73" s="130"/>
      <c r="AJ73" s="130"/>
      <c r="AK73" s="130"/>
      <c r="AL73" s="131">
        <v>0</v>
      </c>
      <c r="AS73" s="129" t="s">
        <v>351</v>
      </c>
      <c r="AT73" s="130"/>
      <c r="AU73" s="130"/>
      <c r="AV73" s="130"/>
      <c r="AW73" s="130"/>
      <c r="AX73" s="130"/>
      <c r="AY73" s="130"/>
      <c r="AZ73" s="131">
        <v>0</v>
      </c>
      <c r="BA73" s="127"/>
      <c r="BB73" s="127"/>
    </row>
    <row r="74" spans="1:54" s="44" customFormat="1">
      <c r="A74" s="6"/>
      <c r="B74" s="6"/>
      <c r="C74" s="6"/>
      <c r="D74" s="6"/>
      <c r="E74" s="6"/>
      <c r="F74" s="6"/>
      <c r="G74" s="6"/>
      <c r="H74" s="6" t="s">
        <v>268</v>
      </c>
      <c r="I74" s="6" t="s">
        <v>388</v>
      </c>
      <c r="J74" s="6" t="s">
        <v>116</v>
      </c>
      <c r="K74" s="6" t="s">
        <v>429</v>
      </c>
      <c r="L74" s="6" t="s">
        <v>90</v>
      </c>
      <c r="M74" s="6" t="s">
        <v>239</v>
      </c>
      <c r="N74" s="6" t="s">
        <v>223</v>
      </c>
      <c r="O74" s="6" t="s">
        <v>224</v>
      </c>
      <c r="P74" s="6" t="s">
        <v>429</v>
      </c>
      <c r="Q74" s="6" t="s">
        <v>99</v>
      </c>
      <c r="R74" s="68"/>
      <c r="S74" s="52"/>
      <c r="T74" s="52"/>
      <c r="U74" s="68">
        <f>(Q10*Q69)</f>
        <v>0</v>
      </c>
      <c r="V74" s="8"/>
      <c r="W74" s="8">
        <f>(U74/1000)</f>
        <v>0</v>
      </c>
      <c r="X74" s="8">
        <f>($Q$16/1000)</f>
        <v>0.2</v>
      </c>
      <c r="Y74" s="8">
        <f>(W74*X74)</f>
        <v>0</v>
      </c>
      <c r="Z74" s="132">
        <v>1</v>
      </c>
      <c r="AA74" s="127"/>
      <c r="AE74" s="130"/>
      <c r="AF74" s="130"/>
      <c r="AG74" s="130"/>
      <c r="AH74" s="130"/>
      <c r="AI74" s="130"/>
      <c r="AJ74" s="130"/>
      <c r="AK74" s="130"/>
      <c r="AL74" s="131"/>
      <c r="AS74" s="130"/>
      <c r="AT74" s="130"/>
      <c r="AU74" s="130"/>
      <c r="AV74" s="130"/>
      <c r="AW74" s="130"/>
      <c r="AX74" s="130"/>
      <c r="AY74" s="130"/>
      <c r="AZ74" s="131"/>
    </row>
    <row r="75" spans="1:54" s="44" customFormat="1">
      <c r="A75" s="6"/>
      <c r="B75" s="6"/>
      <c r="C75" s="6"/>
      <c r="D75" s="6"/>
      <c r="E75" s="6"/>
      <c r="F75" s="6"/>
      <c r="G75" s="6"/>
      <c r="H75" s="68">
        <f>($I$35)</f>
        <v>4040</v>
      </c>
      <c r="I75" s="68">
        <v>1000</v>
      </c>
      <c r="J75" s="56">
        <f>(H75/I75)</f>
        <v>4.04</v>
      </c>
      <c r="K75" s="83">
        <f>($V$36)</f>
        <v>50</v>
      </c>
      <c r="L75" s="56">
        <f>ROUNDDOWN((K75/J75),0)</f>
        <v>12</v>
      </c>
      <c r="M75" s="8">
        <f>ROUNDUP(($K$69+$M$69),0)</f>
        <v>19</v>
      </c>
      <c r="N75" s="56">
        <f>(M75/L75)</f>
        <v>1.5833333333333333</v>
      </c>
      <c r="O75" s="8">
        <f>ROUNDUP((N75),0)</f>
        <v>2</v>
      </c>
      <c r="P75" s="83">
        <f>($V$36)</f>
        <v>50</v>
      </c>
      <c r="Q75" s="3">
        <f>(O75*P75)</f>
        <v>100</v>
      </c>
      <c r="R75" s="92"/>
      <c r="S75" s="52"/>
      <c r="T75" s="52"/>
      <c r="U75" s="92"/>
      <c r="V75" s="94"/>
      <c r="W75" s="94"/>
      <c r="X75" s="94"/>
      <c r="Y75" s="6"/>
      <c r="Z75" s="94"/>
      <c r="AA75" s="127"/>
      <c r="AE75" s="130" t="s">
        <v>319</v>
      </c>
      <c r="AF75" s="130"/>
      <c r="AG75" s="130"/>
      <c r="AH75" s="130"/>
      <c r="AI75" s="130"/>
      <c r="AJ75" s="130"/>
      <c r="AK75" s="130"/>
      <c r="AL75" s="131">
        <f>SUM(AL65:AL73)</f>
        <v>0</v>
      </c>
      <c r="AS75" s="130" t="s">
        <v>319</v>
      </c>
      <c r="AT75" s="130"/>
      <c r="AU75" s="130"/>
      <c r="AV75" s="130"/>
      <c r="AW75" s="130"/>
      <c r="AX75" s="130"/>
      <c r="AY75" s="130"/>
      <c r="AZ75" s="131">
        <f>SUM(AZ65:AZ73)</f>
        <v>0</v>
      </c>
    </row>
    <row r="76" spans="1:54" s="44" customFormat="1">
      <c r="A76" s="6"/>
      <c r="B76" s="6"/>
      <c r="C76" s="6"/>
      <c r="D76" s="6"/>
      <c r="E76" s="6"/>
      <c r="F76" s="6"/>
      <c r="G76" s="6"/>
      <c r="H76" s="68">
        <f>($I$35)</f>
        <v>4040</v>
      </c>
      <c r="I76" s="68">
        <v>1000</v>
      </c>
      <c r="J76" s="56">
        <f>(H76/I76)</f>
        <v>4.04</v>
      </c>
      <c r="K76" s="83">
        <f>($W$36)</f>
        <v>50</v>
      </c>
      <c r="L76" s="56">
        <f>ROUNDDOWN((K76/J76),0)</f>
        <v>12</v>
      </c>
      <c r="M76" s="8">
        <f>(Q10)</f>
        <v>0</v>
      </c>
      <c r="N76" s="56">
        <f>(M76/L76)</f>
        <v>0</v>
      </c>
      <c r="O76" s="8">
        <f>ROUNDUP((N76),0)</f>
        <v>0</v>
      </c>
      <c r="P76" s="83">
        <f>($W$36)</f>
        <v>50</v>
      </c>
      <c r="Q76" s="3">
        <f>(O76*P76)</f>
        <v>0</v>
      </c>
      <c r="R76" s="6"/>
      <c r="S76" s="52"/>
      <c r="T76" s="52"/>
      <c r="U76" s="3" t="s">
        <v>23</v>
      </c>
      <c r="V76" s="3"/>
      <c r="W76" s="3" t="s">
        <v>23</v>
      </c>
      <c r="X76" s="3" t="s">
        <v>326</v>
      </c>
      <c r="Y76" s="56" t="s">
        <v>139</v>
      </c>
      <c r="Z76" s="94"/>
      <c r="AA76" s="127"/>
    </row>
    <row r="77" spans="1:54" s="44" customForma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3"/>
      <c r="R77" s="3"/>
      <c r="S77" s="52"/>
      <c r="T77" s="52"/>
      <c r="U77" s="3" t="s">
        <v>101</v>
      </c>
      <c r="V77" s="3"/>
      <c r="W77" s="3" t="s">
        <v>215</v>
      </c>
      <c r="X77" s="3" t="s">
        <v>323</v>
      </c>
      <c r="Y77" s="56" t="s">
        <v>34</v>
      </c>
      <c r="Z77" s="94"/>
      <c r="AA77" s="127"/>
      <c r="AJ77" s="6"/>
      <c r="AK77" s="6"/>
      <c r="AL77" s="133" t="s">
        <v>208</v>
      </c>
      <c r="AM77" s="6"/>
      <c r="AN77" s="6"/>
      <c r="AO77" s="6"/>
    </row>
    <row r="78" spans="1:54" s="113" customFormat="1" ht="17.25">
      <c r="A78" s="176" t="s">
        <v>317</v>
      </c>
      <c r="B78" s="20"/>
      <c r="C78" s="20"/>
      <c r="D78" s="20"/>
      <c r="E78" s="20"/>
      <c r="F78" s="20"/>
      <c r="G78" s="20"/>
      <c r="H78" s="20"/>
      <c r="I78" s="20"/>
      <c r="J78" s="107"/>
      <c r="K78" s="20"/>
      <c r="L78" s="20"/>
      <c r="M78" s="20"/>
      <c r="N78" s="107"/>
      <c r="O78" s="107"/>
      <c r="P78" s="20"/>
      <c r="Q78" s="20"/>
      <c r="R78" s="108"/>
      <c r="S78" s="108"/>
      <c r="T78" s="108"/>
      <c r="U78" s="108"/>
      <c r="V78" s="109"/>
      <c r="W78" s="20"/>
      <c r="X78" s="20"/>
      <c r="Y78" s="20"/>
      <c r="Z78" s="20"/>
      <c r="AB78" s="119"/>
      <c r="AC78" s="119"/>
      <c r="AD78" s="19"/>
      <c r="AE78" s="19"/>
      <c r="AF78" s="19"/>
      <c r="AG78" s="19"/>
      <c r="AH78" s="44"/>
      <c r="AJ78" s="6"/>
      <c r="AK78" s="44"/>
      <c r="AL78" s="44"/>
      <c r="AM78" s="44"/>
      <c r="AN78" s="193">
        <v>100</v>
      </c>
      <c r="AO78" s="6"/>
    </row>
    <row r="79" spans="1:54" s="44" customFormat="1">
      <c r="A79" s="6"/>
      <c r="B79" s="6"/>
      <c r="C79" s="6"/>
      <c r="D79" s="6"/>
      <c r="E79" s="6"/>
      <c r="F79" s="6"/>
      <c r="G79" s="6"/>
      <c r="H79" s="6"/>
      <c r="I79" s="6"/>
      <c r="J79" s="56"/>
      <c r="K79" s="56"/>
      <c r="L79" s="56"/>
      <c r="M79" s="56"/>
      <c r="N79" s="6"/>
      <c r="O79" s="6"/>
      <c r="P79" s="6"/>
      <c r="Q79" s="6"/>
      <c r="R79" s="92"/>
      <c r="S79" s="56"/>
      <c r="T79" s="8"/>
      <c r="U79" s="6"/>
      <c r="V79" s="6"/>
      <c r="W79" s="6"/>
      <c r="X79" s="6"/>
      <c r="Y79" s="6"/>
      <c r="Z79" s="6"/>
      <c r="AB79" s="119"/>
      <c r="AC79" s="119"/>
      <c r="AJ79" s="52" t="s">
        <v>59</v>
      </c>
      <c r="AL79" s="44" t="s">
        <v>438</v>
      </c>
      <c r="AN79" s="194">
        <v>0</v>
      </c>
      <c r="AO79" s="6"/>
    </row>
    <row r="80" spans="1:54" s="44" customFormat="1" ht="17.25">
      <c r="A80" s="6"/>
      <c r="B80" s="6"/>
      <c r="C80" s="6"/>
      <c r="D80" s="6"/>
      <c r="E80" s="6"/>
      <c r="F80" s="6"/>
      <c r="G80" s="6"/>
      <c r="H80" s="134" t="s">
        <v>308</v>
      </c>
      <c r="I80" s="56"/>
      <c r="J80" s="56"/>
      <c r="K80" s="56"/>
      <c r="L80" s="3" t="s">
        <v>102</v>
      </c>
      <c r="M80" s="56" t="s">
        <v>309</v>
      </c>
      <c r="N80" s="56" t="s">
        <v>379</v>
      </c>
      <c r="O80" s="56" t="s">
        <v>259</v>
      </c>
      <c r="P80" s="56" t="s">
        <v>260</v>
      </c>
      <c r="Q80" s="6"/>
      <c r="R80" s="92"/>
      <c r="S80" s="56"/>
      <c r="T80" s="8"/>
      <c r="U80" s="6"/>
      <c r="V80" s="6"/>
      <c r="W80" s="6"/>
      <c r="X80" s="6"/>
      <c r="Y80" s="6"/>
      <c r="Z80" s="6"/>
      <c r="AB80" s="47"/>
      <c r="AC80" s="47"/>
      <c r="AD80" s="113"/>
      <c r="AE80" s="26"/>
      <c r="AF80" s="135"/>
      <c r="AH80" s="7"/>
      <c r="AJ80" s="136"/>
      <c r="AL80" s="44" t="s">
        <v>48</v>
      </c>
      <c r="AN80" s="194">
        <f>(AN78+AN79)</f>
        <v>100</v>
      </c>
      <c r="AO80" s="6"/>
    </row>
    <row r="81" spans="1:41" s="44" customFormat="1" ht="13.5">
      <c r="A81" s="6"/>
      <c r="B81" s="6"/>
      <c r="C81" s="6"/>
      <c r="D81" s="6"/>
      <c r="E81" s="6"/>
      <c r="F81" s="6"/>
      <c r="G81" s="6"/>
      <c r="H81" s="56"/>
      <c r="I81" s="56"/>
      <c r="J81" s="56"/>
      <c r="K81" s="56"/>
      <c r="L81" s="56" t="s">
        <v>90</v>
      </c>
      <c r="M81" s="56" t="s">
        <v>261</v>
      </c>
      <c r="N81" s="56" t="s">
        <v>226</v>
      </c>
      <c r="O81" s="56" t="s">
        <v>346</v>
      </c>
      <c r="P81" s="56"/>
      <c r="Q81" s="6"/>
      <c r="R81" s="92"/>
      <c r="S81" s="56"/>
      <c r="T81" s="8"/>
      <c r="U81" s="6"/>
      <c r="V81" s="6"/>
      <c r="W81" s="6"/>
      <c r="X81" s="6"/>
      <c r="Y81" s="6"/>
      <c r="Z81" s="6"/>
      <c r="AD81" s="137"/>
      <c r="AE81" s="75"/>
      <c r="AF81" s="120"/>
      <c r="AG81" s="19"/>
      <c r="AH81" s="121"/>
      <c r="AJ81" s="6"/>
      <c r="AK81" s="115">
        <v>10</v>
      </c>
      <c r="AL81" s="59" t="str">
        <f>(IF(AK81=10,"Includes GST",IF(AK81=0,"Excludes GST")))</f>
        <v>Includes GST</v>
      </c>
      <c r="AM81" s="7"/>
      <c r="AN81" s="195">
        <f>((AN78+AN79)*AK81%)</f>
        <v>10</v>
      </c>
      <c r="AO81" s="6"/>
    </row>
    <row r="82" spans="1:41" s="44" customFormat="1" ht="12.75">
      <c r="A82" s="92"/>
      <c r="B82" s="92"/>
      <c r="C82" s="6"/>
      <c r="D82" s="6"/>
      <c r="E82" s="6"/>
      <c r="F82" s="6"/>
      <c r="G82" s="6"/>
      <c r="H82" s="6"/>
      <c r="I82" s="6"/>
      <c r="J82" s="56"/>
      <c r="K82" s="56"/>
      <c r="L82" s="56"/>
      <c r="M82" s="56"/>
      <c r="N82" s="6"/>
      <c r="O82" s="6"/>
      <c r="P82" s="6"/>
      <c r="Q82" s="6"/>
      <c r="R82" s="92"/>
      <c r="S82" s="64"/>
      <c r="T82" s="64"/>
      <c r="U82" s="64"/>
      <c r="V82" s="64"/>
      <c r="W82" s="64"/>
      <c r="X82" s="64"/>
      <c r="Y82" s="64"/>
      <c r="Z82" s="64"/>
      <c r="AA82" s="65"/>
      <c r="AJ82" s="6"/>
      <c r="AL82" s="7" t="s">
        <v>176</v>
      </c>
      <c r="AN82" s="194">
        <f>SUM(AN80:AN81)</f>
        <v>110</v>
      </c>
      <c r="AO82" s="6"/>
    </row>
    <row r="83" spans="1:41" s="44" customFormat="1" ht="12.75">
      <c r="A83" s="56" t="s">
        <v>242</v>
      </c>
      <c r="B83" s="6"/>
      <c r="C83" s="6"/>
      <c r="D83" s="6"/>
      <c r="E83" s="6"/>
      <c r="F83" s="6"/>
      <c r="G83" s="6"/>
      <c r="H83" s="6"/>
      <c r="I83" s="97" t="s">
        <v>423</v>
      </c>
      <c r="J83" s="138"/>
      <c r="K83" s="138"/>
      <c r="L83" s="64">
        <f>($P$69)</f>
        <v>19</v>
      </c>
      <c r="M83" s="139">
        <v>2</v>
      </c>
      <c r="N83" s="138">
        <f t="shared" ref="N83:N92" si="0">(L83*M83)</f>
        <v>38</v>
      </c>
      <c r="O83" s="138">
        <v>60</v>
      </c>
      <c r="P83" s="64">
        <f t="shared" ref="P83:P92" si="1">(N83/O83)</f>
        <v>0.6333333333333333</v>
      </c>
      <c r="Q83" s="140">
        <f>(IF($P$32=A83,N83,0))</f>
        <v>0</v>
      </c>
      <c r="R83" s="92"/>
      <c r="S83" s="64"/>
      <c r="T83" s="64"/>
      <c r="U83" s="64"/>
      <c r="V83" s="64"/>
      <c r="W83" s="64"/>
      <c r="X83" s="64"/>
      <c r="Y83" s="64"/>
      <c r="Z83" s="64"/>
      <c r="AA83" s="65"/>
      <c r="AJ83" s="6"/>
      <c r="AK83" s="6"/>
      <c r="AL83" s="6"/>
      <c r="AM83" s="6"/>
      <c r="AN83" s="6"/>
      <c r="AO83" s="6"/>
    </row>
    <row r="84" spans="1:41" s="44" customFormat="1" ht="12.75">
      <c r="A84" s="56" t="s">
        <v>242</v>
      </c>
      <c r="B84" s="6"/>
      <c r="C84" s="6"/>
      <c r="D84" s="6"/>
      <c r="E84" s="6"/>
      <c r="F84" s="6"/>
      <c r="G84" s="6"/>
      <c r="H84" s="6"/>
      <c r="I84" s="97" t="s">
        <v>136</v>
      </c>
      <c r="J84" s="138"/>
      <c r="K84" s="138"/>
      <c r="L84" s="64">
        <f>($Q$10)</f>
        <v>0</v>
      </c>
      <c r="M84" s="139">
        <v>2</v>
      </c>
      <c r="N84" s="138">
        <f t="shared" si="0"/>
        <v>0</v>
      </c>
      <c r="O84" s="138">
        <v>60</v>
      </c>
      <c r="P84" s="64">
        <f t="shared" si="1"/>
        <v>0</v>
      </c>
      <c r="Q84" s="140">
        <f t="shared" ref="Q84:Q90" si="2">(IF($P$32=A84,N84,0))</f>
        <v>0</v>
      </c>
      <c r="R84" s="92"/>
      <c r="S84" s="64"/>
      <c r="T84" s="64"/>
      <c r="U84" s="64"/>
      <c r="V84" s="64"/>
      <c r="W84" s="64"/>
      <c r="X84" s="64"/>
      <c r="Y84" s="64"/>
      <c r="Z84" s="64"/>
      <c r="AA84" s="65"/>
    </row>
    <row r="85" spans="1:41" s="44" customFormat="1" ht="12.75">
      <c r="A85" s="56" t="s">
        <v>179</v>
      </c>
      <c r="B85" s="6"/>
      <c r="C85" s="6"/>
      <c r="D85" s="6"/>
      <c r="E85" s="6"/>
      <c r="F85" s="6"/>
      <c r="G85" s="6"/>
      <c r="H85" s="6"/>
      <c r="I85" s="97" t="s">
        <v>81</v>
      </c>
      <c r="J85" s="138"/>
      <c r="K85" s="138"/>
      <c r="L85" s="64">
        <f>($P$69)</f>
        <v>19</v>
      </c>
      <c r="M85" s="139">
        <v>2</v>
      </c>
      <c r="N85" s="138">
        <f t="shared" si="0"/>
        <v>38</v>
      </c>
      <c r="O85" s="138">
        <v>60</v>
      </c>
      <c r="P85" s="64">
        <f t="shared" si="1"/>
        <v>0.6333333333333333</v>
      </c>
      <c r="Q85" s="140">
        <f t="shared" si="2"/>
        <v>38</v>
      </c>
      <c r="R85" s="92"/>
      <c r="S85" s="64"/>
      <c r="T85" s="64"/>
      <c r="U85" s="64"/>
      <c r="V85" s="64"/>
      <c r="W85" s="64"/>
      <c r="X85" s="64"/>
      <c r="Y85" s="64"/>
      <c r="Z85" s="64"/>
      <c r="AA85" s="65"/>
    </row>
    <row r="86" spans="1:41" s="44" customFormat="1" ht="12.75">
      <c r="A86" s="56" t="s">
        <v>179</v>
      </c>
      <c r="B86" s="6"/>
      <c r="C86" s="6"/>
      <c r="D86" s="6"/>
      <c r="E86" s="6"/>
      <c r="F86" s="6"/>
      <c r="G86" s="6"/>
      <c r="H86" s="6"/>
      <c r="I86" s="97" t="s">
        <v>82</v>
      </c>
      <c r="J86" s="138"/>
      <c r="K86" s="138"/>
      <c r="L86" s="64">
        <f>($Q$10)</f>
        <v>0</v>
      </c>
      <c r="M86" s="139">
        <v>2</v>
      </c>
      <c r="N86" s="138">
        <f t="shared" si="0"/>
        <v>0</v>
      </c>
      <c r="O86" s="138">
        <v>60</v>
      </c>
      <c r="P86" s="64">
        <f t="shared" si="1"/>
        <v>0</v>
      </c>
      <c r="Q86" s="140">
        <f t="shared" si="2"/>
        <v>0</v>
      </c>
      <c r="R86" s="92"/>
      <c r="S86" s="64"/>
      <c r="T86" s="64"/>
      <c r="U86" s="64"/>
      <c r="V86" s="64"/>
      <c r="W86" s="64"/>
      <c r="X86" s="64"/>
      <c r="Y86" s="64"/>
      <c r="Z86" s="64"/>
      <c r="AA86" s="65"/>
    </row>
    <row r="87" spans="1:41" s="44" customFormat="1" ht="12.75">
      <c r="A87" s="56" t="s">
        <v>251</v>
      </c>
      <c r="B87" s="6"/>
      <c r="C87" s="6"/>
      <c r="D87" s="6"/>
      <c r="E87" s="6"/>
      <c r="F87" s="6"/>
      <c r="G87" s="6"/>
      <c r="H87" s="6"/>
      <c r="I87" s="97" t="s">
        <v>147</v>
      </c>
      <c r="J87" s="138"/>
      <c r="K87" s="138"/>
      <c r="L87" s="64">
        <f>($P$69)</f>
        <v>19</v>
      </c>
      <c r="M87" s="139">
        <v>2.5</v>
      </c>
      <c r="N87" s="138">
        <f t="shared" si="0"/>
        <v>47.5</v>
      </c>
      <c r="O87" s="138">
        <v>60</v>
      </c>
      <c r="P87" s="64">
        <f t="shared" si="1"/>
        <v>0.79166666666666663</v>
      </c>
      <c r="Q87" s="140">
        <f t="shared" si="2"/>
        <v>0</v>
      </c>
      <c r="R87" s="92"/>
      <c r="S87" s="64"/>
      <c r="T87" s="64"/>
      <c r="U87" s="64"/>
      <c r="V87" s="64"/>
      <c r="W87" s="64"/>
      <c r="X87" s="64"/>
      <c r="Y87" s="64"/>
      <c r="Z87" s="64"/>
      <c r="AA87" s="65"/>
    </row>
    <row r="88" spans="1:41" s="44" customFormat="1" ht="12.75">
      <c r="A88" s="56" t="s">
        <v>251</v>
      </c>
      <c r="B88" s="6"/>
      <c r="C88" s="6"/>
      <c r="D88" s="6"/>
      <c r="E88" s="6"/>
      <c r="F88" s="6"/>
      <c r="G88" s="6"/>
      <c r="H88" s="6"/>
      <c r="I88" s="97" t="s">
        <v>148</v>
      </c>
      <c r="J88" s="138"/>
      <c r="K88" s="138"/>
      <c r="L88" s="64">
        <f>($Q$10)</f>
        <v>0</v>
      </c>
      <c r="M88" s="139">
        <v>2.5</v>
      </c>
      <c r="N88" s="138">
        <f t="shared" si="0"/>
        <v>0</v>
      </c>
      <c r="O88" s="138">
        <v>60</v>
      </c>
      <c r="P88" s="64">
        <f t="shared" si="1"/>
        <v>0</v>
      </c>
      <c r="Q88" s="140">
        <f t="shared" si="2"/>
        <v>0</v>
      </c>
      <c r="R88" s="92"/>
      <c r="S88" s="64"/>
      <c r="T88" s="64"/>
      <c r="U88" s="64"/>
      <c r="V88" s="64"/>
      <c r="W88" s="64"/>
      <c r="X88" s="64"/>
      <c r="Y88" s="64"/>
      <c r="Z88" s="64"/>
      <c r="AA88" s="65"/>
    </row>
    <row r="89" spans="1:41" s="44" customFormat="1" ht="12.75">
      <c r="A89" s="3" t="s">
        <v>216</v>
      </c>
      <c r="B89" s="6"/>
      <c r="C89" s="6"/>
      <c r="D89" s="6"/>
      <c r="E89" s="6"/>
      <c r="F89" s="6"/>
      <c r="G89" s="6"/>
      <c r="H89" s="6"/>
      <c r="I89" s="97" t="s">
        <v>149</v>
      </c>
      <c r="J89" s="138"/>
      <c r="K89" s="138"/>
      <c r="L89" s="64">
        <f>($P$69)</f>
        <v>19</v>
      </c>
      <c r="M89" s="139">
        <v>2.25</v>
      </c>
      <c r="N89" s="138">
        <f t="shared" si="0"/>
        <v>42.75</v>
      </c>
      <c r="O89" s="138">
        <v>60</v>
      </c>
      <c r="P89" s="64">
        <f t="shared" si="1"/>
        <v>0.71250000000000002</v>
      </c>
      <c r="Q89" s="140">
        <f t="shared" si="2"/>
        <v>0</v>
      </c>
      <c r="R89" s="92"/>
      <c r="S89" s="64"/>
      <c r="T89" s="64"/>
      <c r="U89" s="64"/>
      <c r="V89" s="64"/>
      <c r="W89" s="64"/>
      <c r="X89" s="64"/>
      <c r="Y89" s="64"/>
      <c r="Z89" s="64"/>
      <c r="AA89" s="65"/>
    </row>
    <row r="90" spans="1:41" s="44" customFormat="1" ht="12.75">
      <c r="A90" s="3" t="s">
        <v>216</v>
      </c>
      <c r="B90" s="6"/>
      <c r="C90" s="6"/>
      <c r="D90" s="6"/>
      <c r="E90" s="6"/>
      <c r="F90" s="6"/>
      <c r="G90" s="6"/>
      <c r="H90" s="6"/>
      <c r="I90" s="97" t="s">
        <v>446</v>
      </c>
      <c r="J90" s="138"/>
      <c r="K90" s="138"/>
      <c r="L90" s="64">
        <f>($Q$10)</f>
        <v>0</v>
      </c>
      <c r="M90" s="139">
        <v>2.25</v>
      </c>
      <c r="N90" s="138">
        <f t="shared" si="0"/>
        <v>0</v>
      </c>
      <c r="O90" s="138">
        <v>60</v>
      </c>
      <c r="P90" s="64">
        <f t="shared" si="1"/>
        <v>0</v>
      </c>
      <c r="Q90" s="140">
        <f t="shared" si="2"/>
        <v>0</v>
      </c>
      <c r="R90" s="92"/>
      <c r="S90" s="64"/>
      <c r="T90" s="64"/>
      <c r="U90" s="64"/>
      <c r="V90" s="64"/>
      <c r="W90" s="64"/>
      <c r="X90" s="64"/>
      <c r="Y90" s="64"/>
      <c r="Z90" s="64"/>
      <c r="AA90" s="65"/>
    </row>
    <row r="91" spans="1:41" s="44" customFormat="1" ht="12.75">
      <c r="A91" s="56" t="s">
        <v>333</v>
      </c>
      <c r="B91" s="6"/>
      <c r="C91" s="6"/>
      <c r="D91" s="6"/>
      <c r="E91" s="6"/>
      <c r="F91" s="6"/>
      <c r="G91" s="6"/>
      <c r="H91" s="97"/>
      <c r="I91" s="116" t="s">
        <v>347</v>
      </c>
      <c r="J91" s="138"/>
      <c r="K91" s="138"/>
      <c r="L91" s="64">
        <f>($P$69)</f>
        <v>19</v>
      </c>
      <c r="M91" s="139">
        <v>1</v>
      </c>
      <c r="N91" s="138">
        <f t="shared" si="0"/>
        <v>19</v>
      </c>
      <c r="O91" s="138">
        <v>60</v>
      </c>
      <c r="P91" s="64">
        <f t="shared" si="1"/>
        <v>0.31666666666666665</v>
      </c>
      <c r="Q91" s="140">
        <f>(IF($P$28=A91,N91,0))</f>
        <v>19</v>
      </c>
      <c r="R91" s="92"/>
      <c r="S91" s="56"/>
      <c r="T91" s="8"/>
      <c r="U91" s="6"/>
      <c r="V91" s="6"/>
      <c r="W91" s="6"/>
      <c r="X91" s="6"/>
      <c r="Y91" s="6"/>
      <c r="Z91" s="6"/>
    </row>
    <row r="92" spans="1:41" s="44" customFormat="1" ht="12.75">
      <c r="A92" s="56" t="s">
        <v>333</v>
      </c>
      <c r="B92" s="6"/>
      <c r="C92" s="6"/>
      <c r="D92" s="6"/>
      <c r="E92" s="6"/>
      <c r="F92" s="6"/>
      <c r="G92" s="6"/>
      <c r="H92" s="97"/>
      <c r="I92" s="116" t="s">
        <v>417</v>
      </c>
      <c r="J92" s="138"/>
      <c r="K92" s="138"/>
      <c r="L92" s="64">
        <f>($Q$10)</f>
        <v>0</v>
      </c>
      <c r="M92" s="139">
        <v>1</v>
      </c>
      <c r="N92" s="138">
        <f t="shared" si="0"/>
        <v>0</v>
      </c>
      <c r="O92" s="138">
        <v>60</v>
      </c>
      <c r="P92" s="64">
        <f t="shared" si="1"/>
        <v>0</v>
      </c>
      <c r="Q92" s="140">
        <f>(IF($P$28=A92,N92,0))</f>
        <v>0</v>
      </c>
      <c r="R92" s="92"/>
      <c r="S92" s="56"/>
      <c r="T92" s="8"/>
      <c r="U92" s="6"/>
      <c r="V92" s="6"/>
      <c r="W92" s="6"/>
      <c r="X92" s="6"/>
      <c r="Y92" s="6"/>
      <c r="Z92" s="6"/>
    </row>
    <row r="93" spans="1:41" s="44" customFormat="1" ht="12.75">
      <c r="A93" s="56" t="s">
        <v>335</v>
      </c>
      <c r="B93" s="6"/>
      <c r="C93" s="6"/>
      <c r="D93" s="6"/>
      <c r="E93" s="6"/>
      <c r="F93" s="6"/>
      <c r="G93" s="6"/>
      <c r="H93" s="97"/>
      <c r="I93" s="97" t="s">
        <v>447</v>
      </c>
      <c r="J93" s="138"/>
      <c r="K93" s="138"/>
      <c r="L93" s="64">
        <f>($P$69)</f>
        <v>19</v>
      </c>
      <c r="M93" s="139">
        <v>10</v>
      </c>
      <c r="N93" s="138">
        <f>(L93*M93)</f>
        <v>190</v>
      </c>
      <c r="O93" s="138">
        <v>60</v>
      </c>
      <c r="P93" s="64">
        <f>(N93/O93)</f>
        <v>3.1666666666666665</v>
      </c>
      <c r="Q93" s="140">
        <f>(IF($P$28=A93,N93,0))</f>
        <v>0</v>
      </c>
      <c r="R93" s="92"/>
      <c r="S93" s="56"/>
      <c r="T93" s="8"/>
      <c r="U93" s="6"/>
      <c r="V93" s="6"/>
      <c r="W93" s="6"/>
      <c r="X93" s="6"/>
      <c r="Y93" s="6"/>
      <c r="Z93" s="6"/>
    </row>
    <row r="94" spans="1:41" s="44" customFormat="1" ht="12.75">
      <c r="A94" s="56" t="s">
        <v>335</v>
      </c>
      <c r="B94" s="6"/>
      <c r="C94" s="6"/>
      <c r="D94" s="6"/>
      <c r="E94" s="6"/>
      <c r="F94" s="6"/>
      <c r="G94" s="6"/>
      <c r="H94" s="97"/>
      <c r="I94" s="97" t="s">
        <v>290</v>
      </c>
      <c r="J94" s="138"/>
      <c r="K94" s="138"/>
      <c r="L94" s="64">
        <f>($Q$10)</f>
        <v>0</v>
      </c>
      <c r="M94" s="139">
        <v>10</v>
      </c>
      <c r="N94" s="138">
        <f>(L94*M94)</f>
        <v>0</v>
      </c>
      <c r="O94" s="138">
        <v>60</v>
      </c>
      <c r="P94" s="64">
        <f>(N94/O94)</f>
        <v>0</v>
      </c>
      <c r="Q94" s="140">
        <f>(IF($P$28=A94,N94,0))</f>
        <v>0</v>
      </c>
      <c r="R94" s="92"/>
      <c r="S94" s="56"/>
      <c r="T94" s="8"/>
      <c r="U94" s="6"/>
      <c r="V94" s="6"/>
      <c r="W94" s="6"/>
      <c r="X94" s="6"/>
      <c r="Y94" s="6"/>
      <c r="Z94" s="6"/>
    </row>
    <row r="95" spans="1:41" s="44" customFormat="1" ht="12.75">
      <c r="A95" s="56"/>
      <c r="B95" s="6"/>
      <c r="C95" s="6"/>
      <c r="D95" s="6"/>
      <c r="E95" s="6"/>
      <c r="F95" s="6"/>
      <c r="G95" s="6"/>
      <c r="H95" s="97"/>
      <c r="I95" s="97"/>
      <c r="J95" s="138"/>
      <c r="K95" s="138"/>
      <c r="L95" s="64"/>
      <c r="M95" s="141"/>
      <c r="N95" s="138"/>
      <c r="O95" s="138"/>
      <c r="P95" s="64"/>
      <c r="Q95" s="8"/>
      <c r="R95" s="92"/>
      <c r="S95" s="56"/>
      <c r="T95" s="8"/>
      <c r="U95" s="6"/>
      <c r="V95" s="6"/>
      <c r="W95" s="6"/>
      <c r="X95" s="6"/>
      <c r="Y95" s="6"/>
      <c r="Z95" s="6"/>
    </row>
    <row r="96" spans="1:41" s="44" customFormat="1" ht="12.75">
      <c r="A96" s="56"/>
      <c r="B96" s="6"/>
      <c r="C96" s="6"/>
      <c r="D96" s="6"/>
      <c r="E96" s="6"/>
      <c r="F96" s="6"/>
      <c r="G96" s="6"/>
      <c r="H96" s="134" t="s">
        <v>359</v>
      </c>
      <c r="I96" s="6"/>
      <c r="J96" s="56"/>
      <c r="K96" s="56"/>
      <c r="L96" s="56" t="s">
        <v>144</v>
      </c>
      <c r="M96" s="56" t="s">
        <v>309</v>
      </c>
      <c r="N96" s="56" t="s">
        <v>379</v>
      </c>
      <c r="O96" s="56" t="s">
        <v>259</v>
      </c>
      <c r="P96" s="56" t="s">
        <v>260</v>
      </c>
      <c r="Q96" s="8"/>
      <c r="R96" s="92"/>
      <c r="S96" s="56"/>
      <c r="T96" s="8"/>
      <c r="U96" s="6"/>
      <c r="V96" s="6"/>
      <c r="W96" s="6"/>
      <c r="X96" s="6"/>
      <c r="Y96" s="6"/>
      <c r="Z96" s="6"/>
    </row>
    <row r="97" spans="1:32" s="44" customFormat="1">
      <c r="A97" s="56"/>
      <c r="B97" s="6"/>
      <c r="C97" s="6"/>
      <c r="D97" s="6"/>
      <c r="E97" s="6"/>
      <c r="F97" s="6"/>
      <c r="G97" s="6"/>
      <c r="H97" s="6"/>
      <c r="I97" s="6"/>
      <c r="J97" s="56"/>
      <c r="K97" s="56"/>
      <c r="L97" s="56" t="s">
        <v>11</v>
      </c>
      <c r="M97" s="56" t="s">
        <v>345</v>
      </c>
      <c r="N97" s="56" t="s">
        <v>226</v>
      </c>
      <c r="O97" s="56" t="s">
        <v>346</v>
      </c>
      <c r="P97" s="56"/>
      <c r="Q97" s="8"/>
      <c r="R97" s="92"/>
      <c r="S97" s="56"/>
      <c r="T97" s="8"/>
      <c r="U97" s="6"/>
      <c r="V97" s="6"/>
      <c r="W97" s="6"/>
      <c r="X97" s="6"/>
      <c r="Y97" s="6"/>
      <c r="Z97" s="6"/>
    </row>
    <row r="98" spans="1:32" s="44" customFormat="1" ht="12.75">
      <c r="A98" s="56"/>
      <c r="B98" s="6"/>
      <c r="C98" s="6"/>
      <c r="D98" s="6"/>
      <c r="E98" s="6"/>
      <c r="F98" s="6"/>
      <c r="G98" s="6"/>
      <c r="H98" s="97"/>
      <c r="I98" s="97"/>
      <c r="J98" s="138"/>
      <c r="K98" s="138"/>
      <c r="L98" s="64"/>
      <c r="M98" s="56"/>
      <c r="N98" s="64"/>
      <c r="O98" s="64"/>
      <c r="P98" s="64"/>
      <c r="Q98" s="8"/>
      <c r="R98" s="92"/>
      <c r="S98" s="56"/>
      <c r="T98" s="8"/>
      <c r="U98" s="6"/>
      <c r="V98" s="6"/>
      <c r="W98" s="6"/>
      <c r="X98" s="6"/>
      <c r="Y98" s="6"/>
      <c r="Z98" s="6"/>
    </row>
    <row r="99" spans="1:32" ht="12.75">
      <c r="A99" s="3" t="s">
        <v>242</v>
      </c>
      <c r="B99" s="1"/>
      <c r="C99" s="1"/>
      <c r="D99" s="1"/>
      <c r="E99" s="1"/>
      <c r="F99" s="1"/>
      <c r="G99" s="1"/>
      <c r="H99" s="97"/>
      <c r="I99" s="97" t="s">
        <v>413</v>
      </c>
      <c r="J99" s="138"/>
      <c r="K99" s="138"/>
      <c r="L99" s="139">
        <v>12.5</v>
      </c>
      <c r="M99" s="138">
        <v>1</v>
      </c>
      <c r="N99" s="138">
        <f>(L99*M99)</f>
        <v>12.5</v>
      </c>
      <c r="O99" s="138">
        <v>60</v>
      </c>
      <c r="P99" s="64">
        <f>(N99/O99)</f>
        <v>0.20833333333333334</v>
      </c>
      <c r="Q99" s="140">
        <f>(IF($P$32=A99,N99,0))</f>
        <v>0</v>
      </c>
      <c r="R99" s="142"/>
      <c r="S99" s="56"/>
      <c r="T99" s="8"/>
      <c r="U99" s="6"/>
      <c r="V99" s="6"/>
      <c r="W99" s="6"/>
      <c r="X99" s="6"/>
      <c r="Y99" s="6"/>
      <c r="Z99" s="6"/>
      <c r="AA99" s="44"/>
    </row>
    <row r="100" spans="1:32" ht="12.75">
      <c r="A100" s="3" t="s">
        <v>179</v>
      </c>
      <c r="B100" s="1"/>
      <c r="C100" s="1"/>
      <c r="D100" s="1"/>
      <c r="E100" s="1"/>
      <c r="F100" s="1"/>
      <c r="G100" s="1"/>
      <c r="H100" s="97"/>
      <c r="I100" s="97" t="s">
        <v>310</v>
      </c>
      <c r="J100" s="138"/>
      <c r="K100" s="138"/>
      <c r="L100" s="139">
        <v>12.5</v>
      </c>
      <c r="M100" s="138">
        <v>1</v>
      </c>
      <c r="N100" s="138">
        <f>(L100*M100)</f>
        <v>12.5</v>
      </c>
      <c r="O100" s="138">
        <v>60</v>
      </c>
      <c r="P100" s="64">
        <f>(N100/O100)</f>
        <v>0.20833333333333334</v>
      </c>
      <c r="Q100" s="140">
        <f>(IF($P$32=A100,N100,0))</f>
        <v>12.5</v>
      </c>
      <c r="R100" s="142"/>
      <c r="S100" s="56"/>
      <c r="T100" s="8"/>
      <c r="U100" s="6"/>
      <c r="V100" s="6"/>
      <c r="W100" s="6"/>
      <c r="X100" s="6"/>
      <c r="Y100" s="6"/>
      <c r="Z100" s="6"/>
      <c r="AA100" s="44"/>
    </row>
    <row r="101" spans="1:32" ht="12.75">
      <c r="A101" s="3" t="s">
        <v>251</v>
      </c>
      <c r="B101" s="1"/>
      <c r="C101" s="1"/>
      <c r="D101" s="1"/>
      <c r="E101" s="1"/>
      <c r="F101" s="1"/>
      <c r="G101" s="1"/>
      <c r="H101" s="97"/>
      <c r="I101" s="97" t="s">
        <v>131</v>
      </c>
      <c r="J101" s="138"/>
      <c r="K101" s="138"/>
      <c r="L101" s="139">
        <v>12.5</v>
      </c>
      <c r="M101" s="138">
        <v>1</v>
      </c>
      <c r="N101" s="138">
        <f>(L101*M101)</f>
        <v>12.5</v>
      </c>
      <c r="O101" s="138">
        <v>60</v>
      </c>
      <c r="P101" s="64">
        <f>(N101/O101)</f>
        <v>0.20833333333333334</v>
      </c>
      <c r="Q101" s="140">
        <f>(IF($P$32=A101,N101,0))</f>
        <v>0</v>
      </c>
      <c r="R101" s="142"/>
      <c r="S101" s="56"/>
      <c r="T101" s="8"/>
      <c r="U101" s="6"/>
      <c r="V101" s="6"/>
      <c r="W101" s="6"/>
      <c r="X101" s="6"/>
      <c r="Y101" s="6"/>
      <c r="Z101" s="6"/>
      <c r="AA101" s="44"/>
    </row>
    <row r="102" spans="1:32" ht="12.75">
      <c r="A102" s="3" t="s">
        <v>216</v>
      </c>
      <c r="B102" s="1"/>
      <c r="C102" s="1"/>
      <c r="D102" s="1"/>
      <c r="E102" s="1"/>
      <c r="F102" s="1"/>
      <c r="G102" s="1"/>
      <c r="H102" s="97"/>
      <c r="I102" s="97" t="s">
        <v>33</v>
      </c>
      <c r="J102" s="138"/>
      <c r="K102" s="138"/>
      <c r="L102" s="139">
        <v>12.5</v>
      </c>
      <c r="M102" s="138">
        <v>1</v>
      </c>
      <c r="N102" s="138">
        <f>(L102*M102)</f>
        <v>12.5</v>
      </c>
      <c r="O102" s="138">
        <v>60</v>
      </c>
      <c r="P102" s="64">
        <f>(N102/O102)</f>
        <v>0.20833333333333334</v>
      </c>
      <c r="Q102" s="140">
        <f>(IF($P$32=A102,N102,0))</f>
        <v>0</v>
      </c>
      <c r="R102" s="142"/>
      <c r="S102" s="56"/>
      <c r="T102" s="8"/>
      <c r="U102" s="6"/>
      <c r="V102" s="6"/>
      <c r="W102" s="6"/>
      <c r="X102" s="6"/>
      <c r="Y102" s="6"/>
      <c r="Z102" s="6"/>
      <c r="AA102" s="44"/>
    </row>
    <row r="103" spans="1:32" ht="12.75">
      <c r="A103" s="3"/>
      <c r="B103" s="1"/>
      <c r="C103" s="1"/>
      <c r="D103" s="1"/>
      <c r="E103" s="1"/>
      <c r="F103" s="1"/>
      <c r="G103" s="1"/>
      <c r="H103" s="97"/>
      <c r="I103" s="97"/>
      <c r="J103" s="138"/>
      <c r="K103" s="138"/>
      <c r="L103" s="141"/>
      <c r="M103" s="138"/>
      <c r="N103" s="138"/>
      <c r="O103" s="138"/>
      <c r="P103" s="64"/>
      <c r="Q103" s="140"/>
      <c r="R103" s="142"/>
      <c r="S103" s="56"/>
      <c r="T103" s="8"/>
      <c r="U103" s="6"/>
      <c r="V103" s="6"/>
      <c r="W103" s="6"/>
      <c r="X103" s="6"/>
      <c r="Y103" s="6"/>
      <c r="Z103" s="6"/>
      <c r="AA103" s="44"/>
    </row>
    <row r="104" spans="1:32" ht="13.15">
      <c r="A104" s="1"/>
      <c r="B104" s="1"/>
      <c r="C104" s="1"/>
      <c r="D104" s="1"/>
      <c r="E104" s="1"/>
      <c r="F104" s="1"/>
      <c r="G104" s="1"/>
      <c r="H104" s="97"/>
      <c r="I104" s="97"/>
      <c r="J104" s="138"/>
      <c r="K104" s="138"/>
      <c r="L104" s="143"/>
      <c r="M104" s="64"/>
      <c r="N104" s="64"/>
      <c r="O104" s="64"/>
      <c r="P104" s="64"/>
      <c r="Q104" s="140">
        <f>SUM(Q83:Q103)</f>
        <v>69.5</v>
      </c>
      <c r="R104" s="142"/>
      <c r="S104" s="56"/>
      <c r="T104" s="8"/>
      <c r="U104" s="6"/>
      <c r="V104" s="6"/>
      <c r="W104" s="6"/>
      <c r="X104" s="6"/>
      <c r="Y104" s="6"/>
      <c r="Z104" s="6"/>
      <c r="AA104" s="44"/>
    </row>
    <row r="105" spans="1:32" s="113" customFormat="1" ht="17.25">
      <c r="A105" s="176" t="s">
        <v>316</v>
      </c>
      <c r="B105" s="20"/>
      <c r="C105" s="20"/>
      <c r="D105" s="20"/>
      <c r="E105" s="20"/>
      <c r="F105" s="20"/>
      <c r="G105" s="20"/>
      <c r="H105" s="20"/>
      <c r="I105" s="20"/>
      <c r="J105" s="107"/>
      <c r="K105" s="20"/>
      <c r="L105" s="20"/>
      <c r="M105" s="20"/>
      <c r="N105" s="107"/>
      <c r="O105" s="107"/>
      <c r="P105" s="20"/>
      <c r="Q105" s="20"/>
      <c r="R105" s="108"/>
      <c r="S105" s="108"/>
      <c r="T105" s="108"/>
      <c r="U105" s="108"/>
      <c r="V105" s="109"/>
      <c r="W105" s="20"/>
      <c r="X105" s="20"/>
      <c r="Y105" s="20"/>
      <c r="Z105" s="20"/>
    </row>
    <row r="106" spans="1:32" ht="17.25">
      <c r="A106" s="1"/>
      <c r="B106" s="1"/>
      <c r="C106" s="1"/>
      <c r="D106" s="1"/>
      <c r="E106" s="1"/>
      <c r="F106" s="1"/>
      <c r="G106" s="1"/>
      <c r="H106" s="97"/>
      <c r="I106" s="97"/>
      <c r="J106" s="138"/>
      <c r="K106" s="138"/>
      <c r="L106" s="64"/>
      <c r="M106" s="64"/>
      <c r="N106" s="64"/>
      <c r="O106" s="64"/>
      <c r="P106" s="64"/>
      <c r="Q106" s="1"/>
      <c r="R106" s="142"/>
      <c r="S106" s="56"/>
      <c r="T106" s="8"/>
      <c r="U106" s="6"/>
      <c r="V106" s="6"/>
      <c r="W106" s="6"/>
      <c r="X106" s="6"/>
      <c r="Y106" s="6"/>
      <c r="Z106" s="6"/>
      <c r="AA106" s="44"/>
      <c r="AF106" s="113"/>
    </row>
    <row r="107" spans="1:32">
      <c r="A107" s="3" t="s">
        <v>326</v>
      </c>
      <c r="B107" s="3" t="s">
        <v>326</v>
      </c>
      <c r="C107" s="3" t="s">
        <v>414</v>
      </c>
      <c r="D107" s="3" t="s">
        <v>414</v>
      </c>
      <c r="E107" s="3"/>
      <c r="F107" s="3" t="s">
        <v>414</v>
      </c>
      <c r="G107" s="3" t="s">
        <v>414</v>
      </c>
      <c r="H107" s="3" t="s">
        <v>453</v>
      </c>
      <c r="I107" s="3" t="s">
        <v>119</v>
      </c>
      <c r="J107" s="3" t="s">
        <v>453</v>
      </c>
      <c r="K107" s="3" t="s">
        <v>51</v>
      </c>
      <c r="L107" s="3" t="s">
        <v>421</v>
      </c>
      <c r="M107" s="3" t="s">
        <v>214</v>
      </c>
      <c r="N107" s="255" t="s">
        <v>195</v>
      </c>
      <c r="O107" s="255"/>
      <c r="P107" s="3" t="s">
        <v>325</v>
      </c>
      <c r="Q107" s="3" t="s">
        <v>196</v>
      </c>
      <c r="R107" s="56" t="s">
        <v>421</v>
      </c>
      <c r="S107" s="8" t="s">
        <v>178</v>
      </c>
      <c r="T107" s="8" t="s">
        <v>178</v>
      </c>
      <c r="U107" s="3" t="s">
        <v>196</v>
      </c>
      <c r="V107" s="56" t="s">
        <v>421</v>
      </c>
      <c r="W107" s="6"/>
      <c r="X107" s="6"/>
      <c r="Y107" s="6"/>
      <c r="Z107" s="6"/>
      <c r="AA107" s="44"/>
    </row>
    <row r="108" spans="1:32">
      <c r="A108" s="3" t="s">
        <v>186</v>
      </c>
      <c r="B108" s="3" t="s">
        <v>286</v>
      </c>
      <c r="C108" s="3" t="s">
        <v>286</v>
      </c>
      <c r="D108" s="3" t="s">
        <v>286</v>
      </c>
      <c r="E108" s="3"/>
      <c r="F108" s="3" t="s">
        <v>286</v>
      </c>
      <c r="G108" s="3" t="s">
        <v>286</v>
      </c>
      <c r="H108" s="3" t="s">
        <v>164</v>
      </c>
      <c r="I108" s="3" t="s">
        <v>120</v>
      </c>
      <c r="J108" s="3" t="s">
        <v>164</v>
      </c>
      <c r="K108" s="3" t="s">
        <v>353</v>
      </c>
      <c r="L108" s="3" t="s">
        <v>164</v>
      </c>
      <c r="M108" s="3" t="s">
        <v>327</v>
      </c>
      <c r="N108" s="255" t="s">
        <v>190</v>
      </c>
      <c r="O108" s="255"/>
      <c r="P108" s="3" t="s">
        <v>52</v>
      </c>
      <c r="Q108" s="3" t="s">
        <v>263</v>
      </c>
      <c r="R108" s="56" t="s">
        <v>263</v>
      </c>
      <c r="S108" s="8" t="s">
        <v>196</v>
      </c>
      <c r="T108" s="8" t="s">
        <v>419</v>
      </c>
      <c r="U108" s="3" t="s">
        <v>263</v>
      </c>
      <c r="V108" s="56" t="s">
        <v>263</v>
      </c>
      <c r="W108" s="6"/>
      <c r="X108" s="6"/>
      <c r="Y108" s="6"/>
      <c r="Z108" s="6"/>
      <c r="AA108" s="44"/>
    </row>
    <row r="109" spans="1:32">
      <c r="A109" s="1"/>
      <c r="B109" s="1"/>
      <c r="C109" s="1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56"/>
      <c r="S109" s="56"/>
      <c r="T109" s="8"/>
      <c r="U109" s="6"/>
      <c r="V109" s="6"/>
      <c r="W109" s="6"/>
      <c r="X109" s="6"/>
      <c r="Y109" s="6"/>
      <c r="Z109" s="6"/>
      <c r="AA109" s="44"/>
    </row>
    <row r="110" spans="1:32" ht="12.75">
      <c r="A110" s="144" t="s">
        <v>294</v>
      </c>
      <c r="B110" s="145"/>
      <c r="C110" s="145"/>
      <c r="D110" s="145"/>
      <c r="E110" s="145"/>
      <c r="F110" s="146"/>
      <c r="G110" s="147"/>
      <c r="H110" s="148"/>
      <c r="I110" s="148"/>
      <c r="J110" s="148"/>
      <c r="K110" s="148"/>
      <c r="L110" s="148"/>
      <c r="M110" s="149"/>
      <c r="N110" s="149"/>
      <c r="O110" s="149"/>
      <c r="P110" s="150"/>
      <c r="Q110" s="148"/>
      <c r="R110" s="148"/>
      <c r="S110" s="151"/>
      <c r="T110" s="151"/>
      <c r="U110" s="148"/>
      <c r="V110" s="152"/>
      <c r="W110" s="152"/>
      <c r="X110" s="153"/>
      <c r="Y110" s="154"/>
      <c r="Z110" s="155"/>
      <c r="AA110" s="156"/>
    </row>
    <row r="111" spans="1:32">
      <c r="A111" s="1"/>
      <c r="B111" s="1"/>
      <c r="C111" s="1"/>
      <c r="D111" s="1"/>
      <c r="E111" s="1"/>
      <c r="F111" s="1"/>
      <c r="G111" s="1"/>
      <c r="H111" s="61"/>
      <c r="I111" s="61"/>
      <c r="J111" s="61"/>
      <c r="K111" s="61"/>
      <c r="L111" s="89"/>
      <c r="M111" s="1"/>
      <c r="N111" s="1"/>
      <c r="O111" s="1"/>
      <c r="P111" s="1"/>
      <c r="Q111" s="16"/>
      <c r="R111" s="6"/>
      <c r="S111" s="56"/>
      <c r="T111" s="8"/>
      <c r="U111" s="6"/>
      <c r="V111" s="6"/>
      <c r="W111" s="6"/>
      <c r="X111" s="6"/>
      <c r="Y111" s="6"/>
      <c r="Z111" s="6"/>
      <c r="AA111" s="44"/>
    </row>
    <row r="112" spans="1:32" ht="12.75">
      <c r="A112" s="9">
        <v>100</v>
      </c>
      <c r="B112" s="80">
        <v>1.6</v>
      </c>
      <c r="C112" s="80" t="s">
        <v>389</v>
      </c>
      <c r="D112" s="80" t="s">
        <v>390</v>
      </c>
      <c r="E112" s="80"/>
      <c r="F112" s="1">
        <f>IF(AND($P$19=A112,$P$22=B112,$P$25=C112,$P$28=D112),1,0)</f>
        <v>0</v>
      </c>
      <c r="G112" s="14">
        <v>1</v>
      </c>
      <c r="H112" s="1">
        <f>IF(AND($P$19=A112,$P$22=B112,$P$25=C112,$P$28=D112),$Q$36,0)</f>
        <v>0</v>
      </c>
      <c r="I112" s="16">
        <v>1</v>
      </c>
      <c r="J112" s="16">
        <f t="shared" ref="J112:J141" si="3">((H112*I112)*AND(G112=1)*AND(F112=1))</f>
        <v>0</v>
      </c>
      <c r="K112" s="157">
        <v>5</v>
      </c>
      <c r="L112" s="16">
        <f t="shared" ref="L112:L141" si="4">(J112*K112%)+J112</f>
        <v>0</v>
      </c>
      <c r="M112" s="118" t="s">
        <v>169</v>
      </c>
      <c r="N112" s="118" t="s">
        <v>312</v>
      </c>
      <c r="O112" s="9"/>
      <c r="P112" s="1" t="s">
        <v>103</v>
      </c>
      <c r="Q112" s="190">
        <v>1.3</v>
      </c>
      <c r="R112" s="16">
        <f t="shared" ref="R112:R141" si="5">(L112*Q112)</f>
        <v>0</v>
      </c>
      <c r="S112" s="35">
        <v>0</v>
      </c>
      <c r="T112" s="35">
        <v>1</v>
      </c>
      <c r="U112" s="16">
        <f t="shared" ref="U112:V114" si="6">(Q112*S112)</f>
        <v>0</v>
      </c>
      <c r="V112" s="6">
        <f t="shared" si="6"/>
        <v>0</v>
      </c>
      <c r="W112" s="6">
        <f t="shared" ref="W112:W141" si="7">SUM(U112:V112)</f>
        <v>0</v>
      </c>
      <c r="X112" s="88">
        <f>($O$57)</f>
        <v>130</v>
      </c>
      <c r="Y112" s="122" t="e">
        <f t="shared" ref="Y112:Y141" si="8">100-((W112*100)/Z112)</f>
        <v>#DIV/0!</v>
      </c>
      <c r="Z112" s="116">
        <f t="shared" ref="Z112:Z141" si="9">(W112*X112%)+W112</f>
        <v>0</v>
      </c>
      <c r="AA112" s="158">
        <v>0.14000000000000001</v>
      </c>
      <c r="AB112" s="159">
        <f t="shared" ref="AB112:AB147" si="10">(F112*(H112*AA112))</f>
        <v>0</v>
      </c>
    </row>
    <row r="113" spans="1:28" ht="12.75">
      <c r="A113" s="9">
        <v>100</v>
      </c>
      <c r="B113" s="80">
        <v>1.6</v>
      </c>
      <c r="C113" s="80" t="s">
        <v>389</v>
      </c>
      <c r="D113" s="80" t="s">
        <v>390</v>
      </c>
      <c r="E113" s="80"/>
      <c r="F113" s="1">
        <f>IF(AND($Q$19=A113,$Q$22=B113,$Q$25=C113,$Q$28=D113),1,0)</f>
        <v>0</v>
      </c>
      <c r="G113" s="14">
        <v>1</v>
      </c>
      <c r="H113" s="1">
        <f>IF(AND($Q$19=A113,$Q$22=B113,$Q$25=C113,$Q$28=D113),$R$36,0)</f>
        <v>0</v>
      </c>
      <c r="I113" s="16">
        <v>1</v>
      </c>
      <c r="J113" s="16">
        <f t="shared" si="3"/>
        <v>0</v>
      </c>
      <c r="K113" s="157">
        <v>5</v>
      </c>
      <c r="L113" s="16">
        <f t="shared" si="4"/>
        <v>0</v>
      </c>
      <c r="M113" s="118" t="s">
        <v>169</v>
      </c>
      <c r="N113" s="118" t="s">
        <v>312</v>
      </c>
      <c r="O113" s="9"/>
      <c r="P113" s="1" t="s">
        <v>103</v>
      </c>
      <c r="Q113" s="190">
        <v>1.3</v>
      </c>
      <c r="R113" s="16">
        <f t="shared" si="5"/>
        <v>0</v>
      </c>
      <c r="S113" s="35">
        <v>0</v>
      </c>
      <c r="T113" s="35">
        <v>1</v>
      </c>
      <c r="U113" s="16">
        <f t="shared" si="6"/>
        <v>0</v>
      </c>
      <c r="V113" s="6">
        <f t="shared" si="6"/>
        <v>0</v>
      </c>
      <c r="W113" s="6">
        <f t="shared" si="7"/>
        <v>0</v>
      </c>
      <c r="X113" s="88">
        <f t="shared" ref="X113:X147" si="11">($O$57)</f>
        <v>130</v>
      </c>
      <c r="Y113" s="122" t="e">
        <f t="shared" si="8"/>
        <v>#DIV/0!</v>
      </c>
      <c r="Z113" s="116">
        <f t="shared" si="9"/>
        <v>0</v>
      </c>
      <c r="AA113" s="158">
        <v>0.14000000000000001</v>
      </c>
      <c r="AB113" s="159">
        <f t="shared" si="10"/>
        <v>0</v>
      </c>
    </row>
    <row r="114" spans="1:28" ht="12.75">
      <c r="A114" s="9">
        <v>100</v>
      </c>
      <c r="B114" s="80">
        <v>2</v>
      </c>
      <c r="C114" s="80" t="s">
        <v>389</v>
      </c>
      <c r="D114" s="80" t="s">
        <v>390</v>
      </c>
      <c r="E114" s="80"/>
      <c r="F114" s="1">
        <f>IF(AND($P$19=A114,$P$22=B114,$P$25=C114,$P$28=D114),1,0)</f>
        <v>0</v>
      </c>
      <c r="G114" s="14">
        <v>1</v>
      </c>
      <c r="H114" s="1">
        <f>IF(AND($P$19=A114,$P$22=B114,$P$25=C114,$P$28=D114),$Q$36,0)</f>
        <v>0</v>
      </c>
      <c r="I114" s="16">
        <v>1</v>
      </c>
      <c r="J114" s="16">
        <f t="shared" si="3"/>
        <v>0</v>
      </c>
      <c r="K114" s="157">
        <v>5</v>
      </c>
      <c r="L114" s="16">
        <f t="shared" si="4"/>
        <v>0</v>
      </c>
      <c r="M114" s="118" t="s">
        <v>73</v>
      </c>
      <c r="N114" s="118" t="s">
        <v>168</v>
      </c>
      <c r="O114" s="9"/>
      <c r="P114" s="1" t="s">
        <v>103</v>
      </c>
      <c r="Q114" s="190">
        <v>1.68</v>
      </c>
      <c r="R114" s="16">
        <f t="shared" si="5"/>
        <v>0</v>
      </c>
      <c r="S114" s="35">
        <v>0</v>
      </c>
      <c r="T114" s="35">
        <v>1</v>
      </c>
      <c r="U114" s="16">
        <f t="shared" si="6"/>
        <v>0</v>
      </c>
      <c r="V114" s="6">
        <f t="shared" si="6"/>
        <v>0</v>
      </c>
      <c r="W114" s="6">
        <f t="shared" si="7"/>
        <v>0</v>
      </c>
      <c r="X114" s="88">
        <f t="shared" si="11"/>
        <v>130</v>
      </c>
      <c r="Y114" s="122" t="e">
        <f t="shared" si="8"/>
        <v>#DIV/0!</v>
      </c>
      <c r="Z114" s="116">
        <f t="shared" si="9"/>
        <v>0</v>
      </c>
      <c r="AA114" s="158">
        <v>0.24</v>
      </c>
      <c r="AB114" s="159">
        <f t="shared" si="10"/>
        <v>0</v>
      </c>
    </row>
    <row r="115" spans="1:28" ht="12.75">
      <c r="A115" s="9">
        <v>100</v>
      </c>
      <c r="B115" s="80">
        <v>2</v>
      </c>
      <c r="C115" s="80" t="s">
        <v>389</v>
      </c>
      <c r="D115" s="80" t="s">
        <v>390</v>
      </c>
      <c r="E115" s="80"/>
      <c r="F115" s="1">
        <f>IF(AND($Q$19=A115,$Q$22=B115,$Q$25=C115,$Q$28=D115),1,0)</f>
        <v>0</v>
      </c>
      <c r="G115" s="14">
        <v>1</v>
      </c>
      <c r="H115" s="1">
        <f>IF(AND($Q$19=A115,$Q$22=B115,$Q$25=C115,$Q$28=D115),$R$36,0)</f>
        <v>0</v>
      </c>
      <c r="I115" s="16">
        <v>1</v>
      </c>
      <c r="J115" s="16">
        <f t="shared" si="3"/>
        <v>0</v>
      </c>
      <c r="K115" s="157">
        <v>5</v>
      </c>
      <c r="L115" s="16">
        <f t="shared" si="4"/>
        <v>0</v>
      </c>
      <c r="M115" s="118" t="s">
        <v>73</v>
      </c>
      <c r="N115" s="118" t="s">
        <v>331</v>
      </c>
      <c r="O115" s="9"/>
      <c r="P115" s="1" t="s">
        <v>103</v>
      </c>
      <c r="Q115" s="190">
        <v>1.68</v>
      </c>
      <c r="R115" s="16">
        <f t="shared" si="5"/>
        <v>0</v>
      </c>
      <c r="S115" s="35">
        <v>0</v>
      </c>
      <c r="T115" s="35">
        <v>1</v>
      </c>
      <c r="U115" s="16">
        <f t="shared" ref="U115:U141" si="12">(Q115*S115)</f>
        <v>0</v>
      </c>
      <c r="V115" s="6">
        <f t="shared" ref="V115:V141" si="13">(R115*T115)</f>
        <v>0</v>
      </c>
      <c r="W115" s="6">
        <f t="shared" si="7"/>
        <v>0</v>
      </c>
      <c r="X115" s="88">
        <f t="shared" si="11"/>
        <v>130</v>
      </c>
      <c r="Y115" s="122" t="e">
        <f t="shared" si="8"/>
        <v>#DIV/0!</v>
      </c>
      <c r="Z115" s="116">
        <f t="shared" si="9"/>
        <v>0</v>
      </c>
      <c r="AA115" s="158">
        <v>0.24</v>
      </c>
      <c r="AB115" s="159">
        <f t="shared" si="10"/>
        <v>0</v>
      </c>
    </row>
    <row r="116" spans="1:28" ht="12.75">
      <c r="A116" s="211">
        <v>100</v>
      </c>
      <c r="B116" s="212">
        <v>2</v>
      </c>
      <c r="C116" s="212" t="s">
        <v>154</v>
      </c>
      <c r="D116" s="212" t="s">
        <v>391</v>
      </c>
      <c r="E116" s="80"/>
      <c r="F116" s="1">
        <f>IF(AND($P$19=A116,$P$22=B116,$P$25=C116,$P$28=D116),1,0)</f>
        <v>0</v>
      </c>
      <c r="G116" s="14">
        <v>1</v>
      </c>
      <c r="H116" s="1">
        <f>IF(AND($P$19=A116,$P$22=B116,$P$25=C116,$P$28=D116),$Q$36,0)</f>
        <v>0</v>
      </c>
      <c r="I116" s="16">
        <v>1</v>
      </c>
      <c r="J116" s="16">
        <f>((H116*I116)*AND(G116=1)*AND(F116=1))</f>
        <v>0</v>
      </c>
      <c r="K116" s="157">
        <v>5</v>
      </c>
      <c r="L116" s="16">
        <f>(J116*K116%)+J116</f>
        <v>0</v>
      </c>
      <c r="M116" s="118" t="s">
        <v>180</v>
      </c>
      <c r="N116" s="211" t="s">
        <v>115</v>
      </c>
      <c r="O116" s="211"/>
      <c r="P116" s="1" t="s">
        <v>103</v>
      </c>
      <c r="Q116" s="190">
        <v>1.46</v>
      </c>
      <c r="R116" s="16">
        <f>(L116*Q116)</f>
        <v>0</v>
      </c>
      <c r="S116" s="35">
        <v>0</v>
      </c>
      <c r="T116" s="35">
        <v>1</v>
      </c>
      <c r="U116" s="16">
        <f>(Q116*S116)</f>
        <v>0</v>
      </c>
      <c r="V116" s="6">
        <f>(R116*T116)</f>
        <v>0</v>
      </c>
      <c r="W116" s="6">
        <f>SUM(U116:V116)</f>
        <v>0</v>
      </c>
      <c r="X116" s="88">
        <f t="shared" si="11"/>
        <v>130</v>
      </c>
      <c r="Y116" s="122" t="e">
        <f>100-((W116*100)/Z116)</f>
        <v>#DIV/0!</v>
      </c>
      <c r="Z116" s="116">
        <f>(W116*X116%)+W116</f>
        <v>0</v>
      </c>
      <c r="AA116" s="158">
        <v>0.36</v>
      </c>
      <c r="AB116" s="159">
        <f>(F116*(H116*AA116))</f>
        <v>0</v>
      </c>
    </row>
    <row r="117" spans="1:28" ht="12.75">
      <c r="A117" s="211">
        <v>100</v>
      </c>
      <c r="B117" s="212">
        <v>2</v>
      </c>
      <c r="C117" s="212" t="s">
        <v>154</v>
      </c>
      <c r="D117" s="212" t="s">
        <v>391</v>
      </c>
      <c r="E117" s="80"/>
      <c r="F117" s="1">
        <f>IF(AND($Q$19=A117,$Q$22=B117,$Q$25=C117,$Q$28=D117),1,0)</f>
        <v>0</v>
      </c>
      <c r="G117" s="14">
        <v>1</v>
      </c>
      <c r="H117" s="1">
        <f>IF(AND($Q$19=A117,$Q$22=B117,$Q$25=C117,$Q$28=D117),$R$36,0)</f>
        <v>0</v>
      </c>
      <c r="I117" s="16">
        <v>1</v>
      </c>
      <c r="J117" s="16">
        <f>((H117*I117)*AND(G117=1)*AND(F117=1))</f>
        <v>0</v>
      </c>
      <c r="K117" s="157">
        <v>5</v>
      </c>
      <c r="L117" s="16">
        <f>(J117*K117%)+J117</f>
        <v>0</v>
      </c>
      <c r="M117" s="118" t="s">
        <v>180</v>
      </c>
      <c r="N117" s="211" t="s">
        <v>377</v>
      </c>
      <c r="O117" s="211"/>
      <c r="P117" s="1" t="s">
        <v>103</v>
      </c>
      <c r="Q117" s="190">
        <v>1.46</v>
      </c>
      <c r="R117" s="16">
        <f>(L117*Q117)</f>
        <v>0</v>
      </c>
      <c r="S117" s="35">
        <v>0</v>
      </c>
      <c r="T117" s="35">
        <v>1</v>
      </c>
      <c r="U117" s="16">
        <f>(Q117*S117)</f>
        <v>0</v>
      </c>
      <c r="V117" s="6">
        <f>(R117*T117)</f>
        <v>0</v>
      </c>
      <c r="W117" s="6">
        <f>SUM(U117:V117)</f>
        <v>0</v>
      </c>
      <c r="X117" s="88">
        <f t="shared" si="11"/>
        <v>130</v>
      </c>
      <c r="Y117" s="122" t="e">
        <f>100-((W117*100)/Z117)</f>
        <v>#DIV/0!</v>
      </c>
      <c r="Z117" s="116">
        <f>(W117*X117%)+W117</f>
        <v>0</v>
      </c>
      <c r="AA117" s="158">
        <v>0.36</v>
      </c>
      <c r="AB117" s="159">
        <f>(F117*(H117*AA117))</f>
        <v>0</v>
      </c>
    </row>
    <row r="118" spans="1:28" ht="12.75">
      <c r="A118" s="9">
        <v>150</v>
      </c>
      <c r="B118" s="80">
        <v>2</v>
      </c>
      <c r="C118" s="80" t="s">
        <v>389</v>
      </c>
      <c r="D118" s="80" t="s">
        <v>390</v>
      </c>
      <c r="E118" s="80"/>
      <c r="F118" s="1">
        <f>IF(AND($P$19=A118,$P$22=B118,$P$25=C118,$P$28=D118),1,0)</f>
        <v>0</v>
      </c>
      <c r="G118" s="14">
        <v>1</v>
      </c>
      <c r="H118" s="1">
        <f>IF(AND($P$19=A118,$P$22=B118,$P$25=C118,$P$28=D118),$Q$36,0)</f>
        <v>0</v>
      </c>
      <c r="I118" s="16">
        <v>1</v>
      </c>
      <c r="J118" s="16">
        <f t="shared" si="3"/>
        <v>0</v>
      </c>
      <c r="K118" s="157">
        <v>5</v>
      </c>
      <c r="L118" s="16">
        <f t="shared" si="4"/>
        <v>0</v>
      </c>
      <c r="M118" s="118" t="s">
        <v>369</v>
      </c>
      <c r="N118" s="118" t="s">
        <v>332</v>
      </c>
      <c r="O118" s="118"/>
      <c r="P118" s="1" t="s">
        <v>103</v>
      </c>
      <c r="Q118" s="190">
        <v>2.7</v>
      </c>
      <c r="R118" s="16">
        <f t="shared" si="5"/>
        <v>0</v>
      </c>
      <c r="S118" s="35">
        <v>0</v>
      </c>
      <c r="T118" s="35">
        <v>1</v>
      </c>
      <c r="U118" s="16">
        <f t="shared" si="12"/>
        <v>0</v>
      </c>
      <c r="V118" s="6">
        <f t="shared" si="13"/>
        <v>0</v>
      </c>
      <c r="W118" s="6">
        <f t="shared" si="7"/>
        <v>0</v>
      </c>
      <c r="X118" s="88">
        <f t="shared" si="11"/>
        <v>130</v>
      </c>
      <c r="Y118" s="122" t="e">
        <f t="shared" si="8"/>
        <v>#DIV/0!</v>
      </c>
      <c r="Z118" s="116">
        <f t="shared" si="9"/>
        <v>0</v>
      </c>
      <c r="AA118" s="158">
        <v>0.36</v>
      </c>
      <c r="AB118" s="159">
        <f t="shared" si="10"/>
        <v>0</v>
      </c>
    </row>
    <row r="119" spans="1:28" ht="12.75">
      <c r="A119" s="9">
        <v>150</v>
      </c>
      <c r="B119" s="80">
        <v>2</v>
      </c>
      <c r="C119" s="80" t="s">
        <v>389</v>
      </c>
      <c r="D119" s="80" t="s">
        <v>390</v>
      </c>
      <c r="E119" s="80"/>
      <c r="F119" s="1">
        <f>IF(AND($Q$19=A119,$Q$22=B119,$Q$25=C119,$Q$28=D119),1,0)</f>
        <v>0</v>
      </c>
      <c r="G119" s="14">
        <v>1</v>
      </c>
      <c r="H119" s="1">
        <f>IF(AND($Q$19=A119,$Q$22=B119,$Q$25=C119,$Q$28=D119),$R$36,0)</f>
        <v>0</v>
      </c>
      <c r="I119" s="16">
        <v>1</v>
      </c>
      <c r="J119" s="16">
        <f t="shared" si="3"/>
        <v>0</v>
      </c>
      <c r="K119" s="157">
        <v>5</v>
      </c>
      <c r="L119" s="16">
        <f t="shared" si="4"/>
        <v>0</v>
      </c>
      <c r="M119" s="118" t="s">
        <v>369</v>
      </c>
      <c r="N119" s="118" t="s">
        <v>407</v>
      </c>
      <c r="O119" s="118"/>
      <c r="P119" s="1" t="s">
        <v>103</v>
      </c>
      <c r="Q119" s="190">
        <v>2.7</v>
      </c>
      <c r="R119" s="16">
        <f t="shared" si="5"/>
        <v>0</v>
      </c>
      <c r="S119" s="35">
        <v>0</v>
      </c>
      <c r="T119" s="35">
        <v>1</v>
      </c>
      <c r="U119" s="16">
        <f t="shared" si="12"/>
        <v>0</v>
      </c>
      <c r="V119" s="6">
        <f t="shared" si="13"/>
        <v>0</v>
      </c>
      <c r="W119" s="6">
        <f t="shared" si="7"/>
        <v>0</v>
      </c>
      <c r="X119" s="88">
        <f t="shared" si="11"/>
        <v>130</v>
      </c>
      <c r="Y119" s="122" t="e">
        <f t="shared" si="8"/>
        <v>#DIV/0!</v>
      </c>
      <c r="Z119" s="116">
        <f t="shared" si="9"/>
        <v>0</v>
      </c>
      <c r="AA119" s="158">
        <v>0.36</v>
      </c>
      <c r="AB119" s="159">
        <f t="shared" si="10"/>
        <v>0</v>
      </c>
    </row>
    <row r="120" spans="1:28" ht="12.75">
      <c r="A120" s="211">
        <v>150</v>
      </c>
      <c r="B120" s="212">
        <v>2</v>
      </c>
      <c r="C120" s="212" t="s">
        <v>154</v>
      </c>
      <c r="D120" s="212" t="s">
        <v>391</v>
      </c>
      <c r="E120" s="80"/>
      <c r="F120" s="1">
        <f>IF(AND($P$19=A120,$P$22=B120,$P$25=C120,$P$28=D120),1,0)</f>
        <v>0</v>
      </c>
      <c r="G120" s="14">
        <v>1</v>
      </c>
      <c r="H120" s="1">
        <f>IF(AND($P$19=A120,$P$22=B120,$P$25=C120,$P$28=D120),$Q$36,0)</f>
        <v>0</v>
      </c>
      <c r="I120" s="16">
        <v>1</v>
      </c>
      <c r="J120" s="16">
        <f>((H120*I120)*AND(G120=1)*AND(F120=1))</f>
        <v>0</v>
      </c>
      <c r="K120" s="157">
        <v>5</v>
      </c>
      <c r="L120" s="16">
        <f>(J120*K120%)+J120</f>
        <v>0</v>
      </c>
      <c r="M120" s="118" t="s">
        <v>180</v>
      </c>
      <c r="N120" s="211" t="s">
        <v>349</v>
      </c>
      <c r="O120" s="211"/>
      <c r="P120" s="1" t="s">
        <v>103</v>
      </c>
      <c r="Q120" s="190">
        <v>2.06</v>
      </c>
      <c r="R120" s="16">
        <f>(L120*Q120)</f>
        <v>0</v>
      </c>
      <c r="S120" s="35">
        <v>0</v>
      </c>
      <c r="T120" s="35">
        <v>1</v>
      </c>
      <c r="U120" s="16">
        <f t="shared" ref="U120:V123" si="14">(Q120*S120)</f>
        <v>0</v>
      </c>
      <c r="V120" s="6">
        <f t="shared" si="14"/>
        <v>0</v>
      </c>
      <c r="W120" s="6">
        <f>SUM(U120:V120)</f>
        <v>0</v>
      </c>
      <c r="X120" s="88">
        <f t="shared" si="11"/>
        <v>130</v>
      </c>
      <c r="Y120" s="122" t="e">
        <f>100-((W120*100)/Z120)</f>
        <v>#DIV/0!</v>
      </c>
      <c r="Z120" s="116">
        <f>(W120*X120%)+W120</f>
        <v>0</v>
      </c>
      <c r="AA120" s="158">
        <v>0.36</v>
      </c>
      <c r="AB120" s="159">
        <f>(F120*(H120*AA120))</f>
        <v>0</v>
      </c>
    </row>
    <row r="121" spans="1:28" ht="12.75">
      <c r="A121" s="211">
        <v>150</v>
      </c>
      <c r="B121" s="212">
        <v>2</v>
      </c>
      <c r="C121" s="212" t="s">
        <v>392</v>
      </c>
      <c r="D121" s="212" t="s">
        <v>391</v>
      </c>
      <c r="E121" s="80"/>
      <c r="F121" s="1">
        <f>IF(AND($Q$19=A121,$Q$22=B121,$Q$25=C121,$Q$28=D121),1,0)</f>
        <v>0</v>
      </c>
      <c r="G121" s="14">
        <v>1</v>
      </c>
      <c r="H121" s="1">
        <f>IF(AND($Q$19=A121,$Q$22=B121,$Q$25=C121,$Q$28=D121),$R$36,0)</f>
        <v>0</v>
      </c>
      <c r="I121" s="16">
        <v>1</v>
      </c>
      <c r="J121" s="16">
        <f>((H121*I121)*AND(G121=1)*AND(F121=1))</f>
        <v>0</v>
      </c>
      <c r="K121" s="157">
        <v>5</v>
      </c>
      <c r="L121" s="16">
        <f>(J121*K121%)+J121</f>
        <v>0</v>
      </c>
      <c r="M121" s="118" t="s">
        <v>180</v>
      </c>
      <c r="N121" s="211" t="s">
        <v>376</v>
      </c>
      <c r="O121" s="211"/>
      <c r="P121" s="1" t="s">
        <v>103</v>
      </c>
      <c r="Q121" s="190">
        <v>2.06</v>
      </c>
      <c r="R121" s="16">
        <f>(L121*Q121)</f>
        <v>0</v>
      </c>
      <c r="S121" s="35">
        <v>0</v>
      </c>
      <c r="T121" s="35">
        <v>1</v>
      </c>
      <c r="U121" s="16">
        <f t="shared" si="14"/>
        <v>0</v>
      </c>
      <c r="V121" s="6">
        <f t="shared" si="14"/>
        <v>0</v>
      </c>
      <c r="W121" s="6">
        <f>SUM(U121:V121)</f>
        <v>0</v>
      </c>
      <c r="X121" s="88">
        <f t="shared" si="11"/>
        <v>130</v>
      </c>
      <c r="Y121" s="122" t="e">
        <f>100-((W121*100)/Z121)</f>
        <v>#DIV/0!</v>
      </c>
      <c r="Z121" s="116">
        <f>(W121*X121%)+W121</f>
        <v>0</v>
      </c>
      <c r="AA121" s="158">
        <v>0.36</v>
      </c>
      <c r="AB121" s="159">
        <f>(F121*(H121*AA121))</f>
        <v>0</v>
      </c>
    </row>
    <row r="122" spans="1:28" ht="12.75">
      <c r="A122" s="161">
        <v>150</v>
      </c>
      <c r="B122" s="14">
        <v>2</v>
      </c>
      <c r="C122" s="14" t="s">
        <v>393</v>
      </c>
      <c r="D122" s="14" t="s">
        <v>394</v>
      </c>
      <c r="E122" s="80"/>
      <c r="F122" s="1">
        <f>IF(AND($P$19=A122,$P$22=B122,$P$25=C122,$P$28=D122),1,0)</f>
        <v>0</v>
      </c>
      <c r="G122" s="14">
        <v>1</v>
      </c>
      <c r="H122" s="1">
        <f>IF(AND($P$19=A122,$P$22=B122,$P$25=C122,$P$28=D122),$Q$36,0)</f>
        <v>0</v>
      </c>
      <c r="I122" s="16">
        <v>1</v>
      </c>
      <c r="J122" s="16">
        <f>((H122*I122)*AND(G122=1)*AND(F122=1))</f>
        <v>0</v>
      </c>
      <c r="K122" s="157">
        <v>5</v>
      </c>
      <c r="L122" s="16">
        <f>(J122*K122%)+J122</f>
        <v>0</v>
      </c>
      <c r="M122" s="118" t="s">
        <v>340</v>
      </c>
      <c r="N122" s="161" t="s">
        <v>219</v>
      </c>
      <c r="O122" s="161"/>
      <c r="P122" s="1" t="s">
        <v>103</v>
      </c>
      <c r="Q122" s="157">
        <v>0</v>
      </c>
      <c r="R122" s="16">
        <f>(L122*Q122)</f>
        <v>0</v>
      </c>
      <c r="S122" s="35">
        <v>0</v>
      </c>
      <c r="T122" s="35">
        <v>1</v>
      </c>
      <c r="U122" s="16">
        <f t="shared" si="14"/>
        <v>0</v>
      </c>
      <c r="V122" s="6">
        <f t="shared" si="14"/>
        <v>0</v>
      </c>
      <c r="W122" s="6">
        <f>SUM(U122:V122)</f>
        <v>0</v>
      </c>
      <c r="X122" s="88">
        <f t="shared" si="11"/>
        <v>130</v>
      </c>
      <c r="Y122" s="122" t="e">
        <f>100-((W122*100)/Z122)</f>
        <v>#DIV/0!</v>
      </c>
      <c r="Z122" s="116">
        <f>(W122*X122%)+W122</f>
        <v>0</v>
      </c>
      <c r="AA122" s="158">
        <v>1.1000000000000001</v>
      </c>
      <c r="AB122" s="159">
        <f>(F122*(H122*AA122))</f>
        <v>0</v>
      </c>
    </row>
    <row r="123" spans="1:28" ht="12.75">
      <c r="A123" s="161">
        <v>150</v>
      </c>
      <c r="B123" s="14">
        <v>2</v>
      </c>
      <c r="C123" s="14" t="s">
        <v>393</v>
      </c>
      <c r="D123" s="14" t="s">
        <v>394</v>
      </c>
      <c r="E123" s="80"/>
      <c r="F123" s="1">
        <f>IF(AND($Q$19=A123,$Q$22=B123,$Q$25=C123,$Q$28=D123),1,0)</f>
        <v>0</v>
      </c>
      <c r="G123" s="14">
        <v>1</v>
      </c>
      <c r="H123" s="1">
        <f>IF(AND($Q$19=A123,$Q$22=B123,$Q$25=C123,$Q$28=D123),$R$36,0)</f>
        <v>0</v>
      </c>
      <c r="I123" s="16">
        <v>1</v>
      </c>
      <c r="J123" s="16">
        <f>((H123*I123)*AND(G123=1)*AND(F123=1))</f>
        <v>0</v>
      </c>
      <c r="K123" s="157">
        <v>5</v>
      </c>
      <c r="L123" s="16">
        <f>(J123*K123%)+J123</f>
        <v>0</v>
      </c>
      <c r="M123" s="118" t="s">
        <v>340</v>
      </c>
      <c r="N123" s="161" t="s">
        <v>45</v>
      </c>
      <c r="O123" s="161"/>
      <c r="P123" s="1" t="s">
        <v>103</v>
      </c>
      <c r="Q123" s="157">
        <v>0</v>
      </c>
      <c r="R123" s="16">
        <f>(L123*Q123)</f>
        <v>0</v>
      </c>
      <c r="S123" s="35">
        <v>0</v>
      </c>
      <c r="T123" s="35">
        <v>1</v>
      </c>
      <c r="U123" s="16">
        <f t="shared" si="14"/>
        <v>0</v>
      </c>
      <c r="V123" s="6">
        <f t="shared" si="14"/>
        <v>0</v>
      </c>
      <c r="W123" s="6">
        <f>SUM(U123:V123)</f>
        <v>0</v>
      </c>
      <c r="X123" s="88">
        <f t="shared" si="11"/>
        <v>130</v>
      </c>
      <c r="Y123" s="122" t="e">
        <f>100-((W123*100)/Z123)</f>
        <v>#DIV/0!</v>
      </c>
      <c r="Z123" s="116">
        <f>(W123*X123%)+W123</f>
        <v>0</v>
      </c>
      <c r="AA123" s="158">
        <v>1.1000000000000001</v>
      </c>
      <c r="AB123" s="159">
        <f>(F123*(H123*AA123))</f>
        <v>0</v>
      </c>
    </row>
    <row r="124" spans="1:28" ht="12.75">
      <c r="A124" s="9">
        <v>150</v>
      </c>
      <c r="B124" s="80">
        <v>3</v>
      </c>
      <c r="C124" s="80" t="s">
        <v>389</v>
      </c>
      <c r="D124" s="80" t="s">
        <v>395</v>
      </c>
      <c r="E124" s="80"/>
      <c r="F124" s="1">
        <f>IF(AND($P$19=A124,$P$22=B124,$P$25=C124,$P$28=D124),1,0)</f>
        <v>0</v>
      </c>
      <c r="G124" s="14">
        <v>1</v>
      </c>
      <c r="H124" s="1">
        <f>IF(AND($P$19=A124,$P$22=B124,$P$25=C124,$P$28=D124),$Q$36,0)</f>
        <v>0</v>
      </c>
      <c r="I124" s="16">
        <v>1</v>
      </c>
      <c r="J124" s="16">
        <f t="shared" si="3"/>
        <v>0</v>
      </c>
      <c r="K124" s="157">
        <v>5</v>
      </c>
      <c r="L124" s="16">
        <f t="shared" si="4"/>
        <v>0</v>
      </c>
      <c r="M124" s="118" t="s">
        <v>288</v>
      </c>
      <c r="N124" s="118" t="s">
        <v>173</v>
      </c>
      <c r="O124" s="118"/>
      <c r="P124" s="1" t="s">
        <v>103</v>
      </c>
      <c r="Q124" s="190">
        <v>3.8</v>
      </c>
      <c r="R124" s="16">
        <f t="shared" si="5"/>
        <v>0</v>
      </c>
      <c r="S124" s="35">
        <v>0</v>
      </c>
      <c r="T124" s="35">
        <v>1</v>
      </c>
      <c r="U124" s="16">
        <f t="shared" si="12"/>
        <v>0</v>
      </c>
      <c r="V124" s="6">
        <f t="shared" si="13"/>
        <v>0</v>
      </c>
      <c r="W124" s="6">
        <f t="shared" si="7"/>
        <v>0</v>
      </c>
      <c r="X124" s="88">
        <f t="shared" si="11"/>
        <v>130</v>
      </c>
      <c r="Y124" s="122" t="e">
        <f t="shared" si="8"/>
        <v>#DIV/0!</v>
      </c>
      <c r="Z124" s="116">
        <f t="shared" si="9"/>
        <v>0</v>
      </c>
      <c r="AA124" s="158">
        <v>0.54</v>
      </c>
      <c r="AB124" s="159">
        <f t="shared" si="10"/>
        <v>0</v>
      </c>
    </row>
    <row r="125" spans="1:28" ht="12.75">
      <c r="A125" s="9">
        <v>150</v>
      </c>
      <c r="B125" s="80">
        <v>3</v>
      </c>
      <c r="C125" s="80" t="s">
        <v>389</v>
      </c>
      <c r="D125" s="80" t="s">
        <v>395</v>
      </c>
      <c r="E125" s="80"/>
      <c r="F125" s="1">
        <f>IF(AND($Q$19=A125,$Q$22=B125,$Q$25=C125,$Q$28=D125),1,0)</f>
        <v>0</v>
      </c>
      <c r="G125" s="14">
        <v>1</v>
      </c>
      <c r="H125" s="1">
        <f>IF(AND($Q$19=A125,$Q$22=B125,$Q$25=C125,$Q$28=D125),$R$36,0)</f>
        <v>0</v>
      </c>
      <c r="I125" s="16">
        <v>1</v>
      </c>
      <c r="J125" s="16">
        <f t="shared" si="3"/>
        <v>0</v>
      </c>
      <c r="K125" s="157">
        <v>5</v>
      </c>
      <c r="L125" s="16">
        <f t="shared" si="4"/>
        <v>0</v>
      </c>
      <c r="M125" s="118" t="s">
        <v>288</v>
      </c>
      <c r="N125" s="118" t="s">
        <v>225</v>
      </c>
      <c r="O125" s="118"/>
      <c r="P125" s="1" t="s">
        <v>103</v>
      </c>
      <c r="Q125" s="190">
        <v>3.8</v>
      </c>
      <c r="R125" s="16">
        <f t="shared" si="5"/>
        <v>0</v>
      </c>
      <c r="S125" s="35">
        <v>0</v>
      </c>
      <c r="T125" s="35">
        <v>1</v>
      </c>
      <c r="U125" s="16">
        <f t="shared" si="12"/>
        <v>0</v>
      </c>
      <c r="V125" s="6">
        <f t="shared" si="13"/>
        <v>0</v>
      </c>
      <c r="W125" s="6">
        <f t="shared" si="7"/>
        <v>0</v>
      </c>
      <c r="X125" s="88">
        <f t="shared" si="11"/>
        <v>130</v>
      </c>
      <c r="Y125" s="122" t="e">
        <f t="shared" si="8"/>
        <v>#DIV/0!</v>
      </c>
      <c r="Z125" s="116">
        <f t="shared" si="9"/>
        <v>0</v>
      </c>
      <c r="AA125" s="158">
        <v>0.54</v>
      </c>
      <c r="AB125" s="159">
        <f t="shared" si="10"/>
        <v>0</v>
      </c>
    </row>
    <row r="126" spans="1:28" ht="12.75">
      <c r="A126" s="9">
        <v>200</v>
      </c>
      <c r="B126" s="80">
        <v>2</v>
      </c>
      <c r="C126" s="80" t="s">
        <v>389</v>
      </c>
      <c r="D126" s="80" t="s">
        <v>395</v>
      </c>
      <c r="E126" s="80"/>
      <c r="F126" s="1">
        <f>IF(AND($P$19=A126,$P$22=B126,$P$25=C126,$P$28=D126),1,0)</f>
        <v>0</v>
      </c>
      <c r="G126" s="14">
        <v>1</v>
      </c>
      <c r="H126" s="1">
        <f>IF(AND($P$19=A126,$P$22=B126,$P$25=C126,$P$28=D126),$Q$36,0)</f>
        <v>0</v>
      </c>
      <c r="I126" s="16">
        <v>1</v>
      </c>
      <c r="J126" s="16">
        <f t="shared" si="3"/>
        <v>0</v>
      </c>
      <c r="K126" s="157">
        <v>5</v>
      </c>
      <c r="L126" s="16">
        <f t="shared" si="4"/>
        <v>0</v>
      </c>
      <c r="M126" s="118" t="s">
        <v>287</v>
      </c>
      <c r="N126" s="118" t="s">
        <v>371</v>
      </c>
      <c r="O126" s="118"/>
      <c r="P126" s="1" t="s">
        <v>103</v>
      </c>
      <c r="Q126" s="190">
        <v>3.8</v>
      </c>
      <c r="R126" s="16">
        <f t="shared" si="5"/>
        <v>0</v>
      </c>
      <c r="S126" s="35">
        <v>0</v>
      </c>
      <c r="T126" s="35">
        <v>1</v>
      </c>
      <c r="U126" s="16">
        <f t="shared" si="12"/>
        <v>0</v>
      </c>
      <c r="V126" s="6">
        <f t="shared" si="13"/>
        <v>0</v>
      </c>
      <c r="W126" s="6">
        <f t="shared" si="7"/>
        <v>0</v>
      </c>
      <c r="X126" s="88">
        <f t="shared" si="11"/>
        <v>130</v>
      </c>
      <c r="Y126" s="122" t="e">
        <f t="shared" si="8"/>
        <v>#DIV/0!</v>
      </c>
      <c r="Z126" s="116">
        <f t="shared" si="9"/>
        <v>0</v>
      </c>
      <c r="AA126" s="158">
        <v>0.48</v>
      </c>
      <c r="AB126" s="159">
        <f t="shared" si="10"/>
        <v>0</v>
      </c>
    </row>
    <row r="127" spans="1:28" ht="12.75">
      <c r="A127" s="9">
        <v>200</v>
      </c>
      <c r="B127" s="80">
        <v>2</v>
      </c>
      <c r="C127" s="80" t="s">
        <v>389</v>
      </c>
      <c r="D127" s="80" t="s">
        <v>395</v>
      </c>
      <c r="E127" s="80"/>
      <c r="F127" s="1">
        <f>IF(AND($Q$19=A127,$Q$22=B127,$Q$25=C127,$Q$28=D127),1,0)</f>
        <v>0</v>
      </c>
      <c r="G127" s="14">
        <v>1</v>
      </c>
      <c r="H127" s="1">
        <f>IF(AND($Q$19=A127,$Q$22=B127,$Q$25=C127,$Q$28=D127),$R$36,0)</f>
        <v>0</v>
      </c>
      <c r="I127" s="16">
        <v>1</v>
      </c>
      <c r="J127" s="16">
        <f t="shared" si="3"/>
        <v>0</v>
      </c>
      <c r="K127" s="157">
        <v>5</v>
      </c>
      <c r="L127" s="16">
        <f t="shared" si="4"/>
        <v>0</v>
      </c>
      <c r="M127" s="118" t="s">
        <v>287</v>
      </c>
      <c r="N127" s="118" t="s">
        <v>269</v>
      </c>
      <c r="O127" s="118"/>
      <c r="P127" s="1" t="s">
        <v>103</v>
      </c>
      <c r="Q127" s="190">
        <v>3.8</v>
      </c>
      <c r="R127" s="16">
        <f t="shared" si="5"/>
        <v>0</v>
      </c>
      <c r="S127" s="35">
        <v>0</v>
      </c>
      <c r="T127" s="35">
        <v>1</v>
      </c>
      <c r="U127" s="16">
        <f t="shared" si="12"/>
        <v>0</v>
      </c>
      <c r="V127" s="6">
        <f t="shared" si="13"/>
        <v>0</v>
      </c>
      <c r="W127" s="6">
        <f t="shared" si="7"/>
        <v>0</v>
      </c>
      <c r="X127" s="88">
        <f t="shared" si="11"/>
        <v>130</v>
      </c>
      <c r="Y127" s="122" t="e">
        <f t="shared" si="8"/>
        <v>#DIV/0!</v>
      </c>
      <c r="Z127" s="116">
        <f t="shared" si="9"/>
        <v>0</v>
      </c>
      <c r="AA127" s="158">
        <v>0.48</v>
      </c>
      <c r="AB127" s="159">
        <f t="shared" si="10"/>
        <v>0</v>
      </c>
    </row>
    <row r="128" spans="1:28" ht="12.75">
      <c r="A128" s="211">
        <v>200</v>
      </c>
      <c r="B128" s="212">
        <v>2</v>
      </c>
      <c r="C128" s="212" t="s">
        <v>392</v>
      </c>
      <c r="D128" s="212" t="s">
        <v>391</v>
      </c>
      <c r="E128" s="80"/>
      <c r="F128" s="1">
        <f>IF(AND($P$19=A128,$P$22=B128,$P$25=C128,$P$28=D128),1,0)</f>
        <v>0</v>
      </c>
      <c r="G128" s="14">
        <v>1</v>
      </c>
      <c r="H128" s="1">
        <f>IF(AND($P$19=A128,$P$22=B128,$P$25=C128,$P$28=D128),$Q$36,0)</f>
        <v>0</v>
      </c>
      <c r="I128" s="16">
        <v>1</v>
      </c>
      <c r="J128" s="16">
        <f t="shared" si="3"/>
        <v>0</v>
      </c>
      <c r="K128" s="157">
        <v>5</v>
      </c>
      <c r="L128" s="16">
        <f t="shared" si="4"/>
        <v>0</v>
      </c>
      <c r="M128" s="118" t="s">
        <v>180</v>
      </c>
      <c r="N128" s="211" t="s">
        <v>362</v>
      </c>
      <c r="O128" s="211"/>
      <c r="P128" s="1" t="s">
        <v>103</v>
      </c>
      <c r="Q128" s="190">
        <v>3.17</v>
      </c>
      <c r="R128" s="16">
        <f t="shared" si="5"/>
        <v>0</v>
      </c>
      <c r="S128" s="35">
        <v>0</v>
      </c>
      <c r="T128" s="35">
        <v>1</v>
      </c>
      <c r="U128" s="16">
        <f t="shared" si="12"/>
        <v>0</v>
      </c>
      <c r="V128" s="6">
        <f t="shared" si="13"/>
        <v>0</v>
      </c>
      <c r="W128" s="6">
        <f t="shared" si="7"/>
        <v>0</v>
      </c>
      <c r="X128" s="88">
        <f t="shared" si="11"/>
        <v>130</v>
      </c>
      <c r="Y128" s="122" t="e">
        <f t="shared" si="8"/>
        <v>#DIV/0!</v>
      </c>
      <c r="Z128" s="116">
        <f t="shared" si="9"/>
        <v>0</v>
      </c>
      <c r="AA128" s="158">
        <v>0.48</v>
      </c>
      <c r="AB128" s="159">
        <f t="shared" si="10"/>
        <v>0</v>
      </c>
    </row>
    <row r="129" spans="1:28" ht="12.75">
      <c r="A129" s="211">
        <v>200</v>
      </c>
      <c r="B129" s="212">
        <v>2</v>
      </c>
      <c r="C129" s="212" t="s">
        <v>389</v>
      </c>
      <c r="D129" s="212" t="s">
        <v>391</v>
      </c>
      <c r="E129" s="80"/>
      <c r="F129" s="1">
        <f>IF(AND($Q$19=A129,$Q$22=B129,$Q$25=C129,$Q$28=D129),1,0)</f>
        <v>0</v>
      </c>
      <c r="G129" s="14">
        <v>1</v>
      </c>
      <c r="H129" s="1">
        <f>IF(AND($Q$19=A129,$Q$22=B129,$Q$25=C129,$Q$28=D129),$R$36,0)</f>
        <v>0</v>
      </c>
      <c r="I129" s="16">
        <v>1</v>
      </c>
      <c r="J129" s="16">
        <f t="shared" si="3"/>
        <v>0</v>
      </c>
      <c r="K129" s="157">
        <v>5</v>
      </c>
      <c r="L129" s="16">
        <f t="shared" si="4"/>
        <v>0</v>
      </c>
      <c r="M129" s="118" t="s">
        <v>180</v>
      </c>
      <c r="N129" s="211" t="s">
        <v>363</v>
      </c>
      <c r="O129" s="211"/>
      <c r="P129" s="1" t="s">
        <v>103</v>
      </c>
      <c r="Q129" s="190">
        <v>3.17</v>
      </c>
      <c r="R129" s="16">
        <f t="shared" si="5"/>
        <v>0</v>
      </c>
      <c r="S129" s="35">
        <v>0</v>
      </c>
      <c r="T129" s="35">
        <v>1</v>
      </c>
      <c r="U129" s="16">
        <f t="shared" si="12"/>
        <v>0</v>
      </c>
      <c r="V129" s="6">
        <f t="shared" si="13"/>
        <v>0</v>
      </c>
      <c r="W129" s="6">
        <f t="shared" si="7"/>
        <v>0</v>
      </c>
      <c r="X129" s="88">
        <f t="shared" si="11"/>
        <v>130</v>
      </c>
      <c r="Y129" s="122" t="e">
        <f t="shared" si="8"/>
        <v>#DIV/0!</v>
      </c>
      <c r="Z129" s="116">
        <f t="shared" si="9"/>
        <v>0</v>
      </c>
      <c r="AA129" s="158">
        <v>0.48</v>
      </c>
      <c r="AB129" s="159">
        <f t="shared" si="10"/>
        <v>0</v>
      </c>
    </row>
    <row r="130" spans="1:28" ht="12.75">
      <c r="A130" s="161">
        <v>200</v>
      </c>
      <c r="B130" s="14">
        <v>2</v>
      </c>
      <c r="C130" s="14" t="s">
        <v>396</v>
      </c>
      <c r="D130" s="14" t="s">
        <v>394</v>
      </c>
      <c r="E130" s="80"/>
      <c r="F130" s="1">
        <f>IF(AND($P$19=A130,$P$22=B130,$P$25=C130,$P$28=D130),1,0)</f>
        <v>0</v>
      </c>
      <c r="G130" s="14">
        <v>1</v>
      </c>
      <c r="H130" s="1">
        <f>IF(AND($P$19=A130,$P$22=B130,$P$25=C130,$P$28=D130),$Q$36,0)</f>
        <v>0</v>
      </c>
      <c r="I130" s="16">
        <v>1</v>
      </c>
      <c r="J130" s="16">
        <f>((H130*I130)*AND(G130=1)*AND(F130=1))</f>
        <v>0</v>
      </c>
      <c r="K130" s="157">
        <v>5</v>
      </c>
      <c r="L130" s="16">
        <f>(J130*K130%)+J130</f>
        <v>0</v>
      </c>
      <c r="M130" s="118" t="s">
        <v>340</v>
      </c>
      <c r="N130" s="161" t="s">
        <v>219</v>
      </c>
      <c r="O130" s="161"/>
      <c r="P130" s="1" t="s">
        <v>103</v>
      </c>
      <c r="Q130" s="157">
        <v>0</v>
      </c>
      <c r="R130" s="16">
        <f>(L130*Q130)</f>
        <v>0</v>
      </c>
      <c r="S130" s="35">
        <v>0</v>
      </c>
      <c r="T130" s="35">
        <v>1</v>
      </c>
      <c r="U130" s="16">
        <f>(Q130*S130)</f>
        <v>0</v>
      </c>
      <c r="V130" s="6">
        <f>(R130*T130)</f>
        <v>0</v>
      </c>
      <c r="W130" s="6">
        <f>SUM(U130:V130)</f>
        <v>0</v>
      </c>
      <c r="X130" s="88">
        <f t="shared" si="11"/>
        <v>130</v>
      </c>
      <c r="Y130" s="122" t="e">
        <f>100-((W130*100)/Z130)</f>
        <v>#DIV/0!</v>
      </c>
      <c r="Z130" s="116">
        <f>(W130*X130%)+W130</f>
        <v>0</v>
      </c>
      <c r="AA130" s="158">
        <v>1.1000000000000001</v>
      </c>
      <c r="AB130" s="159">
        <f>(F130*(H130*AA130))</f>
        <v>0</v>
      </c>
    </row>
    <row r="131" spans="1:28" ht="12.75">
      <c r="A131" s="161">
        <v>200</v>
      </c>
      <c r="B131" s="14">
        <v>2</v>
      </c>
      <c r="C131" s="14" t="s">
        <v>396</v>
      </c>
      <c r="D131" s="14" t="s">
        <v>394</v>
      </c>
      <c r="E131" s="80"/>
      <c r="F131" s="1">
        <f>IF(AND($Q$19=A131,$Q$22=B131,$Q$25=C131,$Q$28=D131),1,0)</f>
        <v>0</v>
      </c>
      <c r="G131" s="14">
        <v>1</v>
      </c>
      <c r="H131" s="1">
        <f>IF(AND($Q$19=A131,$Q$22=B131,$Q$25=C131,$Q$28=D131),$R$36,0)</f>
        <v>0</v>
      </c>
      <c r="I131" s="16">
        <v>1</v>
      </c>
      <c r="J131" s="16">
        <f>((H131*I131)*AND(G131=1)*AND(F131=1))</f>
        <v>0</v>
      </c>
      <c r="K131" s="157">
        <v>5</v>
      </c>
      <c r="L131" s="16">
        <f>(J131*K131%)+J131</f>
        <v>0</v>
      </c>
      <c r="M131" s="118" t="s">
        <v>340</v>
      </c>
      <c r="N131" s="161" t="s">
        <v>45</v>
      </c>
      <c r="O131" s="161"/>
      <c r="P131" s="1" t="s">
        <v>103</v>
      </c>
      <c r="Q131" s="157">
        <v>0</v>
      </c>
      <c r="R131" s="16">
        <f>(L131*Q131)</f>
        <v>0</v>
      </c>
      <c r="S131" s="35">
        <v>0</v>
      </c>
      <c r="T131" s="35">
        <v>1</v>
      </c>
      <c r="U131" s="16">
        <f>(Q131*S131)</f>
        <v>0</v>
      </c>
      <c r="V131" s="6">
        <f>(R131*T131)</f>
        <v>0</v>
      </c>
      <c r="W131" s="6">
        <f>SUM(U131:V131)</f>
        <v>0</v>
      </c>
      <c r="X131" s="88">
        <f t="shared" si="11"/>
        <v>130</v>
      </c>
      <c r="Y131" s="122" t="e">
        <f>100-((W131*100)/Z131)</f>
        <v>#DIV/0!</v>
      </c>
      <c r="Z131" s="116">
        <f>(W131*X131%)+W131</f>
        <v>0</v>
      </c>
      <c r="AA131" s="158">
        <v>1.1000000000000001</v>
      </c>
      <c r="AB131" s="159">
        <f>(F131*(H131*AA131))</f>
        <v>0</v>
      </c>
    </row>
    <row r="132" spans="1:28" ht="12.75">
      <c r="A132" s="9">
        <v>200</v>
      </c>
      <c r="B132" s="80">
        <v>3</v>
      </c>
      <c r="C132" s="80" t="s">
        <v>389</v>
      </c>
      <c r="D132" s="80" t="s">
        <v>395</v>
      </c>
      <c r="E132" s="80"/>
      <c r="F132" s="1">
        <f>IF(AND($P$19=A132,$P$22=B132,$P$25=C132,$P$28=D132),1,0)</f>
        <v>0</v>
      </c>
      <c r="G132" s="14">
        <v>1</v>
      </c>
      <c r="H132" s="1">
        <f>IF(AND($P$19=A132,$P$22=B132,$P$25=C132,$P$28=D132),$Q$36,0)</f>
        <v>0</v>
      </c>
      <c r="I132" s="16">
        <v>1</v>
      </c>
      <c r="J132" s="16">
        <f t="shared" si="3"/>
        <v>0</v>
      </c>
      <c r="K132" s="157">
        <v>5</v>
      </c>
      <c r="L132" s="16">
        <f t="shared" si="4"/>
        <v>0</v>
      </c>
      <c r="M132" s="118" t="s">
        <v>437</v>
      </c>
      <c r="N132" s="118" t="s">
        <v>386</v>
      </c>
      <c r="O132" s="118"/>
      <c r="P132" s="1" t="s">
        <v>103</v>
      </c>
      <c r="Q132" s="190">
        <v>4.9000000000000004</v>
      </c>
      <c r="R132" s="16">
        <f t="shared" si="5"/>
        <v>0</v>
      </c>
      <c r="S132" s="35">
        <v>0</v>
      </c>
      <c r="T132" s="35">
        <v>1</v>
      </c>
      <c r="U132" s="16">
        <f t="shared" si="12"/>
        <v>0</v>
      </c>
      <c r="V132" s="6">
        <f t="shared" si="13"/>
        <v>0</v>
      </c>
      <c r="W132" s="6">
        <f t="shared" si="7"/>
        <v>0</v>
      </c>
      <c r="X132" s="88">
        <f t="shared" si="11"/>
        <v>130</v>
      </c>
      <c r="Y132" s="122" t="e">
        <f t="shared" si="8"/>
        <v>#DIV/0!</v>
      </c>
      <c r="Z132" s="116">
        <f t="shared" si="9"/>
        <v>0</v>
      </c>
      <c r="AA132" s="158">
        <v>0.74</v>
      </c>
      <c r="AB132" s="159">
        <f t="shared" si="10"/>
        <v>0</v>
      </c>
    </row>
    <row r="133" spans="1:28" ht="12.75">
      <c r="A133" s="9">
        <v>200</v>
      </c>
      <c r="B133" s="80">
        <v>3</v>
      </c>
      <c r="C133" s="80" t="s">
        <v>389</v>
      </c>
      <c r="D133" s="80" t="s">
        <v>395</v>
      </c>
      <c r="E133" s="80"/>
      <c r="F133" s="1">
        <f>IF(AND($Q$19=A133,$Q$22=B133,$Q$25=C133,$Q$28=D133),1,0)</f>
        <v>0</v>
      </c>
      <c r="G133" s="14">
        <v>1</v>
      </c>
      <c r="H133" s="1">
        <f>IF(AND($Q$19=A133,$Q$22=B133,$Q$25=C133,$Q$28=D133),$R$36,0)</f>
        <v>0</v>
      </c>
      <c r="I133" s="16">
        <v>1</v>
      </c>
      <c r="J133" s="16">
        <f t="shared" si="3"/>
        <v>0</v>
      </c>
      <c r="K133" s="157">
        <v>5</v>
      </c>
      <c r="L133" s="16">
        <f t="shared" si="4"/>
        <v>0</v>
      </c>
      <c r="M133" s="118" t="s">
        <v>437</v>
      </c>
      <c r="N133" s="118" t="s">
        <v>233</v>
      </c>
      <c r="O133" s="118"/>
      <c r="P133" s="1" t="s">
        <v>103</v>
      </c>
      <c r="Q133" s="190">
        <v>4.9000000000000004</v>
      </c>
      <c r="R133" s="16">
        <f t="shared" si="5"/>
        <v>0</v>
      </c>
      <c r="S133" s="35">
        <v>0</v>
      </c>
      <c r="T133" s="35">
        <v>1</v>
      </c>
      <c r="U133" s="16">
        <f t="shared" si="12"/>
        <v>0</v>
      </c>
      <c r="V133" s="6">
        <f t="shared" si="13"/>
        <v>0</v>
      </c>
      <c r="W133" s="6">
        <f t="shared" si="7"/>
        <v>0</v>
      </c>
      <c r="X133" s="88">
        <f t="shared" si="11"/>
        <v>130</v>
      </c>
      <c r="Y133" s="122" t="e">
        <f t="shared" si="8"/>
        <v>#DIV/0!</v>
      </c>
      <c r="Z133" s="116">
        <f t="shared" si="9"/>
        <v>0</v>
      </c>
      <c r="AA133" s="158">
        <v>0.74</v>
      </c>
      <c r="AB133" s="159">
        <f t="shared" si="10"/>
        <v>0</v>
      </c>
    </row>
    <row r="134" spans="1:28" ht="12.75">
      <c r="A134" s="211">
        <v>200</v>
      </c>
      <c r="B134" s="212">
        <v>3</v>
      </c>
      <c r="C134" s="212" t="s">
        <v>389</v>
      </c>
      <c r="D134" s="212" t="s">
        <v>391</v>
      </c>
      <c r="E134" s="80"/>
      <c r="F134" s="1">
        <f>IF(AND($P$19=A134,$P$22=B134,$P$25=C134,$P$28=D134),1,0)</f>
        <v>0</v>
      </c>
      <c r="G134" s="14">
        <v>1</v>
      </c>
      <c r="H134" s="1">
        <f>IF(AND($P$19=A134,$P$22=B134,$P$25=C134,$P$28=D134),$Q$36,0)</f>
        <v>0</v>
      </c>
      <c r="I134" s="16">
        <v>1</v>
      </c>
      <c r="J134" s="16">
        <f>((H134*I134)*AND(G134=1)*AND(F134=1))</f>
        <v>0</v>
      </c>
      <c r="K134" s="157">
        <v>5</v>
      </c>
      <c r="L134" s="16">
        <f>(J134*K134%)+J134</f>
        <v>0</v>
      </c>
      <c r="M134" s="118" t="s">
        <v>340</v>
      </c>
      <c r="N134" s="211" t="s">
        <v>274</v>
      </c>
      <c r="O134" s="211"/>
      <c r="P134" s="1" t="s">
        <v>103</v>
      </c>
      <c r="Q134" s="190">
        <v>3.85</v>
      </c>
      <c r="R134" s="16">
        <f>(L134*Q134)</f>
        <v>0</v>
      </c>
      <c r="S134" s="35">
        <v>0</v>
      </c>
      <c r="T134" s="35">
        <v>1</v>
      </c>
      <c r="U134" s="16">
        <f t="shared" si="12"/>
        <v>0</v>
      </c>
      <c r="V134" s="6">
        <f t="shared" si="13"/>
        <v>0</v>
      </c>
      <c r="W134" s="6">
        <f>SUM(U134:V134)</f>
        <v>0</v>
      </c>
      <c r="X134" s="88">
        <f t="shared" si="11"/>
        <v>130</v>
      </c>
      <c r="Y134" s="122" t="e">
        <f>100-((W134*100)/Z134)</f>
        <v>#DIV/0!</v>
      </c>
      <c r="Z134" s="116">
        <f>(W134*X134%)+W134</f>
        <v>0</v>
      </c>
      <c r="AA134" s="158">
        <v>1.96</v>
      </c>
      <c r="AB134" s="159">
        <f t="shared" si="10"/>
        <v>0</v>
      </c>
    </row>
    <row r="135" spans="1:28" ht="12.75">
      <c r="A135" s="211">
        <v>200</v>
      </c>
      <c r="B135" s="212">
        <v>3</v>
      </c>
      <c r="C135" s="212" t="s">
        <v>392</v>
      </c>
      <c r="D135" s="212" t="s">
        <v>394</v>
      </c>
      <c r="E135" s="80"/>
      <c r="F135" s="1">
        <f>IF(AND($Q$19=A135,$Q$22=B135,$Q$25=C135,$Q$28=D135),1,0)</f>
        <v>0</v>
      </c>
      <c r="G135" s="14">
        <v>1</v>
      </c>
      <c r="H135" s="1">
        <f>IF(AND($Q$19=A135,$Q$22=B135,$Q$25=C135,$Q$28=D135),$R$36,0)</f>
        <v>0</v>
      </c>
      <c r="I135" s="16">
        <v>1</v>
      </c>
      <c r="J135" s="16">
        <f>((H135*I135)*AND(G135=1)*AND(F135=1))</f>
        <v>0</v>
      </c>
      <c r="K135" s="157">
        <v>5</v>
      </c>
      <c r="L135" s="16">
        <f>(J135*K135%)+J135</f>
        <v>0</v>
      </c>
      <c r="M135" s="118" t="s">
        <v>340</v>
      </c>
      <c r="N135" s="211" t="s">
        <v>8</v>
      </c>
      <c r="O135" s="211"/>
      <c r="P135" s="1" t="s">
        <v>103</v>
      </c>
      <c r="Q135" s="190">
        <v>3.85</v>
      </c>
      <c r="R135" s="16">
        <f>(L135*Q135)</f>
        <v>0</v>
      </c>
      <c r="S135" s="35">
        <v>0</v>
      </c>
      <c r="T135" s="35">
        <v>1</v>
      </c>
      <c r="U135" s="16">
        <f t="shared" si="12"/>
        <v>0</v>
      </c>
      <c r="V135" s="6">
        <f t="shared" si="13"/>
        <v>0</v>
      </c>
      <c r="W135" s="6">
        <f>SUM(U135:V135)</f>
        <v>0</v>
      </c>
      <c r="X135" s="88">
        <f t="shared" si="11"/>
        <v>130</v>
      </c>
      <c r="Y135" s="122" t="e">
        <f>100-((W135*100)/Z135)</f>
        <v>#DIV/0!</v>
      </c>
      <c r="Z135" s="116">
        <f>(W135*X135%)+W135</f>
        <v>0</v>
      </c>
      <c r="AA135" s="158">
        <v>1.96</v>
      </c>
      <c r="AB135" s="159">
        <f t="shared" si="10"/>
        <v>0</v>
      </c>
    </row>
    <row r="136" spans="1:28" ht="12.75">
      <c r="A136" s="9">
        <v>200</v>
      </c>
      <c r="B136" s="80">
        <v>4</v>
      </c>
      <c r="C136" s="80" t="s">
        <v>392</v>
      </c>
      <c r="D136" s="80" t="s">
        <v>390</v>
      </c>
      <c r="E136" s="80"/>
      <c r="F136" s="1">
        <f>IF(AND($P$19=A136,$P$22=B136,$P$25=C136,$P$28=D136),1,0)</f>
        <v>0</v>
      </c>
      <c r="G136" s="14">
        <v>1</v>
      </c>
      <c r="H136" s="1">
        <f>IF(AND($P$19=A136,$P$22=B136,$P$25=C136,$P$28=D136),$Q$36,0)</f>
        <v>0</v>
      </c>
      <c r="I136" s="16">
        <v>1</v>
      </c>
      <c r="J136" s="16">
        <f>((H136*I136)*AND(G136=1)*AND(F136=1))</f>
        <v>0</v>
      </c>
      <c r="K136" s="157">
        <v>5</v>
      </c>
      <c r="L136" s="16">
        <f>(J136*K136%)+J136</f>
        <v>0</v>
      </c>
      <c r="M136" s="118" t="s">
        <v>437</v>
      </c>
      <c r="N136" s="118" t="s">
        <v>234</v>
      </c>
      <c r="O136" s="118"/>
      <c r="P136" s="1" t="s">
        <v>103</v>
      </c>
      <c r="Q136" s="190">
        <v>6.9</v>
      </c>
      <c r="R136" s="16">
        <f>(L136*Q136)</f>
        <v>0</v>
      </c>
      <c r="S136" s="35">
        <v>0</v>
      </c>
      <c r="T136" s="35">
        <v>1</v>
      </c>
      <c r="U136" s="16">
        <f>(Q136*S136)</f>
        <v>0</v>
      </c>
      <c r="V136" s="6">
        <f>(R136*T136)</f>
        <v>0</v>
      </c>
      <c r="W136" s="6">
        <f>SUM(U136:V136)</f>
        <v>0</v>
      </c>
      <c r="X136" s="88">
        <f t="shared" si="11"/>
        <v>130</v>
      </c>
      <c r="Y136" s="122" t="e">
        <f>100-((W136*100)/Z136)</f>
        <v>#DIV/0!</v>
      </c>
      <c r="Z136" s="116">
        <f>(W136*X136%)+W136</f>
        <v>0</v>
      </c>
      <c r="AA136" s="158">
        <v>0.98</v>
      </c>
      <c r="AB136" s="159">
        <f t="shared" si="10"/>
        <v>0</v>
      </c>
    </row>
    <row r="137" spans="1:28" ht="12.75">
      <c r="A137" s="9">
        <v>200</v>
      </c>
      <c r="B137" s="80">
        <v>4</v>
      </c>
      <c r="C137" s="80" t="s">
        <v>392</v>
      </c>
      <c r="D137" s="80" t="s">
        <v>395</v>
      </c>
      <c r="E137" s="80"/>
      <c r="F137" s="1">
        <f>IF(AND($Q$19=A137,$Q$22=B137,$Q$25=C137,$Q$28=D137),1,0)</f>
        <v>0</v>
      </c>
      <c r="G137" s="14">
        <v>1</v>
      </c>
      <c r="H137" s="1">
        <f>IF(AND($Q$19=A137,$Q$22=B137,$Q$25=C137,$Q$28=D137),$R$36,0)</f>
        <v>0</v>
      </c>
      <c r="I137" s="16">
        <v>1</v>
      </c>
      <c r="J137" s="16">
        <f>((H137*I137)*AND(G137=1)*AND(F137=1))</f>
        <v>0</v>
      </c>
      <c r="K137" s="157">
        <v>5</v>
      </c>
      <c r="L137" s="16">
        <f>(J137*K137%)+J137</f>
        <v>0</v>
      </c>
      <c r="M137" s="118" t="s">
        <v>437</v>
      </c>
      <c r="N137" s="118" t="s">
        <v>235</v>
      </c>
      <c r="O137" s="118"/>
      <c r="P137" s="1" t="s">
        <v>103</v>
      </c>
      <c r="Q137" s="190">
        <v>6.9</v>
      </c>
      <c r="R137" s="16">
        <f>(L137*Q137)</f>
        <v>0</v>
      </c>
      <c r="S137" s="35">
        <v>0</v>
      </c>
      <c r="T137" s="35">
        <v>1</v>
      </c>
      <c r="U137" s="16">
        <f>(Q137*S137)</f>
        <v>0</v>
      </c>
      <c r="V137" s="6">
        <f>(R137*T137)</f>
        <v>0</v>
      </c>
      <c r="W137" s="6">
        <f>SUM(U137:V137)</f>
        <v>0</v>
      </c>
      <c r="X137" s="88">
        <f t="shared" si="11"/>
        <v>130</v>
      </c>
      <c r="Y137" s="122" t="e">
        <f>100-((W137*100)/Z137)</f>
        <v>#DIV/0!</v>
      </c>
      <c r="Z137" s="116">
        <f>(W137*X137%)+W137</f>
        <v>0</v>
      </c>
      <c r="AA137" s="158">
        <v>0.98</v>
      </c>
      <c r="AB137" s="159">
        <f t="shared" si="10"/>
        <v>0</v>
      </c>
    </row>
    <row r="138" spans="1:28" ht="12.75">
      <c r="A138" s="9">
        <v>300</v>
      </c>
      <c r="B138" s="80">
        <v>3</v>
      </c>
      <c r="C138" s="80" t="s">
        <v>389</v>
      </c>
      <c r="D138" s="80" t="s">
        <v>395</v>
      </c>
      <c r="E138" s="80"/>
      <c r="F138" s="1">
        <f>IF(AND($P$19=A138,$P$22=B138,$P$25=C138,$P$28=D138),1,0)</f>
        <v>0</v>
      </c>
      <c r="G138" s="14">
        <v>1</v>
      </c>
      <c r="H138" s="1">
        <f>IF(AND($P$19=A138,$P$22=B138,$P$25=C138,$P$28=D138),$Q$36,0)</f>
        <v>0</v>
      </c>
      <c r="I138" s="16">
        <v>1</v>
      </c>
      <c r="J138" s="16">
        <f t="shared" si="3"/>
        <v>0</v>
      </c>
      <c r="K138" s="157">
        <v>5</v>
      </c>
      <c r="L138" s="16">
        <f t="shared" si="4"/>
        <v>0</v>
      </c>
      <c r="M138" s="118" t="s">
        <v>209</v>
      </c>
      <c r="N138" s="118" t="s">
        <v>218</v>
      </c>
      <c r="O138" s="118"/>
      <c r="P138" s="1" t="s">
        <v>103</v>
      </c>
      <c r="Q138" s="190">
        <v>7.12</v>
      </c>
      <c r="R138" s="16">
        <f t="shared" si="5"/>
        <v>0</v>
      </c>
      <c r="S138" s="35">
        <v>0</v>
      </c>
      <c r="T138" s="35">
        <v>1</v>
      </c>
      <c r="U138" s="16">
        <f t="shared" si="12"/>
        <v>0</v>
      </c>
      <c r="V138" s="6">
        <f t="shared" si="13"/>
        <v>0</v>
      </c>
      <c r="W138" s="6">
        <f t="shared" si="7"/>
        <v>0</v>
      </c>
      <c r="X138" s="88">
        <f t="shared" si="11"/>
        <v>130</v>
      </c>
      <c r="Y138" s="122" t="e">
        <f t="shared" si="8"/>
        <v>#DIV/0!</v>
      </c>
      <c r="Z138" s="116">
        <f t="shared" si="9"/>
        <v>0</v>
      </c>
      <c r="AA138" s="158">
        <v>1.1000000000000001</v>
      </c>
      <c r="AB138" s="159">
        <f t="shared" si="10"/>
        <v>0</v>
      </c>
    </row>
    <row r="139" spans="1:28" ht="12.75">
      <c r="A139" s="9">
        <v>300</v>
      </c>
      <c r="B139" s="80">
        <v>3</v>
      </c>
      <c r="C139" s="80" t="s">
        <v>389</v>
      </c>
      <c r="D139" s="80" t="s">
        <v>395</v>
      </c>
      <c r="E139" s="80"/>
      <c r="F139" s="1">
        <f>IF(AND($Q$19=A139,$Q$22=B139,$Q$25=C139,$Q$28=D139),1,0)</f>
        <v>0</v>
      </c>
      <c r="G139" s="14">
        <v>1</v>
      </c>
      <c r="H139" s="1">
        <f>IF(AND($Q$19=A139,$Q$22=B139,$Q$25=C139,$Q$28=D139),$R$36,0)</f>
        <v>0</v>
      </c>
      <c r="I139" s="16">
        <v>1</v>
      </c>
      <c r="J139" s="16">
        <f t="shared" si="3"/>
        <v>0</v>
      </c>
      <c r="K139" s="157">
        <v>5</v>
      </c>
      <c r="L139" s="16">
        <f t="shared" si="4"/>
        <v>0</v>
      </c>
      <c r="M139" s="118" t="s">
        <v>209</v>
      </c>
      <c r="N139" s="118" t="s">
        <v>80</v>
      </c>
      <c r="O139" s="118"/>
      <c r="P139" s="1" t="s">
        <v>103</v>
      </c>
      <c r="Q139" s="190">
        <v>7.12</v>
      </c>
      <c r="R139" s="16">
        <f t="shared" si="5"/>
        <v>0</v>
      </c>
      <c r="S139" s="35">
        <v>0</v>
      </c>
      <c r="T139" s="35">
        <v>1</v>
      </c>
      <c r="U139" s="16">
        <f t="shared" si="12"/>
        <v>0</v>
      </c>
      <c r="V139" s="6">
        <f t="shared" si="13"/>
        <v>0</v>
      </c>
      <c r="W139" s="6">
        <f t="shared" si="7"/>
        <v>0</v>
      </c>
      <c r="X139" s="88">
        <f t="shared" si="11"/>
        <v>130</v>
      </c>
      <c r="Y139" s="122" t="e">
        <f t="shared" si="8"/>
        <v>#DIV/0!</v>
      </c>
      <c r="Z139" s="116">
        <f t="shared" si="9"/>
        <v>0</v>
      </c>
      <c r="AA139" s="158">
        <v>1.1000000000000001</v>
      </c>
      <c r="AB139" s="159">
        <f t="shared" si="10"/>
        <v>0</v>
      </c>
    </row>
    <row r="140" spans="1:28" ht="12.75">
      <c r="A140" s="211">
        <v>300</v>
      </c>
      <c r="B140" s="212">
        <v>3</v>
      </c>
      <c r="C140" s="212" t="s">
        <v>392</v>
      </c>
      <c r="D140" s="212" t="s">
        <v>394</v>
      </c>
      <c r="E140" s="80"/>
      <c r="F140" s="1">
        <f>IF(AND($P$19=A140,$P$22=B140,$P$25=C140,$P$28=D140),1,0)</f>
        <v>1</v>
      </c>
      <c r="G140" s="14">
        <v>1</v>
      </c>
      <c r="H140" s="1">
        <f>IF(AND($P$19=A140,$P$22=B140,$P$25=C140,$P$28=D140),$Q$36,0)</f>
        <v>76.760000000000005</v>
      </c>
      <c r="I140" s="16">
        <v>1</v>
      </c>
      <c r="J140" s="16">
        <f t="shared" si="3"/>
        <v>76.760000000000005</v>
      </c>
      <c r="K140" s="157">
        <v>5</v>
      </c>
      <c r="L140" s="16">
        <f t="shared" si="4"/>
        <v>80.597999999999999</v>
      </c>
      <c r="M140" s="118" t="s">
        <v>340</v>
      </c>
      <c r="N140" s="211" t="s">
        <v>364</v>
      </c>
      <c r="O140" s="211"/>
      <c r="P140" s="1" t="s">
        <v>103</v>
      </c>
      <c r="Q140" s="190">
        <v>5.54</v>
      </c>
      <c r="R140" s="16">
        <f t="shared" si="5"/>
        <v>446.51292000000001</v>
      </c>
      <c r="S140" s="35">
        <v>0</v>
      </c>
      <c r="T140" s="35">
        <v>1</v>
      </c>
      <c r="U140" s="16">
        <f t="shared" si="12"/>
        <v>0</v>
      </c>
      <c r="V140" s="6">
        <f t="shared" si="13"/>
        <v>446.51292000000001</v>
      </c>
      <c r="W140" s="6">
        <f t="shared" si="7"/>
        <v>446.51292000000001</v>
      </c>
      <c r="X140" s="88">
        <f t="shared" si="11"/>
        <v>130</v>
      </c>
      <c r="Y140" s="122">
        <f t="shared" si="8"/>
        <v>56.521739130434781</v>
      </c>
      <c r="Z140" s="116">
        <f t="shared" si="9"/>
        <v>1026.9797160000001</v>
      </c>
      <c r="AA140" s="158">
        <v>1.1000000000000001</v>
      </c>
      <c r="AB140" s="159">
        <f t="shared" si="10"/>
        <v>84.436000000000007</v>
      </c>
    </row>
    <row r="141" spans="1:28" ht="12.75">
      <c r="A141" s="211">
        <v>300</v>
      </c>
      <c r="B141" s="212">
        <v>3</v>
      </c>
      <c r="C141" s="212" t="s">
        <v>389</v>
      </c>
      <c r="D141" s="212" t="s">
        <v>391</v>
      </c>
      <c r="E141" s="80"/>
      <c r="F141" s="1">
        <f>IF(AND($Q$19=A141,$Q$22=B141,$Q$25=C141,$Q$28=D141),1,0)</f>
        <v>0</v>
      </c>
      <c r="G141" s="14">
        <v>1</v>
      </c>
      <c r="H141" s="1">
        <f>IF(AND($Q$19=A141,$Q$22=B141,$Q$25=C141,$Q$28=D141),$R$36,0)</f>
        <v>0</v>
      </c>
      <c r="I141" s="16">
        <v>1</v>
      </c>
      <c r="J141" s="16">
        <f t="shared" si="3"/>
        <v>0</v>
      </c>
      <c r="K141" s="157">
        <v>5</v>
      </c>
      <c r="L141" s="16">
        <f t="shared" si="4"/>
        <v>0</v>
      </c>
      <c r="M141" s="118" t="s">
        <v>340</v>
      </c>
      <c r="N141" s="211" t="s">
        <v>365</v>
      </c>
      <c r="O141" s="211"/>
      <c r="P141" s="1" t="s">
        <v>103</v>
      </c>
      <c r="Q141" s="190">
        <v>5.54</v>
      </c>
      <c r="R141" s="16">
        <f t="shared" si="5"/>
        <v>0</v>
      </c>
      <c r="S141" s="35">
        <v>0</v>
      </c>
      <c r="T141" s="35">
        <v>1</v>
      </c>
      <c r="U141" s="16">
        <f t="shared" si="12"/>
        <v>0</v>
      </c>
      <c r="V141" s="6">
        <f t="shared" si="13"/>
        <v>0</v>
      </c>
      <c r="W141" s="6">
        <f t="shared" si="7"/>
        <v>0</v>
      </c>
      <c r="X141" s="88">
        <f t="shared" si="11"/>
        <v>130</v>
      </c>
      <c r="Y141" s="122" t="e">
        <f t="shared" si="8"/>
        <v>#DIV/0!</v>
      </c>
      <c r="Z141" s="116">
        <f t="shared" si="9"/>
        <v>0</v>
      </c>
      <c r="AA141" s="158">
        <v>1.1000000000000001</v>
      </c>
      <c r="AB141" s="159">
        <f t="shared" si="10"/>
        <v>0</v>
      </c>
    </row>
    <row r="142" spans="1:28" ht="12.75">
      <c r="A142" s="161">
        <v>300</v>
      </c>
      <c r="B142" s="14">
        <v>3</v>
      </c>
      <c r="C142" s="14" t="s">
        <v>396</v>
      </c>
      <c r="D142" s="14" t="s">
        <v>394</v>
      </c>
      <c r="E142" s="80"/>
      <c r="F142" s="1">
        <f>IF(AND($P$19=A142,$P$22=B142,$P$25=C142,$P$28=D142),1,0)</f>
        <v>0</v>
      </c>
      <c r="G142" s="14">
        <v>1</v>
      </c>
      <c r="H142" s="1">
        <f>IF(AND($P$19=A142,$P$22=B142,$P$25=C142,$P$28=D142),$Q$36,0)</f>
        <v>0</v>
      </c>
      <c r="I142" s="16">
        <v>1</v>
      </c>
      <c r="J142" s="16">
        <f t="shared" ref="J142:J147" si="15">((H142*I142)*AND(G142=1)*AND(F142=1))</f>
        <v>0</v>
      </c>
      <c r="K142" s="157">
        <v>5</v>
      </c>
      <c r="L142" s="16">
        <f t="shared" ref="L142:L147" si="16">(J142*K142%)+J142</f>
        <v>0</v>
      </c>
      <c r="M142" s="118" t="s">
        <v>340</v>
      </c>
      <c r="N142" s="161" t="s">
        <v>219</v>
      </c>
      <c r="O142" s="161"/>
      <c r="P142" s="1" t="s">
        <v>103</v>
      </c>
      <c r="Q142" s="157">
        <v>0</v>
      </c>
      <c r="R142" s="16">
        <f t="shared" ref="R142:R147" si="17">(L142*Q142)</f>
        <v>0</v>
      </c>
      <c r="S142" s="35">
        <v>0</v>
      </c>
      <c r="T142" s="35">
        <v>1</v>
      </c>
      <c r="U142" s="16">
        <f t="shared" ref="U142:V147" si="18">(Q142*S142)</f>
        <v>0</v>
      </c>
      <c r="V142" s="6">
        <f t="shared" si="18"/>
        <v>0</v>
      </c>
      <c r="W142" s="6">
        <f t="shared" ref="W142:W147" si="19">SUM(U142:V142)</f>
        <v>0</v>
      </c>
      <c r="X142" s="88">
        <f t="shared" si="11"/>
        <v>130</v>
      </c>
      <c r="Y142" s="122" t="e">
        <f t="shared" ref="Y142:Y147" si="20">100-((W142*100)/Z142)</f>
        <v>#DIV/0!</v>
      </c>
      <c r="Z142" s="116">
        <f t="shared" ref="Z142:Z147" si="21">(W142*X142%)+W142</f>
        <v>0</v>
      </c>
      <c r="AA142" s="158">
        <v>1.1000000000000001</v>
      </c>
      <c r="AB142" s="159">
        <f>(F142*(H142*AA142))</f>
        <v>0</v>
      </c>
    </row>
    <row r="143" spans="1:28" ht="12.75">
      <c r="A143" s="161">
        <v>300</v>
      </c>
      <c r="B143" s="14">
        <v>3</v>
      </c>
      <c r="C143" s="14" t="s">
        <v>393</v>
      </c>
      <c r="D143" s="14" t="s">
        <v>394</v>
      </c>
      <c r="E143" s="80"/>
      <c r="F143" s="1">
        <f>IF(AND($Q$19=A143,$Q$22=B143,$Q$25=C143,$Q$28=D143),1,0)</f>
        <v>0</v>
      </c>
      <c r="G143" s="14">
        <v>1</v>
      </c>
      <c r="H143" s="1">
        <f>IF(AND($Q$19=A143,$Q$22=B143,$Q$25=C143,$Q$28=D143),$R$36,0)</f>
        <v>0</v>
      </c>
      <c r="I143" s="16">
        <v>1</v>
      </c>
      <c r="J143" s="16">
        <f t="shared" si="15"/>
        <v>0</v>
      </c>
      <c r="K143" s="157">
        <v>5</v>
      </c>
      <c r="L143" s="16">
        <f t="shared" si="16"/>
        <v>0</v>
      </c>
      <c r="M143" s="118" t="s">
        <v>340</v>
      </c>
      <c r="N143" s="161" t="s">
        <v>45</v>
      </c>
      <c r="O143" s="161"/>
      <c r="P143" s="1" t="s">
        <v>103</v>
      </c>
      <c r="Q143" s="157">
        <v>0</v>
      </c>
      <c r="R143" s="16">
        <f t="shared" si="17"/>
        <v>0</v>
      </c>
      <c r="S143" s="35">
        <v>0</v>
      </c>
      <c r="T143" s="35">
        <v>1</v>
      </c>
      <c r="U143" s="16">
        <f t="shared" si="18"/>
        <v>0</v>
      </c>
      <c r="V143" s="6">
        <f t="shared" si="18"/>
        <v>0</v>
      </c>
      <c r="W143" s="6">
        <f t="shared" si="19"/>
        <v>0</v>
      </c>
      <c r="X143" s="88">
        <f t="shared" si="11"/>
        <v>130</v>
      </c>
      <c r="Y143" s="122" t="e">
        <f t="shared" si="20"/>
        <v>#DIV/0!</v>
      </c>
      <c r="Z143" s="116">
        <f t="shared" si="21"/>
        <v>0</v>
      </c>
      <c r="AA143" s="158">
        <v>1.1000000000000001</v>
      </c>
      <c r="AB143" s="159">
        <f>(F143*(H143*AA143))</f>
        <v>0</v>
      </c>
    </row>
    <row r="144" spans="1:28" ht="12.75">
      <c r="A144" s="211">
        <v>300</v>
      </c>
      <c r="B144" s="212">
        <v>4</v>
      </c>
      <c r="C144" s="212" t="s">
        <v>392</v>
      </c>
      <c r="D144" s="212" t="s">
        <v>391</v>
      </c>
      <c r="E144" s="80"/>
      <c r="F144" s="1">
        <f>IF(AND($P$19=A144,$P$22=B144,$P$25=C144,$P$28=D144),1,0)</f>
        <v>0</v>
      </c>
      <c r="G144" s="14">
        <v>1</v>
      </c>
      <c r="H144" s="1">
        <f>IF(AND($P$19=A144,$P$22=B144,$P$25=C144,$P$28=D144),$Q$36,0)</f>
        <v>0</v>
      </c>
      <c r="I144" s="16">
        <v>1</v>
      </c>
      <c r="J144" s="16">
        <f t="shared" si="15"/>
        <v>0</v>
      </c>
      <c r="K144" s="157">
        <v>5</v>
      </c>
      <c r="L144" s="16">
        <f t="shared" si="16"/>
        <v>0</v>
      </c>
      <c r="M144" s="118" t="s">
        <v>340</v>
      </c>
      <c r="N144" s="211" t="s">
        <v>337</v>
      </c>
      <c r="O144" s="211"/>
      <c r="P144" s="1" t="s">
        <v>103</v>
      </c>
      <c r="Q144" s="190">
        <v>6.81</v>
      </c>
      <c r="R144" s="16">
        <f t="shared" si="17"/>
        <v>0</v>
      </c>
      <c r="S144" s="35">
        <v>0</v>
      </c>
      <c r="T144" s="35">
        <v>1</v>
      </c>
      <c r="U144" s="16">
        <f>(Q144*S144)</f>
        <v>0</v>
      </c>
      <c r="V144" s="6">
        <f>(R144*T144)</f>
        <v>0</v>
      </c>
      <c r="W144" s="6">
        <f t="shared" si="19"/>
        <v>0</v>
      </c>
      <c r="X144" s="88">
        <f t="shared" si="11"/>
        <v>130</v>
      </c>
      <c r="Y144" s="122" t="e">
        <f t="shared" si="20"/>
        <v>#DIV/0!</v>
      </c>
      <c r="Z144" s="116">
        <f t="shared" si="21"/>
        <v>0</v>
      </c>
      <c r="AA144" s="158">
        <v>1.96</v>
      </c>
      <c r="AB144" s="159">
        <f>(F144*(H144*AA144))</f>
        <v>0</v>
      </c>
    </row>
    <row r="145" spans="1:28" ht="12.75">
      <c r="A145" s="211">
        <v>300</v>
      </c>
      <c r="B145" s="212">
        <v>4</v>
      </c>
      <c r="C145" s="212" t="s">
        <v>392</v>
      </c>
      <c r="D145" s="212" t="s">
        <v>391</v>
      </c>
      <c r="E145" s="80"/>
      <c r="F145" s="1">
        <f>IF(AND($Q$19=A145,$Q$22=B145,$Q$25=C145,$Q$28=D145),1,0)</f>
        <v>0</v>
      </c>
      <c r="G145" s="14">
        <v>1</v>
      </c>
      <c r="H145" s="1">
        <f>IF(AND($Q$19=A145,$Q$22=B145,$Q$25=C145,$Q$28=D145),$R$36,0)</f>
        <v>0</v>
      </c>
      <c r="I145" s="16">
        <v>1</v>
      </c>
      <c r="J145" s="16">
        <f t="shared" si="15"/>
        <v>0</v>
      </c>
      <c r="K145" s="157">
        <v>5</v>
      </c>
      <c r="L145" s="16">
        <f t="shared" si="16"/>
        <v>0</v>
      </c>
      <c r="M145" s="118" t="s">
        <v>340</v>
      </c>
      <c r="N145" s="211" t="s">
        <v>275</v>
      </c>
      <c r="O145" s="211"/>
      <c r="P145" s="1" t="s">
        <v>103</v>
      </c>
      <c r="Q145" s="190">
        <v>6.81</v>
      </c>
      <c r="R145" s="16">
        <f t="shared" si="17"/>
        <v>0</v>
      </c>
      <c r="S145" s="35">
        <v>0</v>
      </c>
      <c r="T145" s="35">
        <v>1</v>
      </c>
      <c r="U145" s="16">
        <f>(Q145*S145)</f>
        <v>0</v>
      </c>
      <c r="V145" s="6">
        <f>(R145*T145)</f>
        <v>0</v>
      </c>
      <c r="W145" s="6">
        <f t="shared" si="19"/>
        <v>0</v>
      </c>
      <c r="X145" s="88">
        <f t="shared" si="11"/>
        <v>130</v>
      </c>
      <c r="Y145" s="122" t="e">
        <f t="shared" si="20"/>
        <v>#DIV/0!</v>
      </c>
      <c r="Z145" s="116">
        <f t="shared" si="21"/>
        <v>0</v>
      </c>
      <c r="AA145" s="158">
        <v>1.96</v>
      </c>
      <c r="AB145" s="159">
        <f>(F145*(H145*AA145))</f>
        <v>0</v>
      </c>
    </row>
    <row r="146" spans="1:28" ht="12.75">
      <c r="A146" s="211">
        <v>400</v>
      </c>
      <c r="B146" s="212">
        <v>4</v>
      </c>
      <c r="C146" s="212" t="s">
        <v>392</v>
      </c>
      <c r="D146" s="212" t="s">
        <v>391</v>
      </c>
      <c r="E146" s="80"/>
      <c r="F146" s="1">
        <f>IF(AND($P$19=A146,$P$22=B146,$P$25=C146,$P$28=D146),1,0)</f>
        <v>0</v>
      </c>
      <c r="G146" s="14">
        <v>1</v>
      </c>
      <c r="H146" s="1">
        <f>IF(AND($P$19=A146,$P$22=B146,$P$25=C146,$P$28=D146),$Q$36,0)</f>
        <v>0</v>
      </c>
      <c r="I146" s="16">
        <v>1</v>
      </c>
      <c r="J146" s="16">
        <f t="shared" si="15"/>
        <v>0</v>
      </c>
      <c r="K146" s="157">
        <v>5</v>
      </c>
      <c r="L146" s="16">
        <f t="shared" si="16"/>
        <v>0</v>
      </c>
      <c r="M146" s="118" t="s">
        <v>340</v>
      </c>
      <c r="N146" s="211" t="s">
        <v>146</v>
      </c>
      <c r="O146" s="211"/>
      <c r="P146" s="1" t="s">
        <v>103</v>
      </c>
      <c r="Q146" s="157">
        <v>0</v>
      </c>
      <c r="R146" s="16">
        <f t="shared" si="17"/>
        <v>0</v>
      </c>
      <c r="S146" s="35">
        <v>0</v>
      </c>
      <c r="T146" s="35">
        <v>1</v>
      </c>
      <c r="U146" s="16">
        <f t="shared" si="18"/>
        <v>0</v>
      </c>
      <c r="V146" s="6">
        <f t="shared" si="18"/>
        <v>0</v>
      </c>
      <c r="W146" s="6">
        <f t="shared" si="19"/>
        <v>0</v>
      </c>
      <c r="X146" s="88">
        <f t="shared" si="11"/>
        <v>130</v>
      </c>
      <c r="Y146" s="122" t="e">
        <f t="shared" si="20"/>
        <v>#DIV/0!</v>
      </c>
      <c r="Z146" s="116">
        <f t="shared" si="21"/>
        <v>0</v>
      </c>
      <c r="AA146" s="158">
        <v>1.96</v>
      </c>
      <c r="AB146" s="159">
        <f t="shared" si="10"/>
        <v>0</v>
      </c>
    </row>
    <row r="147" spans="1:28" ht="12.75">
      <c r="A147" s="211">
        <v>400</v>
      </c>
      <c r="B147" s="212">
        <v>4</v>
      </c>
      <c r="C147" s="212" t="s">
        <v>392</v>
      </c>
      <c r="D147" s="212" t="s">
        <v>391</v>
      </c>
      <c r="E147" s="80"/>
      <c r="F147" s="1">
        <f>IF(AND($Q$19=A147,$Q$22=B147,$Q$25=C147,$Q$28=D147),1,0)</f>
        <v>0</v>
      </c>
      <c r="G147" s="14">
        <v>1</v>
      </c>
      <c r="H147" s="1">
        <f>IF(AND($Q$19=A147,$Q$22=B147,$Q$25=C147,$Q$28=D147),$R$36,0)</f>
        <v>0</v>
      </c>
      <c r="I147" s="16">
        <v>1</v>
      </c>
      <c r="J147" s="16">
        <f t="shared" si="15"/>
        <v>0</v>
      </c>
      <c r="K147" s="157">
        <v>5</v>
      </c>
      <c r="L147" s="16">
        <f t="shared" si="16"/>
        <v>0</v>
      </c>
      <c r="M147" s="118" t="s">
        <v>340</v>
      </c>
      <c r="N147" s="211" t="s">
        <v>367</v>
      </c>
      <c r="O147" s="211"/>
      <c r="P147" s="1" t="s">
        <v>103</v>
      </c>
      <c r="Q147" s="157">
        <v>0</v>
      </c>
      <c r="R147" s="16">
        <f t="shared" si="17"/>
        <v>0</v>
      </c>
      <c r="S147" s="35">
        <v>0</v>
      </c>
      <c r="T147" s="35">
        <v>1</v>
      </c>
      <c r="U147" s="16">
        <f t="shared" si="18"/>
        <v>0</v>
      </c>
      <c r="V147" s="6">
        <f t="shared" si="18"/>
        <v>0</v>
      </c>
      <c r="W147" s="6">
        <f t="shared" si="19"/>
        <v>0</v>
      </c>
      <c r="X147" s="88">
        <f t="shared" si="11"/>
        <v>130</v>
      </c>
      <c r="Y147" s="122" t="e">
        <f t="shared" si="20"/>
        <v>#DIV/0!</v>
      </c>
      <c r="Z147" s="116">
        <f t="shared" si="21"/>
        <v>0</v>
      </c>
      <c r="AA147" s="158">
        <v>1.96</v>
      </c>
      <c r="AB147" s="159">
        <f t="shared" si="10"/>
        <v>0</v>
      </c>
    </row>
    <row r="148" spans="1:28" ht="12.75">
      <c r="A148" s="9"/>
      <c r="B148" s="80"/>
      <c r="C148" s="80"/>
      <c r="D148" s="80"/>
      <c r="E148" s="80"/>
      <c r="F148" s="9"/>
      <c r="G148" s="14"/>
      <c r="H148" s="16"/>
      <c r="I148" s="16"/>
      <c r="J148" s="16"/>
      <c r="K148" s="16"/>
      <c r="L148" s="16"/>
      <c r="M148" s="118"/>
      <c r="N148" s="118"/>
      <c r="O148" s="118"/>
      <c r="P148" s="1"/>
      <c r="Q148" s="16"/>
      <c r="R148" s="16"/>
      <c r="S148" s="35"/>
      <c r="T148" s="35"/>
      <c r="U148" s="16"/>
      <c r="V148" s="6"/>
      <c r="W148" s="6"/>
      <c r="X148" s="160"/>
      <c r="Y148" s="122"/>
      <c r="Z148" s="116"/>
      <c r="AA148" s="158"/>
      <c r="AB148" s="159"/>
    </row>
    <row r="149" spans="1:28" ht="12.75">
      <c r="A149" s="144" t="s">
        <v>4</v>
      </c>
      <c r="B149" s="145"/>
      <c r="C149" s="145"/>
      <c r="D149" s="145"/>
      <c r="E149" s="145"/>
      <c r="F149" s="146"/>
      <c r="G149" s="147"/>
      <c r="H149" s="148"/>
      <c r="I149" s="148"/>
      <c r="J149" s="148"/>
      <c r="K149" s="148"/>
      <c r="L149" s="148"/>
      <c r="M149" s="149"/>
      <c r="N149" s="149"/>
      <c r="O149" s="149"/>
      <c r="P149" s="150"/>
      <c r="Q149" s="148"/>
      <c r="R149" s="148"/>
      <c r="S149" s="151"/>
      <c r="T149" s="151"/>
      <c r="U149" s="148"/>
      <c r="V149" s="152"/>
      <c r="W149" s="152"/>
      <c r="X149" s="153"/>
      <c r="Y149" s="154"/>
      <c r="Z149" s="155"/>
      <c r="AA149" s="158"/>
      <c r="AB149" s="159"/>
    </row>
    <row r="150" spans="1:28" ht="12.75">
      <c r="A150" s="9"/>
      <c r="B150" s="80"/>
      <c r="C150" s="80"/>
      <c r="D150" s="80"/>
      <c r="E150" s="80"/>
      <c r="F150" s="9"/>
      <c r="G150" s="14"/>
      <c r="H150" s="16"/>
      <c r="I150" s="16"/>
      <c r="J150" s="16"/>
      <c r="K150" s="16"/>
      <c r="L150" s="16"/>
      <c r="M150" s="118"/>
      <c r="N150" s="118"/>
      <c r="O150" s="118"/>
      <c r="P150" s="1"/>
      <c r="Q150" s="16"/>
      <c r="R150" s="16"/>
      <c r="S150" s="35"/>
      <c r="T150" s="35"/>
      <c r="U150" s="16"/>
      <c r="V150" s="6"/>
      <c r="W150" s="6"/>
      <c r="X150" s="160"/>
      <c r="Y150" s="122"/>
      <c r="Z150" s="116"/>
      <c r="AA150" s="158"/>
      <c r="AB150" s="159"/>
    </row>
    <row r="151" spans="1:28" ht="12.75">
      <c r="A151" s="9">
        <v>100</v>
      </c>
      <c r="B151" s="80">
        <v>1.6</v>
      </c>
      <c r="C151" s="80" t="s">
        <v>389</v>
      </c>
      <c r="D151" s="80" t="s">
        <v>397</v>
      </c>
      <c r="E151" s="80"/>
      <c r="F151" s="1">
        <f>IF(AND($P$19=A151,$P$22=B151,$P$25=C151,$P$28=D151),1,0)</f>
        <v>0</v>
      </c>
      <c r="G151" s="14">
        <v>1</v>
      </c>
      <c r="H151" s="1">
        <f>IF(AND($P$19=A151,$P$22=B151,$P$25=C151,$P$28=D151),$Q$36,0)</f>
        <v>0</v>
      </c>
      <c r="I151" s="16">
        <v>1</v>
      </c>
      <c r="J151" s="16">
        <f t="shared" ref="J151:J162" si="22">((H151*I151)*AND(G151=1)*AND(F151=1))</f>
        <v>0</v>
      </c>
      <c r="K151" s="157">
        <v>5</v>
      </c>
      <c r="L151" s="16">
        <f t="shared" ref="L151:L162" si="23">(J151*K151%)+J151</f>
        <v>0</v>
      </c>
      <c r="M151" s="118" t="s">
        <v>321</v>
      </c>
      <c r="N151" s="118" t="s">
        <v>240</v>
      </c>
      <c r="O151" s="118"/>
      <c r="P151" s="1" t="s">
        <v>103</v>
      </c>
      <c r="Q151" s="190">
        <v>1.45</v>
      </c>
      <c r="R151" s="16">
        <f t="shared" ref="R151:R162" si="24">(L151*Q151)</f>
        <v>0</v>
      </c>
      <c r="S151" s="35">
        <v>0</v>
      </c>
      <c r="T151" s="35">
        <v>1</v>
      </c>
      <c r="U151" s="16">
        <f t="shared" ref="U151:U162" si="25">(Q151*S151)</f>
        <v>0</v>
      </c>
      <c r="V151" s="6">
        <f t="shared" ref="V151:V162" si="26">(R151*T151)</f>
        <v>0</v>
      </c>
      <c r="W151" s="6">
        <f t="shared" ref="W151:W162" si="27">SUM(U151:V151)</f>
        <v>0</v>
      </c>
      <c r="X151" s="88">
        <f t="shared" ref="X151:X162" si="28">($O$57)</f>
        <v>130</v>
      </c>
      <c r="Y151" s="122" t="e">
        <f t="shared" ref="Y151:Y162" si="29">100-((W151*100)/Z151)</f>
        <v>#DIV/0!</v>
      </c>
      <c r="Z151" s="116">
        <f t="shared" ref="Z151:Z162" si="30">(W151*X151%)+W151</f>
        <v>0</v>
      </c>
      <c r="AA151" s="158">
        <v>0.16</v>
      </c>
      <c r="AB151" s="159">
        <f t="shared" ref="AB151:AB162" si="31">(F151*(H151*AA151))</f>
        <v>0</v>
      </c>
    </row>
    <row r="152" spans="1:28" ht="12.75">
      <c r="A152" s="9">
        <v>100</v>
      </c>
      <c r="B152" s="80">
        <v>1.6</v>
      </c>
      <c r="C152" s="80" t="s">
        <v>389</v>
      </c>
      <c r="D152" s="80" t="s">
        <v>397</v>
      </c>
      <c r="E152" s="80"/>
      <c r="F152" s="1">
        <f>IF(AND($Q$19=A152,$Q$22=B152,$Q$25=C152,$Q$28=D152),1,0)</f>
        <v>0</v>
      </c>
      <c r="G152" s="14">
        <v>1</v>
      </c>
      <c r="H152" s="1">
        <f>IF(AND($Q$19=A152,$Q$22=B152,$Q$25=C152,$Q$28=D152),$R$36,0)</f>
        <v>0</v>
      </c>
      <c r="I152" s="16">
        <v>1</v>
      </c>
      <c r="J152" s="16">
        <f t="shared" si="22"/>
        <v>0</v>
      </c>
      <c r="K152" s="157">
        <v>5</v>
      </c>
      <c r="L152" s="16">
        <f t="shared" si="23"/>
        <v>0</v>
      </c>
      <c r="M152" s="118" t="s">
        <v>321</v>
      </c>
      <c r="N152" s="118" t="s">
        <v>241</v>
      </c>
      <c r="O152" s="118"/>
      <c r="P152" s="1" t="s">
        <v>103</v>
      </c>
      <c r="Q152" s="190">
        <v>1.45</v>
      </c>
      <c r="R152" s="16">
        <f t="shared" si="24"/>
        <v>0</v>
      </c>
      <c r="S152" s="35">
        <v>0</v>
      </c>
      <c r="T152" s="35">
        <v>1</v>
      </c>
      <c r="U152" s="16">
        <f t="shared" si="25"/>
        <v>0</v>
      </c>
      <c r="V152" s="6">
        <f t="shared" si="26"/>
        <v>0</v>
      </c>
      <c r="W152" s="6">
        <f t="shared" si="27"/>
        <v>0</v>
      </c>
      <c r="X152" s="88">
        <f t="shared" si="28"/>
        <v>130</v>
      </c>
      <c r="Y152" s="122" t="e">
        <f t="shared" si="29"/>
        <v>#DIV/0!</v>
      </c>
      <c r="Z152" s="116">
        <f t="shared" si="30"/>
        <v>0</v>
      </c>
      <c r="AA152" s="158">
        <v>0.16</v>
      </c>
      <c r="AB152" s="159">
        <f t="shared" si="31"/>
        <v>0</v>
      </c>
    </row>
    <row r="153" spans="1:28" ht="12.75">
      <c r="A153" s="9">
        <v>150</v>
      </c>
      <c r="B153" s="80">
        <v>2</v>
      </c>
      <c r="C153" s="80" t="s">
        <v>389</v>
      </c>
      <c r="D153" s="80" t="s">
        <v>397</v>
      </c>
      <c r="E153" s="80"/>
      <c r="F153" s="1">
        <f>IF(AND($P$19=A153,$P$22=B153,$P$25=C153,$P$28=D153),1,0)</f>
        <v>0</v>
      </c>
      <c r="G153" s="14">
        <v>1</v>
      </c>
      <c r="H153" s="1">
        <f>IF(AND($P$19=A153,$P$22=B153,$P$25=C153,$P$28=D153),$Q$36,0)</f>
        <v>0</v>
      </c>
      <c r="I153" s="16">
        <v>1</v>
      </c>
      <c r="J153" s="16">
        <f t="shared" si="22"/>
        <v>0</v>
      </c>
      <c r="K153" s="157">
        <v>5</v>
      </c>
      <c r="L153" s="16">
        <f t="shared" si="23"/>
        <v>0</v>
      </c>
      <c r="M153" s="118" t="s">
        <v>276</v>
      </c>
      <c r="N153" s="118" t="s">
        <v>60</v>
      </c>
      <c r="O153" s="118"/>
      <c r="P153" s="1" t="s">
        <v>103</v>
      </c>
      <c r="Q153" s="190">
        <v>2.7</v>
      </c>
      <c r="R153" s="16">
        <f t="shared" si="24"/>
        <v>0</v>
      </c>
      <c r="S153" s="35">
        <v>0</v>
      </c>
      <c r="T153" s="35">
        <v>1</v>
      </c>
      <c r="U153" s="16">
        <f t="shared" si="25"/>
        <v>0</v>
      </c>
      <c r="V153" s="6">
        <f t="shared" si="26"/>
        <v>0</v>
      </c>
      <c r="W153" s="6">
        <f t="shared" si="27"/>
        <v>0</v>
      </c>
      <c r="X153" s="88">
        <f t="shared" si="28"/>
        <v>130</v>
      </c>
      <c r="Y153" s="122" t="e">
        <f t="shared" si="29"/>
        <v>#DIV/0!</v>
      </c>
      <c r="Z153" s="116">
        <f t="shared" si="30"/>
        <v>0</v>
      </c>
      <c r="AA153" s="158">
        <v>0.54</v>
      </c>
      <c r="AB153" s="159">
        <f t="shared" si="31"/>
        <v>0</v>
      </c>
    </row>
    <row r="154" spans="1:28" ht="12.75">
      <c r="A154" s="9">
        <v>150</v>
      </c>
      <c r="B154" s="80">
        <v>2</v>
      </c>
      <c r="C154" s="80" t="s">
        <v>389</v>
      </c>
      <c r="D154" s="80" t="s">
        <v>397</v>
      </c>
      <c r="E154" s="80"/>
      <c r="F154" s="1">
        <f>IF(AND($Q$19=A154,$Q$22=B154,$Q$25=C154,$Q$28=D154),1,0)</f>
        <v>0</v>
      </c>
      <c r="G154" s="14">
        <v>1</v>
      </c>
      <c r="H154" s="1">
        <f>IF(AND($Q$19=A154,$Q$22=B154,$Q$25=C154,$Q$28=D154),$R$36,0)</f>
        <v>0</v>
      </c>
      <c r="I154" s="16">
        <v>1</v>
      </c>
      <c r="J154" s="16">
        <f t="shared" si="22"/>
        <v>0</v>
      </c>
      <c r="K154" s="157">
        <v>5</v>
      </c>
      <c r="L154" s="16">
        <f t="shared" si="23"/>
        <v>0</v>
      </c>
      <c r="M154" s="118" t="s">
        <v>276</v>
      </c>
      <c r="N154" s="118" t="s">
        <v>336</v>
      </c>
      <c r="O154" s="118"/>
      <c r="P154" s="1" t="s">
        <v>103</v>
      </c>
      <c r="Q154" s="190">
        <v>2.7</v>
      </c>
      <c r="R154" s="16">
        <f t="shared" si="24"/>
        <v>0</v>
      </c>
      <c r="S154" s="35">
        <v>0</v>
      </c>
      <c r="T154" s="35">
        <v>1</v>
      </c>
      <c r="U154" s="16">
        <f t="shared" si="25"/>
        <v>0</v>
      </c>
      <c r="V154" s="6">
        <f t="shared" si="26"/>
        <v>0</v>
      </c>
      <c r="W154" s="6">
        <f t="shared" si="27"/>
        <v>0</v>
      </c>
      <c r="X154" s="88">
        <f t="shared" si="28"/>
        <v>130</v>
      </c>
      <c r="Y154" s="122" t="e">
        <f t="shared" si="29"/>
        <v>#DIV/0!</v>
      </c>
      <c r="Z154" s="116">
        <f t="shared" si="30"/>
        <v>0</v>
      </c>
      <c r="AA154" s="158">
        <v>0.54</v>
      </c>
      <c r="AB154" s="159">
        <f t="shared" si="31"/>
        <v>0</v>
      </c>
    </row>
    <row r="155" spans="1:28" ht="12.75">
      <c r="A155" s="9">
        <v>200</v>
      </c>
      <c r="B155" s="80">
        <v>2</v>
      </c>
      <c r="C155" s="80" t="s">
        <v>389</v>
      </c>
      <c r="D155" s="80" t="s">
        <v>397</v>
      </c>
      <c r="E155" s="80"/>
      <c r="F155" s="1">
        <f>IF(AND($P$19=A155,$P$22=B155,$P$25=C155,$P$28=D155),1,0)</f>
        <v>0</v>
      </c>
      <c r="G155" s="14">
        <v>1</v>
      </c>
      <c r="H155" s="1">
        <f>IF(AND($P$19=A155,$P$22=B155,$P$25=C155,$P$28=D155),$Q$36,0)</f>
        <v>0</v>
      </c>
      <c r="I155" s="16">
        <v>1</v>
      </c>
      <c r="J155" s="16">
        <f t="shared" si="22"/>
        <v>0</v>
      </c>
      <c r="K155" s="157">
        <v>5</v>
      </c>
      <c r="L155" s="16">
        <f t="shared" si="23"/>
        <v>0</v>
      </c>
      <c r="M155" s="118" t="s">
        <v>321</v>
      </c>
      <c r="N155" s="118" t="s">
        <v>134</v>
      </c>
      <c r="O155" s="118"/>
      <c r="P155" s="1" t="s">
        <v>103</v>
      </c>
      <c r="Q155" s="190">
        <v>7</v>
      </c>
      <c r="R155" s="16">
        <f t="shared" si="24"/>
        <v>0</v>
      </c>
      <c r="S155" s="35">
        <v>0</v>
      </c>
      <c r="T155" s="35">
        <v>1</v>
      </c>
      <c r="U155" s="16">
        <f t="shared" si="25"/>
        <v>0</v>
      </c>
      <c r="V155" s="6">
        <f t="shared" si="26"/>
        <v>0</v>
      </c>
      <c r="W155" s="6">
        <f t="shared" si="27"/>
        <v>0</v>
      </c>
      <c r="X155" s="88">
        <f t="shared" si="28"/>
        <v>130</v>
      </c>
      <c r="Y155" s="122" t="e">
        <f t="shared" si="29"/>
        <v>#DIV/0!</v>
      </c>
      <c r="Z155" s="116">
        <f t="shared" si="30"/>
        <v>0</v>
      </c>
      <c r="AA155" s="158">
        <v>0.48</v>
      </c>
      <c r="AB155" s="159">
        <f t="shared" si="31"/>
        <v>0</v>
      </c>
    </row>
    <row r="156" spans="1:28" ht="12.75">
      <c r="A156" s="9">
        <v>200</v>
      </c>
      <c r="B156" s="80">
        <v>2</v>
      </c>
      <c r="C156" s="80" t="s">
        <v>389</v>
      </c>
      <c r="D156" s="80" t="s">
        <v>397</v>
      </c>
      <c r="E156" s="80"/>
      <c r="F156" s="1">
        <f>IF(AND($Q$19=A156,$Q$22=B156,$Q$25=C156,$Q$28=D156),1,0)</f>
        <v>1</v>
      </c>
      <c r="G156" s="14">
        <v>1</v>
      </c>
      <c r="H156" s="1">
        <f>IF(AND($Q$19=A156,$Q$22=B156,$Q$25=C156,$Q$28=D156),$R$36,0)</f>
        <v>0</v>
      </c>
      <c r="I156" s="16">
        <v>1</v>
      </c>
      <c r="J156" s="16">
        <f t="shared" si="22"/>
        <v>0</v>
      </c>
      <c r="K156" s="157">
        <v>5</v>
      </c>
      <c r="L156" s="16">
        <f t="shared" si="23"/>
        <v>0</v>
      </c>
      <c r="M156" s="118" t="s">
        <v>321</v>
      </c>
      <c r="N156" s="118" t="s">
        <v>98</v>
      </c>
      <c r="O156" s="118"/>
      <c r="P156" s="1" t="s">
        <v>103</v>
      </c>
      <c r="Q156" s="190">
        <v>7</v>
      </c>
      <c r="R156" s="16">
        <f t="shared" si="24"/>
        <v>0</v>
      </c>
      <c r="S156" s="35">
        <v>0</v>
      </c>
      <c r="T156" s="35">
        <v>1</v>
      </c>
      <c r="U156" s="16">
        <f t="shared" si="25"/>
        <v>0</v>
      </c>
      <c r="V156" s="6">
        <f t="shared" si="26"/>
        <v>0</v>
      </c>
      <c r="W156" s="6">
        <f t="shared" si="27"/>
        <v>0</v>
      </c>
      <c r="X156" s="88">
        <f t="shared" si="28"/>
        <v>130</v>
      </c>
      <c r="Y156" s="122" t="e">
        <f t="shared" si="29"/>
        <v>#DIV/0!</v>
      </c>
      <c r="Z156" s="116">
        <f t="shared" si="30"/>
        <v>0</v>
      </c>
      <c r="AA156" s="158">
        <v>0.48</v>
      </c>
      <c r="AB156" s="159">
        <f t="shared" si="31"/>
        <v>0</v>
      </c>
    </row>
    <row r="157" spans="1:28" ht="12.75">
      <c r="A157" s="9">
        <v>200</v>
      </c>
      <c r="B157" s="80">
        <v>3</v>
      </c>
      <c r="C157" s="80" t="s">
        <v>389</v>
      </c>
      <c r="D157" s="80" t="s">
        <v>397</v>
      </c>
      <c r="E157" s="80"/>
      <c r="F157" s="1">
        <f>IF(AND($P$19=A157,$P$22=B157,$P$25=C157,$P$28=D157),1,0)</f>
        <v>0</v>
      </c>
      <c r="G157" s="14">
        <v>1</v>
      </c>
      <c r="H157" s="1">
        <f>IF(AND($P$19=A157,$P$22=B157,$P$25=C157,$P$28=D157),$Q$36,0)</f>
        <v>0</v>
      </c>
      <c r="I157" s="16">
        <v>1</v>
      </c>
      <c r="J157" s="16">
        <f>((H157*I157)*AND(G157=1)*AND(F157=1))</f>
        <v>0</v>
      </c>
      <c r="K157" s="157">
        <v>5</v>
      </c>
      <c r="L157" s="16">
        <f>(J157*K157%)+J157</f>
        <v>0</v>
      </c>
      <c r="M157" s="118" t="s">
        <v>321</v>
      </c>
      <c r="N157" s="118" t="s">
        <v>342</v>
      </c>
      <c r="O157" s="118"/>
      <c r="P157" s="1" t="s">
        <v>103</v>
      </c>
      <c r="Q157" s="190">
        <v>4.82</v>
      </c>
      <c r="R157" s="16">
        <f>(L157*Q157)</f>
        <v>0</v>
      </c>
      <c r="S157" s="35">
        <v>0</v>
      </c>
      <c r="T157" s="35">
        <v>1</v>
      </c>
      <c r="U157" s="16">
        <f t="shared" si="25"/>
        <v>0</v>
      </c>
      <c r="V157" s="6">
        <f t="shared" si="26"/>
        <v>0</v>
      </c>
      <c r="W157" s="6">
        <f>SUM(U157:V157)</f>
        <v>0</v>
      </c>
      <c r="X157" s="88">
        <f t="shared" si="28"/>
        <v>130</v>
      </c>
      <c r="Y157" s="122" t="e">
        <f>100-((W157*100)/Z157)</f>
        <v>#DIV/0!</v>
      </c>
      <c r="Z157" s="116">
        <f>(W157*X157%)+W157</f>
        <v>0</v>
      </c>
      <c r="AA157" s="158">
        <v>0.48</v>
      </c>
      <c r="AB157" s="159">
        <f>(F157*(H157*AA157))</f>
        <v>0</v>
      </c>
    </row>
    <row r="158" spans="1:28" ht="12.75">
      <c r="A158" s="9">
        <v>200</v>
      </c>
      <c r="B158" s="80">
        <v>3</v>
      </c>
      <c r="C158" s="80" t="s">
        <v>389</v>
      </c>
      <c r="D158" s="80" t="s">
        <v>397</v>
      </c>
      <c r="E158" s="80"/>
      <c r="F158" s="1">
        <f>IF(AND($Q$19=A158,$Q$22=B158,$Q$25=C158,$Q$28=D158),1,0)</f>
        <v>0</v>
      </c>
      <c r="G158" s="14">
        <v>1</v>
      </c>
      <c r="H158" s="1">
        <f>IF(AND($Q$19=A158,$Q$22=B158,$Q$25=C158,$Q$28=D158),$R$36,0)</f>
        <v>0</v>
      </c>
      <c r="I158" s="16">
        <v>1</v>
      </c>
      <c r="J158" s="16">
        <f>((H158*I158)*AND(G158=1)*AND(F158=1))</f>
        <v>0</v>
      </c>
      <c r="K158" s="157">
        <v>5</v>
      </c>
      <c r="L158" s="16">
        <f>(J158*K158%)+J158</f>
        <v>0</v>
      </c>
      <c r="M158" s="118" t="s">
        <v>321</v>
      </c>
      <c r="N158" s="118" t="s">
        <v>343</v>
      </c>
      <c r="O158" s="118"/>
      <c r="P158" s="1" t="s">
        <v>103</v>
      </c>
      <c r="Q158" s="190">
        <v>4.82</v>
      </c>
      <c r="R158" s="16">
        <f>(L158*Q158)</f>
        <v>0</v>
      </c>
      <c r="S158" s="35">
        <v>0</v>
      </c>
      <c r="T158" s="35">
        <v>1</v>
      </c>
      <c r="U158" s="16">
        <f t="shared" si="25"/>
        <v>0</v>
      </c>
      <c r="V158" s="6">
        <f t="shared" si="26"/>
        <v>0</v>
      </c>
      <c r="W158" s="6">
        <f>SUM(U158:V158)</f>
        <v>0</v>
      </c>
      <c r="X158" s="88">
        <f t="shared" si="28"/>
        <v>130</v>
      </c>
      <c r="Y158" s="122" t="e">
        <f>100-((W158*100)/Z158)</f>
        <v>#DIV/0!</v>
      </c>
      <c r="Z158" s="116">
        <f>(W158*X158%)+W158</f>
        <v>0</v>
      </c>
      <c r="AA158" s="158">
        <v>0.48</v>
      </c>
      <c r="AB158" s="159">
        <f>(F158*(H158*AA158))</f>
        <v>0</v>
      </c>
    </row>
    <row r="159" spans="1:28" ht="12.75">
      <c r="A159" s="9">
        <v>300</v>
      </c>
      <c r="B159" s="80">
        <v>2</v>
      </c>
      <c r="C159" s="80" t="s">
        <v>389</v>
      </c>
      <c r="D159" s="80" t="s">
        <v>397</v>
      </c>
      <c r="E159" s="80"/>
      <c r="F159" s="1">
        <f>IF(AND($P$19=A159,$P$22=B159,$P$25=C159,$P$28=D159),1,0)</f>
        <v>0</v>
      </c>
      <c r="G159" s="14">
        <v>1</v>
      </c>
      <c r="H159" s="1">
        <f>IF(AND($P$19=A159,$P$22=B159,$P$25=C159,$P$28=D159),$Q$36,0)</f>
        <v>0</v>
      </c>
      <c r="I159" s="16">
        <v>1</v>
      </c>
      <c r="J159" s="16">
        <f t="shared" si="22"/>
        <v>0</v>
      </c>
      <c r="K159" s="157">
        <v>5</v>
      </c>
      <c r="L159" s="16">
        <f t="shared" si="23"/>
        <v>0</v>
      </c>
      <c r="M159" s="118" t="s">
        <v>322</v>
      </c>
      <c r="N159" s="118" t="s">
        <v>443</v>
      </c>
      <c r="O159" s="118"/>
      <c r="P159" s="1" t="s">
        <v>103</v>
      </c>
      <c r="Q159" s="190">
        <v>5.35</v>
      </c>
      <c r="R159" s="16">
        <f t="shared" si="24"/>
        <v>0</v>
      </c>
      <c r="S159" s="35">
        <v>0</v>
      </c>
      <c r="T159" s="35">
        <v>1</v>
      </c>
      <c r="U159" s="16">
        <f t="shared" si="25"/>
        <v>0</v>
      </c>
      <c r="V159" s="6">
        <f t="shared" si="26"/>
        <v>0</v>
      </c>
      <c r="W159" s="6">
        <f t="shared" si="27"/>
        <v>0</v>
      </c>
      <c r="X159" s="88">
        <f t="shared" si="28"/>
        <v>130</v>
      </c>
      <c r="Y159" s="122" t="e">
        <f t="shared" si="29"/>
        <v>#DIV/0!</v>
      </c>
      <c r="Z159" s="116">
        <f t="shared" si="30"/>
        <v>0</v>
      </c>
      <c r="AA159" s="158">
        <v>0.74</v>
      </c>
      <c r="AB159" s="159">
        <f t="shared" si="31"/>
        <v>0</v>
      </c>
    </row>
    <row r="160" spans="1:28" ht="12.75">
      <c r="A160" s="9">
        <v>300</v>
      </c>
      <c r="B160" s="80">
        <v>2</v>
      </c>
      <c r="C160" s="80" t="s">
        <v>389</v>
      </c>
      <c r="D160" s="80" t="s">
        <v>397</v>
      </c>
      <c r="E160" s="80"/>
      <c r="F160" s="1">
        <f>IF(AND($Q$19=A160,$Q$22=B160,$Q$25=C160,$Q$28=D160),1,0)</f>
        <v>0</v>
      </c>
      <c r="G160" s="14">
        <v>1</v>
      </c>
      <c r="H160" s="1">
        <f>IF(AND($Q$19=A160,$Q$22=B160,$Q$25=C160,$Q$28=D160),$R$36,0)</f>
        <v>0</v>
      </c>
      <c r="I160" s="16">
        <v>1</v>
      </c>
      <c r="J160" s="16">
        <f t="shared" si="22"/>
        <v>0</v>
      </c>
      <c r="K160" s="157">
        <v>5</v>
      </c>
      <c r="L160" s="16">
        <f t="shared" si="23"/>
        <v>0</v>
      </c>
      <c r="M160" s="118" t="s">
        <v>322</v>
      </c>
      <c r="N160" s="118" t="s">
        <v>53</v>
      </c>
      <c r="O160" s="118"/>
      <c r="P160" s="1" t="s">
        <v>103</v>
      </c>
      <c r="Q160" s="190">
        <v>5.35</v>
      </c>
      <c r="R160" s="16">
        <f t="shared" si="24"/>
        <v>0</v>
      </c>
      <c r="S160" s="35">
        <v>0</v>
      </c>
      <c r="T160" s="35">
        <v>1</v>
      </c>
      <c r="U160" s="16">
        <f t="shared" si="25"/>
        <v>0</v>
      </c>
      <c r="V160" s="6">
        <f t="shared" si="26"/>
        <v>0</v>
      </c>
      <c r="W160" s="6">
        <f t="shared" si="27"/>
        <v>0</v>
      </c>
      <c r="X160" s="88">
        <f t="shared" si="28"/>
        <v>130</v>
      </c>
      <c r="Y160" s="122" t="e">
        <f t="shared" si="29"/>
        <v>#DIV/0!</v>
      </c>
      <c r="Z160" s="116">
        <f t="shared" si="30"/>
        <v>0</v>
      </c>
      <c r="AA160" s="158">
        <v>0.74</v>
      </c>
      <c r="AB160" s="159">
        <f t="shared" si="31"/>
        <v>0</v>
      </c>
    </row>
    <row r="161" spans="1:28" ht="12.75">
      <c r="A161" s="9">
        <v>300</v>
      </c>
      <c r="B161" s="80">
        <v>3</v>
      </c>
      <c r="C161" s="80" t="s">
        <v>389</v>
      </c>
      <c r="D161" s="80" t="s">
        <v>397</v>
      </c>
      <c r="E161" s="80"/>
      <c r="F161" s="1">
        <f>IF(AND($P$19=A161,$P$22=B161,$P$25=C161,$P$28=D161),1,0)</f>
        <v>0</v>
      </c>
      <c r="G161" s="14">
        <v>1</v>
      </c>
      <c r="H161" s="1">
        <f>IF(AND($P$19=A161,$P$22=B161,$P$25=C161,$P$28=D161),$Q$36,0)</f>
        <v>0</v>
      </c>
      <c r="I161" s="16">
        <v>1</v>
      </c>
      <c r="J161" s="16">
        <f t="shared" si="22"/>
        <v>0</v>
      </c>
      <c r="K161" s="157">
        <v>5</v>
      </c>
      <c r="L161" s="16">
        <f t="shared" si="23"/>
        <v>0</v>
      </c>
      <c r="M161" s="118" t="s">
        <v>68</v>
      </c>
      <c r="N161" s="118" t="s">
        <v>140</v>
      </c>
      <c r="O161" s="118"/>
      <c r="P161" s="1" t="s">
        <v>103</v>
      </c>
      <c r="Q161" s="190">
        <v>8.0500000000000007</v>
      </c>
      <c r="R161" s="16">
        <f t="shared" si="24"/>
        <v>0</v>
      </c>
      <c r="S161" s="35">
        <v>0</v>
      </c>
      <c r="T161" s="35">
        <v>1</v>
      </c>
      <c r="U161" s="16">
        <f t="shared" si="25"/>
        <v>0</v>
      </c>
      <c r="V161" s="6">
        <f t="shared" si="26"/>
        <v>0</v>
      </c>
      <c r="W161" s="6">
        <f t="shared" si="27"/>
        <v>0</v>
      </c>
      <c r="X161" s="88">
        <f t="shared" si="28"/>
        <v>130</v>
      </c>
      <c r="Y161" s="122" t="e">
        <f t="shared" si="29"/>
        <v>#DIV/0!</v>
      </c>
      <c r="Z161" s="116">
        <f t="shared" si="30"/>
        <v>0</v>
      </c>
      <c r="AA161" s="158">
        <v>1.1000000000000001</v>
      </c>
      <c r="AB161" s="159">
        <f t="shared" si="31"/>
        <v>0</v>
      </c>
    </row>
    <row r="162" spans="1:28" ht="12.75">
      <c r="A162" s="9">
        <v>300</v>
      </c>
      <c r="B162" s="80">
        <v>3</v>
      </c>
      <c r="C162" s="80" t="s">
        <v>389</v>
      </c>
      <c r="D162" s="80" t="s">
        <v>397</v>
      </c>
      <c r="E162" s="80"/>
      <c r="F162" s="1">
        <f>IF(AND($Q$19=A162,$Q$22=B162,$Q$25=C162,$Q$28=D162),1,0)</f>
        <v>0</v>
      </c>
      <c r="G162" s="14">
        <v>1</v>
      </c>
      <c r="H162" s="1">
        <f>IF(AND($Q$19=A162,$Q$22=B162,$Q$25=C162,$Q$28=D162),$R$36,0)</f>
        <v>0</v>
      </c>
      <c r="I162" s="16">
        <v>1</v>
      </c>
      <c r="J162" s="16">
        <f t="shared" si="22"/>
        <v>0</v>
      </c>
      <c r="K162" s="157">
        <v>5</v>
      </c>
      <c r="L162" s="16">
        <f t="shared" si="23"/>
        <v>0</v>
      </c>
      <c r="M162" s="118" t="s">
        <v>68</v>
      </c>
      <c r="N162" s="118" t="s">
        <v>67</v>
      </c>
      <c r="O162" s="118"/>
      <c r="P162" s="1" t="s">
        <v>103</v>
      </c>
      <c r="Q162" s="190">
        <v>8.0500000000000007</v>
      </c>
      <c r="R162" s="16">
        <f t="shared" si="24"/>
        <v>0</v>
      </c>
      <c r="S162" s="35">
        <v>0</v>
      </c>
      <c r="T162" s="35">
        <v>1</v>
      </c>
      <c r="U162" s="16">
        <f t="shared" si="25"/>
        <v>0</v>
      </c>
      <c r="V162" s="6">
        <f t="shared" si="26"/>
        <v>0</v>
      </c>
      <c r="W162" s="6">
        <f t="shared" si="27"/>
        <v>0</v>
      </c>
      <c r="X162" s="88">
        <f t="shared" si="28"/>
        <v>130</v>
      </c>
      <c r="Y162" s="122" t="e">
        <f t="shared" si="29"/>
        <v>#DIV/0!</v>
      </c>
      <c r="Z162" s="116">
        <f t="shared" si="30"/>
        <v>0</v>
      </c>
      <c r="AA162" s="158">
        <v>1.1000000000000001</v>
      </c>
      <c r="AB162" s="159">
        <f t="shared" si="31"/>
        <v>0</v>
      </c>
    </row>
    <row r="163" spans="1:28" ht="12.75">
      <c r="A163" s="9"/>
      <c r="B163" s="80"/>
      <c r="C163" s="80"/>
      <c r="D163" s="80"/>
      <c r="E163" s="80"/>
      <c r="F163" s="9"/>
      <c r="G163" s="14"/>
      <c r="H163" s="16"/>
      <c r="I163" s="16"/>
      <c r="J163" s="16"/>
      <c r="K163" s="16"/>
      <c r="L163" s="16"/>
      <c r="M163" s="118"/>
      <c r="N163" s="118"/>
      <c r="O163" s="118"/>
      <c r="P163" s="1"/>
      <c r="Q163" s="16"/>
      <c r="R163" s="16"/>
      <c r="S163" s="35"/>
      <c r="T163" s="35"/>
      <c r="U163" s="16"/>
      <c r="V163" s="6"/>
      <c r="W163" s="6"/>
      <c r="X163" s="160"/>
      <c r="Y163" s="122"/>
      <c r="Z163" s="116"/>
      <c r="AA163" s="158"/>
      <c r="AB163" s="159"/>
    </row>
    <row r="164" spans="1:28" ht="12.75">
      <c r="A164" s="144" t="s">
        <v>415</v>
      </c>
      <c r="B164" s="145"/>
      <c r="C164" s="145"/>
      <c r="D164" s="145"/>
      <c r="E164" s="145"/>
      <c r="F164" s="146"/>
      <c r="G164" s="147"/>
      <c r="H164" s="148"/>
      <c r="I164" s="148"/>
      <c r="J164" s="148"/>
      <c r="K164" s="148"/>
      <c r="L164" s="148"/>
      <c r="M164" s="149"/>
      <c r="N164" s="149"/>
      <c r="O164" s="149"/>
      <c r="P164" s="150"/>
      <c r="Q164" s="148"/>
      <c r="R164" s="148"/>
      <c r="S164" s="151"/>
      <c r="T164" s="151"/>
      <c r="U164" s="148"/>
      <c r="V164" s="152"/>
      <c r="W164" s="152"/>
      <c r="X164" s="153"/>
      <c r="Y164" s="154"/>
      <c r="Z164" s="155"/>
      <c r="AA164" s="158"/>
      <c r="AB164" s="159"/>
    </row>
    <row r="165" spans="1:28" ht="12.75">
      <c r="A165" s="9"/>
      <c r="B165" s="80"/>
      <c r="C165" s="80"/>
      <c r="D165" s="80"/>
      <c r="E165" s="80"/>
      <c r="F165" s="9"/>
      <c r="G165" s="14"/>
      <c r="H165" s="16"/>
      <c r="I165" s="16"/>
      <c r="J165" s="16"/>
      <c r="K165" s="16"/>
      <c r="L165" s="16"/>
      <c r="M165" s="118"/>
      <c r="N165" s="118"/>
      <c r="O165" s="118"/>
      <c r="P165" s="1"/>
      <c r="Q165" s="16"/>
      <c r="R165" s="16"/>
      <c r="S165" s="35"/>
      <c r="T165" s="35"/>
      <c r="U165" s="16"/>
      <c r="V165" s="6"/>
      <c r="W165" s="6"/>
      <c r="X165" s="160"/>
      <c r="Y165" s="122"/>
      <c r="Z165" s="116"/>
      <c r="AA165" s="158"/>
      <c r="AB165" s="159"/>
    </row>
    <row r="166" spans="1:28" ht="12.75">
      <c r="A166" s="9">
        <v>100</v>
      </c>
      <c r="B166" s="80">
        <v>2</v>
      </c>
      <c r="C166" s="80" t="s">
        <v>390</v>
      </c>
      <c r="D166" s="80" t="s">
        <v>390</v>
      </c>
      <c r="E166" s="80"/>
      <c r="F166" s="1">
        <f>IF(AND($P$19=A166,$P$22=B166,$P$25=C166,$P$28=D166),1,0)</f>
        <v>0</v>
      </c>
      <c r="G166" s="14">
        <v>1</v>
      </c>
      <c r="H166" s="1">
        <f>IF(AND($P$19=A166,$P$22=B166,$P$25=C166,$P$28=D166),$Q$36,0)</f>
        <v>0</v>
      </c>
      <c r="I166" s="16">
        <v>1</v>
      </c>
      <c r="J166" s="16">
        <f t="shared" ref="J166:J191" si="32">((H166*I166)*AND(G166=1)*AND(F166=1))</f>
        <v>0</v>
      </c>
      <c r="K166" s="157">
        <v>5</v>
      </c>
      <c r="L166" s="16">
        <f t="shared" ref="L166:L191" si="33">(J166*K166%)+J166</f>
        <v>0</v>
      </c>
      <c r="M166" s="118" t="s">
        <v>373</v>
      </c>
      <c r="N166" s="118" t="s">
        <v>183</v>
      </c>
      <c r="O166" s="118"/>
      <c r="P166" s="1" t="s">
        <v>103</v>
      </c>
      <c r="Q166" s="190">
        <v>1.68</v>
      </c>
      <c r="R166" s="16">
        <f t="shared" ref="R166:R191" si="34">(L166*Q166)</f>
        <v>0</v>
      </c>
      <c r="S166" s="35">
        <v>0</v>
      </c>
      <c r="T166" s="35">
        <v>1</v>
      </c>
      <c r="U166" s="16">
        <f t="shared" ref="U166:U191" si="35">(Q166*S166)</f>
        <v>0</v>
      </c>
      <c r="V166" s="6">
        <f t="shared" ref="V166:V191" si="36">(R166*T166)</f>
        <v>0</v>
      </c>
      <c r="W166" s="6">
        <f t="shared" ref="W166:W191" si="37">SUM(U166:V166)</f>
        <v>0</v>
      </c>
      <c r="X166" s="88">
        <f t="shared" ref="X166:X191" si="38">($O$57)</f>
        <v>130</v>
      </c>
      <c r="Y166" s="122" t="e">
        <f t="shared" ref="Y166:Y191" si="39">100-((W166*100)/Z166)</f>
        <v>#DIV/0!</v>
      </c>
      <c r="Z166" s="116">
        <f t="shared" ref="Z166:Z191" si="40">(W166*X166%)+W166</f>
        <v>0</v>
      </c>
      <c r="AA166" s="158">
        <v>0.24</v>
      </c>
      <c r="AB166" s="159">
        <f t="shared" ref="AB166:AB191" si="41">(F166*(H166*AA166))</f>
        <v>0</v>
      </c>
    </row>
    <row r="167" spans="1:28" ht="12.75">
      <c r="A167" s="9">
        <v>100</v>
      </c>
      <c r="B167" s="80">
        <v>2</v>
      </c>
      <c r="C167" s="80" t="s">
        <v>390</v>
      </c>
      <c r="D167" s="80" t="s">
        <v>390</v>
      </c>
      <c r="E167" s="80"/>
      <c r="F167" s="1">
        <f>IF(AND($Q$19=A167,$Q$22=B167,$Q$25=C167,$Q$28=D167),1,0)</f>
        <v>0</v>
      </c>
      <c r="G167" s="14">
        <v>1</v>
      </c>
      <c r="H167" s="1">
        <f>IF(AND($Q$19=A167,$Q$22=B167,$Q$25=C167,$Q$28=D167),$R$36,0)</f>
        <v>0</v>
      </c>
      <c r="I167" s="16">
        <v>1</v>
      </c>
      <c r="J167" s="16">
        <f t="shared" si="32"/>
        <v>0</v>
      </c>
      <c r="K167" s="157">
        <v>5</v>
      </c>
      <c r="L167" s="16">
        <f t="shared" si="33"/>
        <v>0</v>
      </c>
      <c r="M167" s="118" t="s">
        <v>373</v>
      </c>
      <c r="N167" s="118" t="s">
        <v>0</v>
      </c>
      <c r="O167" s="118"/>
      <c r="P167" s="1" t="s">
        <v>103</v>
      </c>
      <c r="Q167" s="190">
        <v>1.68</v>
      </c>
      <c r="R167" s="16">
        <f t="shared" si="34"/>
        <v>0</v>
      </c>
      <c r="S167" s="35">
        <v>0</v>
      </c>
      <c r="T167" s="35">
        <v>1</v>
      </c>
      <c r="U167" s="16">
        <f t="shared" si="35"/>
        <v>0</v>
      </c>
      <c r="V167" s="6">
        <f t="shared" si="36"/>
        <v>0</v>
      </c>
      <c r="W167" s="6">
        <f t="shared" si="37"/>
        <v>0</v>
      </c>
      <c r="X167" s="88">
        <f t="shared" si="38"/>
        <v>130</v>
      </c>
      <c r="Y167" s="122" t="e">
        <f t="shared" si="39"/>
        <v>#DIV/0!</v>
      </c>
      <c r="Z167" s="116">
        <f t="shared" si="40"/>
        <v>0</v>
      </c>
      <c r="AA167" s="158">
        <v>0.24</v>
      </c>
      <c r="AB167" s="159">
        <f t="shared" si="41"/>
        <v>0</v>
      </c>
    </row>
    <row r="168" spans="1:28" ht="12.75">
      <c r="A168" s="211">
        <v>100</v>
      </c>
      <c r="B168" s="212">
        <v>2</v>
      </c>
      <c r="C168" s="212" t="s">
        <v>87</v>
      </c>
      <c r="D168" s="212" t="s">
        <v>391</v>
      </c>
      <c r="E168" s="80"/>
      <c r="F168" s="1">
        <f>IF(AND($P$19=A168,$P$22=B168,$P$25=C168,$P$28=D168),1,0)</f>
        <v>0</v>
      </c>
      <c r="G168" s="14">
        <v>1</v>
      </c>
      <c r="H168" s="1">
        <f>IF(AND($P$19=A168,$P$22=B168,$P$25=C168,$P$28=D168),$Q$36,0)</f>
        <v>0</v>
      </c>
      <c r="I168" s="16">
        <v>1</v>
      </c>
      <c r="J168" s="16">
        <f>((H168*I168)*AND(G168=1)*AND(F168=1))</f>
        <v>0</v>
      </c>
      <c r="K168" s="157">
        <v>5</v>
      </c>
      <c r="L168" s="16">
        <f>(J168*K168%)+J168</f>
        <v>0</v>
      </c>
      <c r="M168" s="118" t="s">
        <v>383</v>
      </c>
      <c r="N168" s="211" t="s">
        <v>272</v>
      </c>
      <c r="O168" s="211"/>
      <c r="P168" s="1" t="s">
        <v>103</v>
      </c>
      <c r="Q168" s="190">
        <v>1.45</v>
      </c>
      <c r="R168" s="16">
        <f>(L168*Q168)</f>
        <v>0</v>
      </c>
      <c r="S168" s="35">
        <v>0</v>
      </c>
      <c r="T168" s="35">
        <v>1</v>
      </c>
      <c r="U168" s="16">
        <f>(Q168*S168)</f>
        <v>0</v>
      </c>
      <c r="V168" s="6">
        <f>(R168*T168)</f>
        <v>0</v>
      </c>
      <c r="W168" s="6">
        <f>SUM(U168:V168)</f>
        <v>0</v>
      </c>
      <c r="X168" s="88">
        <f t="shared" si="38"/>
        <v>130</v>
      </c>
      <c r="Y168" s="122" t="e">
        <f>100-((W168*100)/Z168)</f>
        <v>#DIV/0!</v>
      </c>
      <c r="Z168" s="116">
        <f>(W168*X168%)+W168</f>
        <v>0</v>
      </c>
      <c r="AA168" s="158">
        <v>0.36</v>
      </c>
      <c r="AB168" s="159">
        <f>(F168*(H168*AA168))</f>
        <v>0</v>
      </c>
    </row>
    <row r="169" spans="1:28" ht="12.75">
      <c r="A169" s="211">
        <v>100</v>
      </c>
      <c r="B169" s="212">
        <v>2</v>
      </c>
      <c r="C169" s="212" t="s">
        <v>395</v>
      </c>
      <c r="D169" s="212" t="s">
        <v>394</v>
      </c>
      <c r="E169" s="80"/>
      <c r="F169" s="1">
        <f>IF(AND($Q$19=A169,$Q$22=B169,$Q$25=C169,$Q$28=D169),1,0)</f>
        <v>0</v>
      </c>
      <c r="G169" s="14">
        <v>1</v>
      </c>
      <c r="H169" s="1">
        <f>IF(AND($Q$19=A169,$Q$22=B169,$Q$25=C169,$Q$28=D169),$R$36,0)</f>
        <v>0</v>
      </c>
      <c r="I169" s="16">
        <v>1</v>
      </c>
      <c r="J169" s="16">
        <f>((H169*I169)*AND(G169=1)*AND(F169=1))</f>
        <v>0</v>
      </c>
      <c r="K169" s="157">
        <v>5</v>
      </c>
      <c r="L169" s="16">
        <f>(J169*K169%)+J169</f>
        <v>0</v>
      </c>
      <c r="M169" s="118" t="s">
        <v>383</v>
      </c>
      <c r="N169" s="211" t="s">
        <v>273</v>
      </c>
      <c r="O169" s="211"/>
      <c r="P169" s="1" t="s">
        <v>103</v>
      </c>
      <c r="Q169" s="190">
        <v>1.45</v>
      </c>
      <c r="R169" s="16">
        <f>(L169*Q169)</f>
        <v>0</v>
      </c>
      <c r="S169" s="35">
        <v>0</v>
      </c>
      <c r="T169" s="35">
        <v>1</v>
      </c>
      <c r="U169" s="16">
        <f>(Q169*S169)</f>
        <v>0</v>
      </c>
      <c r="V169" s="6">
        <f>(R169*T169)</f>
        <v>0</v>
      </c>
      <c r="W169" s="6">
        <f>SUM(U169:V169)</f>
        <v>0</v>
      </c>
      <c r="X169" s="88">
        <f t="shared" si="38"/>
        <v>130</v>
      </c>
      <c r="Y169" s="122" t="e">
        <f>100-((W169*100)/Z169)</f>
        <v>#DIV/0!</v>
      </c>
      <c r="Z169" s="116">
        <f>(W169*X169%)+W169</f>
        <v>0</v>
      </c>
      <c r="AA169" s="158">
        <v>0.36</v>
      </c>
      <c r="AB169" s="159">
        <f>(F169*(H169*AA169))</f>
        <v>0</v>
      </c>
    </row>
    <row r="170" spans="1:28" ht="12.75">
      <c r="A170" s="9">
        <v>150</v>
      </c>
      <c r="B170" s="80">
        <v>2</v>
      </c>
      <c r="C170" s="80" t="s">
        <v>390</v>
      </c>
      <c r="D170" s="80" t="s">
        <v>390</v>
      </c>
      <c r="E170" s="80"/>
      <c r="F170" s="1">
        <f>IF(AND($P$19=A170,$P$22=B170,$P$25=C170,$P$28=D170),1,0)</f>
        <v>0</v>
      </c>
      <c r="G170" s="14">
        <v>1</v>
      </c>
      <c r="H170" s="1">
        <f>IF(AND($P$19=A170,$P$22=B170,$P$25=C170,$P$28=D170),$Q$36,0)</f>
        <v>0</v>
      </c>
      <c r="I170" s="16">
        <v>1</v>
      </c>
      <c r="J170" s="16">
        <f t="shared" si="32"/>
        <v>0</v>
      </c>
      <c r="K170" s="157">
        <v>5</v>
      </c>
      <c r="L170" s="16">
        <f t="shared" si="33"/>
        <v>0</v>
      </c>
      <c r="M170" s="118" t="s">
        <v>373</v>
      </c>
      <c r="N170" s="118" t="s">
        <v>311</v>
      </c>
      <c r="O170" s="118"/>
      <c r="P170" s="1" t="s">
        <v>103</v>
      </c>
      <c r="Q170" s="190">
        <v>2.7</v>
      </c>
      <c r="R170" s="16">
        <f t="shared" si="34"/>
        <v>0</v>
      </c>
      <c r="S170" s="35">
        <v>0</v>
      </c>
      <c r="T170" s="35">
        <v>1</v>
      </c>
      <c r="U170" s="16">
        <f t="shared" si="35"/>
        <v>0</v>
      </c>
      <c r="V170" s="6">
        <f t="shared" si="36"/>
        <v>0</v>
      </c>
      <c r="W170" s="6">
        <f t="shared" si="37"/>
        <v>0</v>
      </c>
      <c r="X170" s="88">
        <f t="shared" si="38"/>
        <v>130</v>
      </c>
      <c r="Y170" s="122" t="e">
        <f t="shared" si="39"/>
        <v>#DIV/0!</v>
      </c>
      <c r="Z170" s="116">
        <f t="shared" si="40"/>
        <v>0</v>
      </c>
      <c r="AA170" s="158">
        <v>0.36</v>
      </c>
      <c r="AB170" s="159">
        <f t="shared" si="41"/>
        <v>0</v>
      </c>
    </row>
    <row r="171" spans="1:28" ht="12.75">
      <c r="A171" s="9">
        <v>150</v>
      </c>
      <c r="B171" s="80">
        <v>2</v>
      </c>
      <c r="C171" s="80" t="s">
        <v>390</v>
      </c>
      <c r="D171" s="80" t="s">
        <v>390</v>
      </c>
      <c r="E171" s="80"/>
      <c r="F171" s="1">
        <f>IF(AND($Q$19=A171,$Q$22=B171,$Q$25=C171,$Q$28=D171),1,0)</f>
        <v>0</v>
      </c>
      <c r="G171" s="14">
        <v>1</v>
      </c>
      <c r="H171" s="1">
        <f>IF(AND($Q$19=A171,$Q$22=B171,$Q$25=C171,$Q$28=D171),$R$36,0)</f>
        <v>0</v>
      </c>
      <c r="I171" s="16">
        <v>1</v>
      </c>
      <c r="J171" s="16">
        <f t="shared" si="32"/>
        <v>0</v>
      </c>
      <c r="K171" s="157">
        <v>5</v>
      </c>
      <c r="L171" s="16">
        <f t="shared" si="33"/>
        <v>0</v>
      </c>
      <c r="M171" s="118" t="s">
        <v>373</v>
      </c>
      <c r="N171" s="118" t="s">
        <v>3</v>
      </c>
      <c r="O171" s="118"/>
      <c r="P171" s="1" t="s">
        <v>103</v>
      </c>
      <c r="Q171" s="190">
        <v>2.7</v>
      </c>
      <c r="R171" s="16">
        <f t="shared" si="34"/>
        <v>0</v>
      </c>
      <c r="S171" s="35">
        <v>0</v>
      </c>
      <c r="T171" s="35">
        <v>1</v>
      </c>
      <c r="U171" s="16">
        <f t="shared" si="35"/>
        <v>0</v>
      </c>
      <c r="V171" s="6">
        <f t="shared" si="36"/>
        <v>0</v>
      </c>
      <c r="W171" s="6">
        <f t="shared" si="37"/>
        <v>0</v>
      </c>
      <c r="X171" s="88">
        <f t="shared" si="38"/>
        <v>130</v>
      </c>
      <c r="Y171" s="122" t="e">
        <f t="shared" si="39"/>
        <v>#DIV/0!</v>
      </c>
      <c r="Z171" s="116">
        <f t="shared" si="40"/>
        <v>0</v>
      </c>
      <c r="AA171" s="158">
        <v>0.36</v>
      </c>
      <c r="AB171" s="159">
        <f t="shared" si="41"/>
        <v>0</v>
      </c>
    </row>
    <row r="172" spans="1:28" ht="12.75">
      <c r="A172" s="211">
        <v>150</v>
      </c>
      <c r="B172" s="212">
        <v>2</v>
      </c>
      <c r="C172" s="212" t="s">
        <v>87</v>
      </c>
      <c r="D172" s="212" t="s">
        <v>391</v>
      </c>
      <c r="E172" s="80"/>
      <c r="F172" s="1">
        <f>IF(AND($P$19=A172,$P$22=B172,$P$25=C172,$P$28=D172),1,0)</f>
        <v>0</v>
      </c>
      <c r="G172" s="14">
        <v>1</v>
      </c>
      <c r="H172" s="1">
        <f>IF(AND($P$19=A172,$P$22=B172,$P$25=C172,$P$28=D172),$Q$36,0)</f>
        <v>0</v>
      </c>
      <c r="I172" s="16">
        <v>1</v>
      </c>
      <c r="J172" s="16">
        <f t="shared" si="32"/>
        <v>0</v>
      </c>
      <c r="K172" s="157">
        <v>5</v>
      </c>
      <c r="L172" s="16">
        <f>(J172*K172%)+J172</f>
        <v>0</v>
      </c>
      <c r="M172" s="118" t="s">
        <v>383</v>
      </c>
      <c r="N172" s="211" t="s">
        <v>430</v>
      </c>
      <c r="O172" s="211"/>
      <c r="P172" s="1" t="s">
        <v>103</v>
      </c>
      <c r="Q172" s="190">
        <v>2.1</v>
      </c>
      <c r="R172" s="16">
        <f>(L172*Q172)</f>
        <v>0</v>
      </c>
      <c r="S172" s="35">
        <v>0</v>
      </c>
      <c r="T172" s="35">
        <v>1</v>
      </c>
      <c r="U172" s="16">
        <f>(Q172*S172)</f>
        <v>0</v>
      </c>
      <c r="V172" s="6">
        <f>(R172*T172)</f>
        <v>0</v>
      </c>
      <c r="W172" s="6">
        <f>SUM(U172:V172)</f>
        <v>0</v>
      </c>
      <c r="X172" s="88">
        <f t="shared" si="38"/>
        <v>130</v>
      </c>
      <c r="Y172" s="122" t="e">
        <f>100-((W172*100)/Z172)</f>
        <v>#DIV/0!</v>
      </c>
      <c r="Z172" s="116">
        <f>(W172*X172%)+W172</f>
        <v>0</v>
      </c>
      <c r="AA172" s="158">
        <v>0.36</v>
      </c>
      <c r="AB172" s="159">
        <f>(F172*(H172*AA172))</f>
        <v>0</v>
      </c>
    </row>
    <row r="173" spans="1:28" ht="12.75">
      <c r="A173" s="211">
        <v>150</v>
      </c>
      <c r="B173" s="212">
        <v>2</v>
      </c>
      <c r="C173" s="212" t="s">
        <v>395</v>
      </c>
      <c r="D173" s="212" t="s">
        <v>394</v>
      </c>
      <c r="E173" s="80"/>
      <c r="F173" s="1">
        <f>IF(AND($Q$19=A173,$Q$22=B173,$Q$25=C173,$Q$28=D173),1,0)</f>
        <v>0</v>
      </c>
      <c r="G173" s="14">
        <v>1</v>
      </c>
      <c r="H173" s="1">
        <f>IF(AND($Q$19=A173,$Q$22=B173,$Q$25=C173,$Q$28=D173),$R$36,0)</f>
        <v>0</v>
      </c>
      <c r="I173" s="16">
        <v>1</v>
      </c>
      <c r="J173" s="16">
        <f t="shared" si="32"/>
        <v>0</v>
      </c>
      <c r="K173" s="157">
        <v>5</v>
      </c>
      <c r="L173" s="16">
        <f>(J173*K173%)+J173</f>
        <v>0</v>
      </c>
      <c r="M173" s="118" t="s">
        <v>383</v>
      </c>
      <c r="N173" s="211" t="s">
        <v>265</v>
      </c>
      <c r="O173" s="211"/>
      <c r="P173" s="1" t="s">
        <v>103</v>
      </c>
      <c r="Q173" s="190">
        <v>2.1</v>
      </c>
      <c r="R173" s="16">
        <f>(L173*Q173)</f>
        <v>0</v>
      </c>
      <c r="S173" s="35">
        <v>0</v>
      </c>
      <c r="T173" s="35">
        <v>1</v>
      </c>
      <c r="U173" s="16">
        <f>(Q173*S173)</f>
        <v>0</v>
      </c>
      <c r="V173" s="6">
        <f>(R173*T173)</f>
        <v>0</v>
      </c>
      <c r="W173" s="6">
        <f>SUM(U173:V173)</f>
        <v>0</v>
      </c>
      <c r="X173" s="88">
        <f t="shared" si="38"/>
        <v>130</v>
      </c>
      <c r="Y173" s="122" t="e">
        <f>100-((W173*100)/Z173)</f>
        <v>#DIV/0!</v>
      </c>
      <c r="Z173" s="116">
        <f>(W173*X173%)+W173</f>
        <v>0</v>
      </c>
      <c r="AA173" s="158">
        <v>0.36</v>
      </c>
      <c r="AB173" s="159">
        <f>(F173*(H173*AA173))</f>
        <v>0</v>
      </c>
    </row>
    <row r="174" spans="1:28" ht="12.75">
      <c r="A174" s="9">
        <v>150</v>
      </c>
      <c r="B174" s="80">
        <v>3</v>
      </c>
      <c r="C174" s="80" t="s">
        <v>390</v>
      </c>
      <c r="D174" s="80" t="s">
        <v>390</v>
      </c>
      <c r="E174" s="80"/>
      <c r="F174" s="1">
        <f>IF(AND($P$19=A174,$P$22=B174,$P$25=C174,$P$28=D174),1,0)</f>
        <v>0</v>
      </c>
      <c r="G174" s="14">
        <v>1</v>
      </c>
      <c r="H174" s="1">
        <f>IF(AND($P$19=A174,$P$22=B174,$P$25=C174,$P$28=D174),$Q$36,0)</f>
        <v>0</v>
      </c>
      <c r="I174" s="16">
        <v>1</v>
      </c>
      <c r="J174" s="16">
        <f t="shared" si="32"/>
        <v>0</v>
      </c>
      <c r="K174" s="157">
        <v>5</v>
      </c>
      <c r="L174" s="16">
        <f t="shared" si="33"/>
        <v>0</v>
      </c>
      <c r="M174" s="118" t="s">
        <v>7</v>
      </c>
      <c r="N174" s="118" t="s">
        <v>92</v>
      </c>
      <c r="O174" s="118"/>
      <c r="P174" s="1" t="s">
        <v>103</v>
      </c>
      <c r="Q174" s="190">
        <v>3.8</v>
      </c>
      <c r="R174" s="16">
        <f t="shared" si="34"/>
        <v>0</v>
      </c>
      <c r="S174" s="35">
        <v>0</v>
      </c>
      <c r="T174" s="35">
        <v>1</v>
      </c>
      <c r="U174" s="16">
        <f t="shared" si="35"/>
        <v>0</v>
      </c>
      <c r="V174" s="6">
        <f t="shared" si="36"/>
        <v>0</v>
      </c>
      <c r="W174" s="6">
        <f t="shared" si="37"/>
        <v>0</v>
      </c>
      <c r="X174" s="88">
        <f t="shared" si="38"/>
        <v>130</v>
      </c>
      <c r="Y174" s="122" t="e">
        <f t="shared" si="39"/>
        <v>#DIV/0!</v>
      </c>
      <c r="Z174" s="116">
        <f t="shared" si="40"/>
        <v>0</v>
      </c>
      <c r="AA174" s="158">
        <v>0.54</v>
      </c>
      <c r="AB174" s="159">
        <f t="shared" si="41"/>
        <v>0</v>
      </c>
    </row>
    <row r="175" spans="1:28" ht="12.75">
      <c r="A175" s="9">
        <v>150</v>
      </c>
      <c r="B175" s="80">
        <v>3</v>
      </c>
      <c r="C175" s="80" t="s">
        <v>390</v>
      </c>
      <c r="D175" s="80" t="s">
        <v>390</v>
      </c>
      <c r="E175" s="80"/>
      <c r="F175" s="1">
        <f>IF(AND($Q$19=A175,$Q$22=B175,$Q$25=C175,$Q$28=D175),1,0)</f>
        <v>0</v>
      </c>
      <c r="G175" s="14">
        <v>1</v>
      </c>
      <c r="H175" s="1">
        <f>IF(AND($Q$19=A175,$Q$22=B175,$Q$25=C175,$Q$28=D175),$R$36,0)</f>
        <v>0</v>
      </c>
      <c r="I175" s="16">
        <v>1</v>
      </c>
      <c r="J175" s="16">
        <f t="shared" si="32"/>
        <v>0</v>
      </c>
      <c r="K175" s="157">
        <v>5</v>
      </c>
      <c r="L175" s="16">
        <f t="shared" si="33"/>
        <v>0</v>
      </c>
      <c r="M175" s="118" t="s">
        <v>7</v>
      </c>
      <c r="N175" s="118" t="s">
        <v>127</v>
      </c>
      <c r="O175" s="118"/>
      <c r="P175" s="1" t="s">
        <v>103</v>
      </c>
      <c r="Q175" s="190">
        <v>3.8</v>
      </c>
      <c r="R175" s="16">
        <f t="shared" si="34"/>
        <v>0</v>
      </c>
      <c r="S175" s="35">
        <v>0</v>
      </c>
      <c r="T175" s="35">
        <v>1</v>
      </c>
      <c r="U175" s="16">
        <f t="shared" si="35"/>
        <v>0</v>
      </c>
      <c r="V175" s="6">
        <f t="shared" si="36"/>
        <v>0</v>
      </c>
      <c r="W175" s="6">
        <f t="shared" si="37"/>
        <v>0</v>
      </c>
      <c r="X175" s="88">
        <f t="shared" si="38"/>
        <v>130</v>
      </c>
      <c r="Y175" s="122" t="e">
        <f t="shared" si="39"/>
        <v>#DIV/0!</v>
      </c>
      <c r="Z175" s="116">
        <f t="shared" si="40"/>
        <v>0</v>
      </c>
      <c r="AA175" s="158">
        <v>0.54</v>
      </c>
      <c r="AB175" s="159">
        <f t="shared" si="41"/>
        <v>0</v>
      </c>
    </row>
    <row r="176" spans="1:28" ht="12.75">
      <c r="A176" s="9">
        <v>200</v>
      </c>
      <c r="B176" s="80">
        <v>2</v>
      </c>
      <c r="C176" s="80" t="s">
        <v>390</v>
      </c>
      <c r="D176" s="80" t="s">
        <v>390</v>
      </c>
      <c r="E176" s="80"/>
      <c r="F176" s="1">
        <f>IF(AND($P$19=A176,$P$22=B176,$P$25=C176,$P$28=D176),1,0)</f>
        <v>0</v>
      </c>
      <c r="G176" s="14">
        <v>1</v>
      </c>
      <c r="H176" s="1">
        <f>IF(AND($P$19=A176,$P$22=B176,$P$25=C176,$P$28=D176),$Q$36,0)</f>
        <v>0</v>
      </c>
      <c r="I176" s="16">
        <v>1</v>
      </c>
      <c r="J176" s="16">
        <f t="shared" si="32"/>
        <v>0</v>
      </c>
      <c r="K176" s="157">
        <v>5</v>
      </c>
      <c r="L176" s="16">
        <f t="shared" si="33"/>
        <v>0</v>
      </c>
      <c r="M176" s="118" t="s">
        <v>159</v>
      </c>
      <c r="N176" s="118" t="s">
        <v>426</v>
      </c>
      <c r="O176" s="118"/>
      <c r="P176" s="1" t="s">
        <v>103</v>
      </c>
      <c r="Q176" s="190">
        <v>3.8</v>
      </c>
      <c r="R176" s="16">
        <f t="shared" si="34"/>
        <v>0</v>
      </c>
      <c r="S176" s="35">
        <v>0</v>
      </c>
      <c r="T176" s="35">
        <v>1</v>
      </c>
      <c r="U176" s="16">
        <f t="shared" si="35"/>
        <v>0</v>
      </c>
      <c r="V176" s="6">
        <f t="shared" si="36"/>
        <v>0</v>
      </c>
      <c r="W176" s="6">
        <f t="shared" si="37"/>
        <v>0</v>
      </c>
      <c r="X176" s="88">
        <f t="shared" si="38"/>
        <v>130</v>
      </c>
      <c r="Y176" s="122" t="e">
        <f t="shared" si="39"/>
        <v>#DIV/0!</v>
      </c>
      <c r="Z176" s="116">
        <f t="shared" si="40"/>
        <v>0</v>
      </c>
      <c r="AA176" s="158">
        <v>0.48</v>
      </c>
      <c r="AB176" s="159">
        <f t="shared" si="41"/>
        <v>0</v>
      </c>
    </row>
    <row r="177" spans="1:28" ht="12.75">
      <c r="A177" s="9">
        <v>200</v>
      </c>
      <c r="B177" s="80">
        <v>2</v>
      </c>
      <c r="C177" s="80" t="s">
        <v>390</v>
      </c>
      <c r="D177" s="80" t="s">
        <v>390</v>
      </c>
      <c r="E177" s="80"/>
      <c r="F177" s="1">
        <f>IF(AND($Q$19=A177,$Q$22=B177,$Q$25=C177,$Q$28=D177),1,0)</f>
        <v>0</v>
      </c>
      <c r="G177" s="14">
        <v>1</v>
      </c>
      <c r="H177" s="1">
        <f>IF(AND($Q$19=A177,$Q$22=B177,$Q$25=C177,$Q$28=D177),$R$36,0)</f>
        <v>0</v>
      </c>
      <c r="I177" s="16">
        <v>1</v>
      </c>
      <c r="J177" s="16">
        <f t="shared" si="32"/>
        <v>0</v>
      </c>
      <c r="K177" s="157">
        <v>5</v>
      </c>
      <c r="L177" s="16">
        <f t="shared" si="33"/>
        <v>0</v>
      </c>
      <c r="M177" s="118" t="s">
        <v>159</v>
      </c>
      <c r="N177" s="118" t="s">
        <v>427</v>
      </c>
      <c r="O177" s="118"/>
      <c r="P177" s="1" t="s">
        <v>103</v>
      </c>
      <c r="Q177" s="190">
        <v>3.8</v>
      </c>
      <c r="R177" s="16">
        <f t="shared" si="34"/>
        <v>0</v>
      </c>
      <c r="S177" s="35">
        <v>0</v>
      </c>
      <c r="T177" s="35">
        <v>1</v>
      </c>
      <c r="U177" s="16">
        <f t="shared" si="35"/>
        <v>0</v>
      </c>
      <c r="V177" s="6">
        <f t="shared" si="36"/>
        <v>0</v>
      </c>
      <c r="W177" s="6">
        <f t="shared" si="37"/>
        <v>0</v>
      </c>
      <c r="X177" s="88">
        <f t="shared" si="38"/>
        <v>130</v>
      </c>
      <c r="Y177" s="122" t="e">
        <f t="shared" si="39"/>
        <v>#DIV/0!</v>
      </c>
      <c r="Z177" s="116">
        <f t="shared" si="40"/>
        <v>0</v>
      </c>
      <c r="AA177" s="158">
        <v>0.48</v>
      </c>
      <c r="AB177" s="159">
        <f t="shared" si="41"/>
        <v>0</v>
      </c>
    </row>
    <row r="178" spans="1:28" ht="12.75">
      <c r="A178" s="211">
        <v>200</v>
      </c>
      <c r="B178" s="212">
        <v>2</v>
      </c>
      <c r="C178" s="212" t="s">
        <v>87</v>
      </c>
      <c r="D178" s="212" t="s">
        <v>391</v>
      </c>
      <c r="E178" s="80"/>
      <c r="F178" s="1">
        <f>IF(AND($P$19=A178,$P$22=B178,$P$25=C178,$P$28=D178),1,0)</f>
        <v>0</v>
      </c>
      <c r="G178" s="14">
        <v>1</v>
      </c>
      <c r="H178" s="1">
        <f>IF(AND($P$19=A178,$P$22=B178,$P$25=C178,$P$28=D178),$Q$36,0)</f>
        <v>0</v>
      </c>
      <c r="I178" s="16">
        <v>1</v>
      </c>
      <c r="J178" s="16">
        <f t="shared" si="32"/>
        <v>0</v>
      </c>
      <c r="K178" s="157">
        <v>5</v>
      </c>
      <c r="L178" s="16">
        <f t="shared" si="33"/>
        <v>0</v>
      </c>
      <c r="M178" s="118" t="s">
        <v>383</v>
      </c>
      <c r="N178" s="211" t="s">
        <v>42</v>
      </c>
      <c r="O178" s="211"/>
      <c r="P178" s="1" t="s">
        <v>103</v>
      </c>
      <c r="Q178" s="190">
        <v>3.21</v>
      </c>
      <c r="R178" s="16">
        <f t="shared" si="34"/>
        <v>0</v>
      </c>
      <c r="S178" s="35">
        <v>0</v>
      </c>
      <c r="T178" s="35">
        <v>1</v>
      </c>
      <c r="U178" s="16">
        <f t="shared" si="35"/>
        <v>0</v>
      </c>
      <c r="V178" s="6">
        <f t="shared" si="36"/>
        <v>0</v>
      </c>
      <c r="W178" s="6">
        <f t="shared" si="37"/>
        <v>0</v>
      </c>
      <c r="X178" s="88">
        <f t="shared" si="38"/>
        <v>130</v>
      </c>
      <c r="Y178" s="122" t="e">
        <f t="shared" si="39"/>
        <v>#DIV/0!</v>
      </c>
      <c r="Z178" s="116">
        <f t="shared" si="40"/>
        <v>0</v>
      </c>
      <c r="AA178" s="158">
        <v>0.48</v>
      </c>
      <c r="AB178" s="159">
        <f t="shared" si="41"/>
        <v>0</v>
      </c>
    </row>
    <row r="179" spans="1:28" ht="12.75">
      <c r="A179" s="211">
        <v>200</v>
      </c>
      <c r="B179" s="212">
        <v>2</v>
      </c>
      <c r="C179" s="212" t="s">
        <v>395</v>
      </c>
      <c r="D179" s="212" t="s">
        <v>394</v>
      </c>
      <c r="E179" s="80"/>
      <c r="F179" s="1">
        <f>IF(AND($Q$19=A179,$Q$22=B179,$Q$25=C179,$Q$28=D179),1,0)</f>
        <v>0</v>
      </c>
      <c r="G179" s="14">
        <v>1</v>
      </c>
      <c r="H179" s="1">
        <f>IF(AND($Q$19=A179,$Q$22=B179,$Q$25=C179,$Q$28=D179),$R$36,0)</f>
        <v>0</v>
      </c>
      <c r="I179" s="16">
        <v>1</v>
      </c>
      <c r="J179" s="16">
        <f t="shared" si="32"/>
        <v>0</v>
      </c>
      <c r="K179" s="157">
        <v>5</v>
      </c>
      <c r="L179" s="16">
        <f t="shared" si="33"/>
        <v>0</v>
      </c>
      <c r="M179" s="118" t="s">
        <v>383</v>
      </c>
      <c r="N179" s="211" t="s">
        <v>110</v>
      </c>
      <c r="O179" s="211"/>
      <c r="P179" s="1" t="s">
        <v>103</v>
      </c>
      <c r="Q179" s="190">
        <v>3.21</v>
      </c>
      <c r="R179" s="16">
        <f t="shared" si="34"/>
        <v>0</v>
      </c>
      <c r="S179" s="35">
        <v>0</v>
      </c>
      <c r="T179" s="35">
        <v>1</v>
      </c>
      <c r="U179" s="16">
        <f t="shared" si="35"/>
        <v>0</v>
      </c>
      <c r="V179" s="6">
        <f t="shared" si="36"/>
        <v>0</v>
      </c>
      <c r="W179" s="6">
        <f t="shared" si="37"/>
        <v>0</v>
      </c>
      <c r="X179" s="88">
        <f t="shared" si="38"/>
        <v>130</v>
      </c>
      <c r="Y179" s="122" t="e">
        <f t="shared" si="39"/>
        <v>#DIV/0!</v>
      </c>
      <c r="Z179" s="116">
        <f t="shared" si="40"/>
        <v>0</v>
      </c>
      <c r="AA179" s="158">
        <v>0.48</v>
      </c>
      <c r="AB179" s="159">
        <f t="shared" si="41"/>
        <v>0</v>
      </c>
    </row>
    <row r="180" spans="1:28" ht="12.75">
      <c r="A180" s="9">
        <v>200</v>
      </c>
      <c r="B180" s="80">
        <v>3</v>
      </c>
      <c r="C180" s="80" t="s">
        <v>390</v>
      </c>
      <c r="D180" s="80" t="s">
        <v>390</v>
      </c>
      <c r="E180" s="80"/>
      <c r="F180" s="1">
        <f>IF(AND($P$19=A180,$P$22=B180,$P$25=C180,$P$28=D180),1,0)</f>
        <v>0</v>
      </c>
      <c r="G180" s="14">
        <v>1</v>
      </c>
      <c r="H180" s="1">
        <f>IF(AND($P$19=A180,$P$22=B180,$P$25=C180,$P$28=D180),$Q$36,0)</f>
        <v>0</v>
      </c>
      <c r="I180" s="16">
        <v>1</v>
      </c>
      <c r="J180" s="16">
        <f t="shared" si="32"/>
        <v>0</v>
      </c>
      <c r="K180" s="157">
        <v>5</v>
      </c>
      <c r="L180" s="16">
        <f t="shared" si="33"/>
        <v>0</v>
      </c>
      <c r="M180" s="118" t="s">
        <v>159</v>
      </c>
      <c r="N180" s="118" t="s">
        <v>440</v>
      </c>
      <c r="O180" s="118"/>
      <c r="P180" s="1" t="s">
        <v>103</v>
      </c>
      <c r="Q180" s="190">
        <v>5.05</v>
      </c>
      <c r="R180" s="16">
        <f t="shared" si="34"/>
        <v>0</v>
      </c>
      <c r="S180" s="35">
        <v>0</v>
      </c>
      <c r="T180" s="35">
        <v>1</v>
      </c>
      <c r="U180" s="16">
        <f t="shared" si="35"/>
        <v>0</v>
      </c>
      <c r="V180" s="6">
        <f t="shared" si="36"/>
        <v>0</v>
      </c>
      <c r="W180" s="6">
        <f t="shared" si="37"/>
        <v>0</v>
      </c>
      <c r="X180" s="88">
        <f t="shared" si="38"/>
        <v>130</v>
      </c>
      <c r="Y180" s="122" t="e">
        <f t="shared" si="39"/>
        <v>#DIV/0!</v>
      </c>
      <c r="Z180" s="116">
        <f t="shared" si="40"/>
        <v>0</v>
      </c>
      <c r="AA180" s="158">
        <v>0.74</v>
      </c>
      <c r="AB180" s="159">
        <f t="shared" si="41"/>
        <v>0</v>
      </c>
    </row>
    <row r="181" spans="1:28" ht="12.75">
      <c r="A181" s="9">
        <v>200</v>
      </c>
      <c r="B181" s="80">
        <v>3</v>
      </c>
      <c r="C181" s="80" t="s">
        <v>390</v>
      </c>
      <c r="D181" s="80" t="s">
        <v>390</v>
      </c>
      <c r="E181" s="80"/>
      <c r="F181" s="1">
        <f>IF(AND($Q$19=A181,$Q$22=B181,$Q$25=C181,$Q$28=D181),1,0)</f>
        <v>0</v>
      </c>
      <c r="G181" s="14">
        <v>1</v>
      </c>
      <c r="H181" s="1">
        <f>IF(AND($Q$19=A181,$Q$22=B181,$Q$25=C181,$Q$28=D181),$R$36,0)</f>
        <v>0</v>
      </c>
      <c r="I181" s="16">
        <v>1</v>
      </c>
      <c r="J181" s="16">
        <f t="shared" si="32"/>
        <v>0</v>
      </c>
      <c r="K181" s="157">
        <v>5</v>
      </c>
      <c r="L181" s="16">
        <f t="shared" si="33"/>
        <v>0</v>
      </c>
      <c r="M181" s="118" t="s">
        <v>159</v>
      </c>
      <c r="N181" s="118" t="s">
        <v>84</v>
      </c>
      <c r="O181" s="118"/>
      <c r="P181" s="1" t="s">
        <v>103</v>
      </c>
      <c r="Q181" s="190">
        <v>5.05</v>
      </c>
      <c r="R181" s="16">
        <f t="shared" si="34"/>
        <v>0</v>
      </c>
      <c r="S181" s="35">
        <v>0</v>
      </c>
      <c r="T181" s="35">
        <v>1</v>
      </c>
      <c r="U181" s="16">
        <f t="shared" si="35"/>
        <v>0</v>
      </c>
      <c r="V181" s="6">
        <f t="shared" si="36"/>
        <v>0</v>
      </c>
      <c r="W181" s="6">
        <f t="shared" si="37"/>
        <v>0</v>
      </c>
      <c r="X181" s="88">
        <f t="shared" si="38"/>
        <v>130</v>
      </c>
      <c r="Y181" s="122" t="e">
        <f t="shared" si="39"/>
        <v>#DIV/0!</v>
      </c>
      <c r="Z181" s="116">
        <f t="shared" si="40"/>
        <v>0</v>
      </c>
      <c r="AA181" s="158">
        <v>0.74</v>
      </c>
      <c r="AB181" s="159">
        <f t="shared" si="41"/>
        <v>0</v>
      </c>
    </row>
    <row r="182" spans="1:28" ht="12.75">
      <c r="A182" s="211">
        <v>200</v>
      </c>
      <c r="B182" s="212">
        <v>3</v>
      </c>
      <c r="C182" s="212" t="s">
        <v>87</v>
      </c>
      <c r="D182" s="212" t="s">
        <v>391</v>
      </c>
      <c r="E182" s="80"/>
      <c r="F182" s="1">
        <f>IF(AND($P$19=A182,$P$22=B182,$P$25=C182,$P$28=D182),1,0)</f>
        <v>0</v>
      </c>
      <c r="G182" s="14">
        <v>1</v>
      </c>
      <c r="H182" s="1">
        <f>IF(AND($P$19=A182,$P$22=B182,$P$25=C182,$P$28=D182),$Q$36,0)</f>
        <v>0</v>
      </c>
      <c r="I182" s="16">
        <v>1</v>
      </c>
      <c r="J182" s="16">
        <f>((H182*I182)*AND(G182=1)*AND(F182=1))</f>
        <v>0</v>
      </c>
      <c r="K182" s="157">
        <v>5</v>
      </c>
      <c r="L182" s="16">
        <f>(J182*K182%)+J182</f>
        <v>0</v>
      </c>
      <c r="M182" s="118" t="s">
        <v>383</v>
      </c>
      <c r="N182" s="211" t="s">
        <v>165</v>
      </c>
      <c r="O182" s="211"/>
      <c r="P182" s="1" t="s">
        <v>103</v>
      </c>
      <c r="Q182" s="190">
        <v>3.96</v>
      </c>
      <c r="R182" s="16">
        <f>(L182*Q182)</f>
        <v>0</v>
      </c>
      <c r="S182" s="35">
        <v>0</v>
      </c>
      <c r="T182" s="35">
        <v>1</v>
      </c>
      <c r="U182" s="16">
        <f>(Q182*S182)</f>
        <v>0</v>
      </c>
      <c r="V182" s="6">
        <f>(R182*T182)</f>
        <v>0</v>
      </c>
      <c r="W182" s="6">
        <f>SUM(U182:V182)</f>
        <v>0</v>
      </c>
      <c r="X182" s="88">
        <f t="shared" si="38"/>
        <v>130</v>
      </c>
      <c r="Y182" s="122" t="e">
        <f>100-((W182*100)/Z182)</f>
        <v>#DIV/0!</v>
      </c>
      <c r="Z182" s="116">
        <f>(W182*X182%)+W182</f>
        <v>0</v>
      </c>
      <c r="AA182" s="158">
        <v>0.48</v>
      </c>
      <c r="AB182" s="159">
        <f>(F182*(H182*AA182))</f>
        <v>0</v>
      </c>
    </row>
    <row r="183" spans="1:28" ht="12.75">
      <c r="A183" s="211">
        <v>200</v>
      </c>
      <c r="B183" s="212">
        <v>3</v>
      </c>
      <c r="C183" s="212" t="s">
        <v>395</v>
      </c>
      <c r="D183" s="212" t="s">
        <v>394</v>
      </c>
      <c r="E183" s="80"/>
      <c r="F183" s="1">
        <f>IF(AND($Q$19=A183,$Q$22=B183,$Q$25=C183,$Q$28=D183),1,0)</f>
        <v>0</v>
      </c>
      <c r="G183" s="14">
        <v>1</v>
      </c>
      <c r="H183" s="1">
        <f>IF(AND($Q$19=A183,$Q$22=B183,$Q$25=C183,$Q$28=D183),$R$36,0)</f>
        <v>0</v>
      </c>
      <c r="I183" s="16">
        <v>1</v>
      </c>
      <c r="J183" s="16">
        <f>((H183*I183)*AND(G183=1)*AND(F183=1))</f>
        <v>0</v>
      </c>
      <c r="K183" s="157">
        <v>5</v>
      </c>
      <c r="L183" s="16">
        <f>(J183*K183%)+J183</f>
        <v>0</v>
      </c>
      <c r="M183" s="118" t="s">
        <v>383</v>
      </c>
      <c r="N183" s="211" t="s">
        <v>166</v>
      </c>
      <c r="O183" s="211"/>
      <c r="P183" s="1" t="s">
        <v>103</v>
      </c>
      <c r="Q183" s="190">
        <v>3.96</v>
      </c>
      <c r="R183" s="16">
        <f>(L183*Q183)</f>
        <v>0</v>
      </c>
      <c r="S183" s="35">
        <v>0</v>
      </c>
      <c r="T183" s="35">
        <v>1</v>
      </c>
      <c r="U183" s="16">
        <f>(Q183*S183)</f>
        <v>0</v>
      </c>
      <c r="V183" s="6">
        <f>(R183*T183)</f>
        <v>0</v>
      </c>
      <c r="W183" s="6">
        <f>SUM(U183:V183)</f>
        <v>0</v>
      </c>
      <c r="X183" s="88">
        <f t="shared" si="38"/>
        <v>130</v>
      </c>
      <c r="Y183" s="122" t="e">
        <f>100-((W183*100)/Z183)</f>
        <v>#DIV/0!</v>
      </c>
      <c r="Z183" s="116">
        <f>(W183*X183%)+W183</f>
        <v>0</v>
      </c>
      <c r="AA183" s="158">
        <v>0.48</v>
      </c>
      <c r="AB183" s="159">
        <f>(F183*(H183*AA183))</f>
        <v>0</v>
      </c>
    </row>
    <row r="184" spans="1:28" ht="12.75">
      <c r="A184" s="9">
        <v>300</v>
      </c>
      <c r="B184" s="80">
        <v>3</v>
      </c>
      <c r="C184" s="80" t="s">
        <v>390</v>
      </c>
      <c r="D184" s="80" t="s">
        <v>390</v>
      </c>
      <c r="E184" s="80"/>
      <c r="F184" s="1">
        <f>IF(AND($P$19=A184,$P$22=B184,$P$25=C184,$P$28=D184),1,0)</f>
        <v>0</v>
      </c>
      <c r="G184" s="14">
        <v>1</v>
      </c>
      <c r="H184" s="1">
        <f>IF(AND($P$19=A184,$P$22=B184,$P$25=C184,$P$28=D184),$Q$36,0)</f>
        <v>0</v>
      </c>
      <c r="I184" s="16">
        <v>1</v>
      </c>
      <c r="J184" s="16">
        <f t="shared" si="32"/>
        <v>0</v>
      </c>
      <c r="K184" s="157">
        <v>5</v>
      </c>
      <c r="L184" s="16">
        <f t="shared" si="33"/>
        <v>0</v>
      </c>
      <c r="M184" s="118" t="s">
        <v>307</v>
      </c>
      <c r="N184" s="118" t="s">
        <v>184</v>
      </c>
      <c r="O184" s="118"/>
      <c r="P184" s="1" t="s">
        <v>103</v>
      </c>
      <c r="Q184" s="190">
        <v>7.12</v>
      </c>
      <c r="R184" s="16">
        <f t="shared" si="34"/>
        <v>0</v>
      </c>
      <c r="S184" s="35">
        <v>0</v>
      </c>
      <c r="T184" s="35">
        <v>1</v>
      </c>
      <c r="U184" s="16">
        <f t="shared" si="35"/>
        <v>0</v>
      </c>
      <c r="V184" s="6">
        <f t="shared" si="36"/>
        <v>0</v>
      </c>
      <c r="W184" s="6">
        <f t="shared" si="37"/>
        <v>0</v>
      </c>
      <c r="X184" s="88">
        <f t="shared" si="38"/>
        <v>130</v>
      </c>
      <c r="Y184" s="122" t="e">
        <f t="shared" si="39"/>
        <v>#DIV/0!</v>
      </c>
      <c r="Z184" s="116">
        <f t="shared" si="40"/>
        <v>0</v>
      </c>
      <c r="AA184" s="158">
        <v>1.1000000000000001</v>
      </c>
      <c r="AB184" s="159">
        <f t="shared" si="41"/>
        <v>0</v>
      </c>
    </row>
    <row r="185" spans="1:28" ht="12.75">
      <c r="A185" s="9">
        <v>300</v>
      </c>
      <c r="B185" s="80">
        <v>3</v>
      </c>
      <c r="C185" s="80" t="s">
        <v>390</v>
      </c>
      <c r="D185" s="80" t="s">
        <v>390</v>
      </c>
      <c r="E185" s="80"/>
      <c r="F185" s="1">
        <f>IF(AND($Q$19=A185,$Q$22=B185,$Q$25=C185,$Q$28=D185),1,0)</f>
        <v>0</v>
      </c>
      <c r="G185" s="14">
        <v>1</v>
      </c>
      <c r="H185" s="1">
        <f>IF(AND($Q$19=A185,$Q$22=B185,$Q$25=C185,$Q$28=D185),$R$36,0)</f>
        <v>0</v>
      </c>
      <c r="I185" s="16">
        <v>1</v>
      </c>
      <c r="J185" s="16">
        <f t="shared" si="32"/>
        <v>0</v>
      </c>
      <c r="K185" s="157">
        <v>5</v>
      </c>
      <c r="L185" s="16">
        <f t="shared" si="33"/>
        <v>0</v>
      </c>
      <c r="M185" s="118" t="s">
        <v>307</v>
      </c>
      <c r="N185" s="118" t="s">
        <v>39</v>
      </c>
      <c r="O185" s="118"/>
      <c r="P185" s="1" t="s">
        <v>103</v>
      </c>
      <c r="Q185" s="190">
        <v>7.12</v>
      </c>
      <c r="R185" s="16">
        <f t="shared" si="34"/>
        <v>0</v>
      </c>
      <c r="S185" s="35">
        <v>0</v>
      </c>
      <c r="T185" s="35">
        <v>1</v>
      </c>
      <c r="U185" s="16">
        <f t="shared" si="35"/>
        <v>0</v>
      </c>
      <c r="V185" s="6">
        <f t="shared" si="36"/>
        <v>0</v>
      </c>
      <c r="W185" s="6">
        <f t="shared" si="37"/>
        <v>0</v>
      </c>
      <c r="X185" s="88">
        <f t="shared" si="38"/>
        <v>130</v>
      </c>
      <c r="Y185" s="122" t="e">
        <f t="shared" si="39"/>
        <v>#DIV/0!</v>
      </c>
      <c r="Z185" s="116">
        <f t="shared" si="40"/>
        <v>0</v>
      </c>
      <c r="AA185" s="158">
        <v>1.1000000000000001</v>
      </c>
      <c r="AB185" s="159">
        <f t="shared" si="41"/>
        <v>0</v>
      </c>
    </row>
    <row r="186" spans="1:28" ht="12.75">
      <c r="A186" s="211">
        <v>300</v>
      </c>
      <c r="B186" s="212">
        <v>3</v>
      </c>
      <c r="C186" s="212" t="s">
        <v>87</v>
      </c>
      <c r="D186" s="212" t="s">
        <v>391</v>
      </c>
      <c r="E186" s="80"/>
      <c r="F186" s="1">
        <f>IF(AND($P$19=A186,$P$22=B186,$P$25=C186,$P$28=D186),1,0)</f>
        <v>0</v>
      </c>
      <c r="G186" s="14">
        <v>1</v>
      </c>
      <c r="H186" s="1">
        <f>IF(AND($P$19=A186,$P$22=B186,$P$25=C186,$P$28=D186),$Q$36,0)</f>
        <v>0</v>
      </c>
      <c r="I186" s="16">
        <v>1</v>
      </c>
      <c r="J186" s="16">
        <f t="shared" si="32"/>
        <v>0</v>
      </c>
      <c r="K186" s="157">
        <v>5</v>
      </c>
      <c r="L186" s="16">
        <f t="shared" si="33"/>
        <v>0</v>
      </c>
      <c r="M186" s="118" t="s">
        <v>185</v>
      </c>
      <c r="N186" s="211" t="s">
        <v>40</v>
      </c>
      <c r="O186" s="211"/>
      <c r="P186" s="1" t="s">
        <v>103</v>
      </c>
      <c r="Q186" s="190">
        <v>5.76</v>
      </c>
      <c r="R186" s="16">
        <f t="shared" si="34"/>
        <v>0</v>
      </c>
      <c r="S186" s="35">
        <v>0</v>
      </c>
      <c r="T186" s="35">
        <v>1</v>
      </c>
      <c r="U186" s="16">
        <f t="shared" si="35"/>
        <v>0</v>
      </c>
      <c r="V186" s="6">
        <f t="shared" si="36"/>
        <v>0</v>
      </c>
      <c r="W186" s="6">
        <f t="shared" si="37"/>
        <v>0</v>
      </c>
      <c r="X186" s="88">
        <f t="shared" si="38"/>
        <v>130</v>
      </c>
      <c r="Y186" s="122" t="e">
        <f t="shared" si="39"/>
        <v>#DIV/0!</v>
      </c>
      <c r="Z186" s="116">
        <f t="shared" si="40"/>
        <v>0</v>
      </c>
      <c r="AA186" s="158">
        <v>1.1000000000000001</v>
      </c>
      <c r="AB186" s="159">
        <f t="shared" si="41"/>
        <v>0</v>
      </c>
    </row>
    <row r="187" spans="1:28" ht="12.75">
      <c r="A187" s="211">
        <v>300</v>
      </c>
      <c r="B187" s="212">
        <v>3</v>
      </c>
      <c r="C187" s="212" t="s">
        <v>395</v>
      </c>
      <c r="D187" s="212" t="s">
        <v>394</v>
      </c>
      <c r="E187" s="80"/>
      <c r="F187" s="1">
        <f>IF(AND($Q$19=A187,$Q$22=B187,$Q$25=C187,$Q$28=D187),1,0)</f>
        <v>0</v>
      </c>
      <c r="G187" s="14">
        <v>1</v>
      </c>
      <c r="H187" s="1">
        <f>IF(AND($Q$19=A187,$Q$22=B187,$Q$25=C187,$Q$28=D187),$R$36,0)</f>
        <v>0</v>
      </c>
      <c r="I187" s="16">
        <v>1</v>
      </c>
      <c r="J187" s="16">
        <f t="shared" si="32"/>
        <v>0</v>
      </c>
      <c r="K187" s="157">
        <v>5</v>
      </c>
      <c r="L187" s="16">
        <f t="shared" si="33"/>
        <v>0</v>
      </c>
      <c r="M187" s="118" t="s">
        <v>185</v>
      </c>
      <c r="N187" s="211" t="s">
        <v>41</v>
      </c>
      <c r="O187" s="211"/>
      <c r="P187" s="1" t="s">
        <v>103</v>
      </c>
      <c r="Q187" s="190">
        <v>5.76</v>
      </c>
      <c r="R187" s="16">
        <f t="shared" si="34"/>
        <v>0</v>
      </c>
      <c r="S187" s="35">
        <v>0</v>
      </c>
      <c r="T187" s="35">
        <v>1</v>
      </c>
      <c r="U187" s="16">
        <f t="shared" si="35"/>
        <v>0</v>
      </c>
      <c r="V187" s="6">
        <f t="shared" si="36"/>
        <v>0</v>
      </c>
      <c r="W187" s="6">
        <f t="shared" si="37"/>
        <v>0</v>
      </c>
      <c r="X187" s="88">
        <f t="shared" si="38"/>
        <v>130</v>
      </c>
      <c r="Y187" s="122" t="e">
        <f t="shared" si="39"/>
        <v>#DIV/0!</v>
      </c>
      <c r="Z187" s="116">
        <f t="shared" si="40"/>
        <v>0</v>
      </c>
      <c r="AA187" s="158">
        <v>1.1000000000000001</v>
      </c>
      <c r="AB187" s="159">
        <f t="shared" si="41"/>
        <v>0</v>
      </c>
    </row>
    <row r="188" spans="1:28" ht="12.75">
      <c r="A188" s="161">
        <v>300</v>
      </c>
      <c r="B188" s="14">
        <v>4</v>
      </c>
      <c r="C188" s="14" t="s">
        <v>432</v>
      </c>
      <c r="D188" s="14" t="s">
        <v>394</v>
      </c>
      <c r="E188" s="80"/>
      <c r="F188" s="1">
        <f>IF(AND($P$19=A188,$P$22=B188,$P$25=C188,$P$28=D188),1,0)</f>
        <v>0</v>
      </c>
      <c r="G188" s="14">
        <v>1</v>
      </c>
      <c r="H188" s="1">
        <f>IF(AND($P$19=A188,$P$22=B188,$P$25=C188,$P$28=D188),$Q$36,0)</f>
        <v>0</v>
      </c>
      <c r="I188" s="16">
        <v>1</v>
      </c>
      <c r="J188" s="16">
        <f t="shared" si="32"/>
        <v>0</v>
      </c>
      <c r="K188" s="157">
        <v>5</v>
      </c>
      <c r="L188" s="16">
        <f>(J188*K188%)+J188</f>
        <v>0</v>
      </c>
      <c r="M188" s="118" t="s">
        <v>185</v>
      </c>
      <c r="N188" s="161" t="s">
        <v>314</v>
      </c>
      <c r="O188" s="118"/>
      <c r="P188" s="1" t="s">
        <v>103</v>
      </c>
      <c r="Q188" s="157">
        <v>12.45</v>
      </c>
      <c r="R188" s="16">
        <f>(L188*Q188)</f>
        <v>0</v>
      </c>
      <c r="S188" s="35">
        <v>0</v>
      </c>
      <c r="T188" s="35">
        <v>1</v>
      </c>
      <c r="U188" s="16">
        <f>(Q188*S188)</f>
        <v>0</v>
      </c>
      <c r="V188" s="6">
        <f>(R188*T188)</f>
        <v>0</v>
      </c>
      <c r="W188" s="6">
        <f>SUM(U188:V188)</f>
        <v>0</v>
      </c>
      <c r="X188" s="88">
        <f t="shared" si="38"/>
        <v>130</v>
      </c>
      <c r="Y188" s="122" t="e">
        <f>100-((W188*100)/Z188)</f>
        <v>#DIV/0!</v>
      </c>
      <c r="Z188" s="116">
        <f>(W188*X188%)+W188</f>
        <v>0</v>
      </c>
      <c r="AA188" s="158">
        <v>1.1000000000000001</v>
      </c>
      <c r="AB188" s="159">
        <f>(F188*(H188*AA188))</f>
        <v>0</v>
      </c>
    </row>
    <row r="189" spans="1:28" ht="12.75">
      <c r="A189" s="161">
        <v>300</v>
      </c>
      <c r="B189" s="14">
        <v>4</v>
      </c>
      <c r="C189" s="14" t="s">
        <v>398</v>
      </c>
      <c r="D189" s="14" t="s">
        <v>394</v>
      </c>
      <c r="E189" s="80"/>
      <c r="F189" s="1">
        <f>IF(AND($Q$19=A189,$Q$22=B189,$Q$25=C189,$Q$28=D189),1,0)</f>
        <v>0</v>
      </c>
      <c r="G189" s="14">
        <v>1</v>
      </c>
      <c r="H189" s="1">
        <f>IF(AND($Q$19=A189,$Q$22=B189,$Q$25=C189,$Q$28=D189),$R$36,0)</f>
        <v>0</v>
      </c>
      <c r="I189" s="16">
        <v>1</v>
      </c>
      <c r="J189" s="16">
        <f t="shared" si="32"/>
        <v>0</v>
      </c>
      <c r="K189" s="157">
        <v>5</v>
      </c>
      <c r="L189" s="16">
        <f>(J189*K189%)+J189</f>
        <v>0</v>
      </c>
      <c r="M189" s="118" t="s">
        <v>185</v>
      </c>
      <c r="N189" s="161" t="s">
        <v>153</v>
      </c>
      <c r="O189" s="118"/>
      <c r="P189" s="1" t="s">
        <v>103</v>
      </c>
      <c r="Q189" s="157">
        <v>12.45</v>
      </c>
      <c r="R189" s="16">
        <f>(L189*Q189)</f>
        <v>0</v>
      </c>
      <c r="S189" s="35">
        <v>0</v>
      </c>
      <c r="T189" s="35">
        <v>1</v>
      </c>
      <c r="U189" s="16">
        <f>(Q189*S189)</f>
        <v>0</v>
      </c>
      <c r="V189" s="6">
        <f>(R189*T189)</f>
        <v>0</v>
      </c>
      <c r="W189" s="6">
        <f>SUM(U189:V189)</f>
        <v>0</v>
      </c>
      <c r="X189" s="88">
        <f t="shared" si="38"/>
        <v>130</v>
      </c>
      <c r="Y189" s="122" t="e">
        <f>100-((W189*100)/Z189)</f>
        <v>#DIV/0!</v>
      </c>
      <c r="Z189" s="116">
        <f>(W189*X189%)+W189</f>
        <v>0</v>
      </c>
      <c r="AA189" s="158">
        <v>1.1000000000000001</v>
      </c>
      <c r="AB189" s="159">
        <f>(F189*(H189*AA189))</f>
        <v>0</v>
      </c>
    </row>
    <row r="190" spans="1:28" ht="12.75">
      <c r="A190" s="9">
        <v>300</v>
      </c>
      <c r="B190" s="80">
        <v>5</v>
      </c>
      <c r="C190" s="80" t="s">
        <v>390</v>
      </c>
      <c r="D190" s="80" t="s">
        <v>390</v>
      </c>
      <c r="E190" s="80"/>
      <c r="F190" s="1">
        <f>IF(AND($P$19=A190,$P$22=B190,$P$25=C190,$P$28=D190),1,0)</f>
        <v>0</v>
      </c>
      <c r="G190" s="14">
        <v>1</v>
      </c>
      <c r="H190" s="1">
        <f>IF(AND($P$19=A190,$P$22=B190,$P$25=C190,$P$28=D190),$Q$36,0)</f>
        <v>0</v>
      </c>
      <c r="I190" s="16">
        <v>1</v>
      </c>
      <c r="J190" s="16">
        <f t="shared" si="32"/>
        <v>0</v>
      </c>
      <c r="K190" s="157">
        <v>5</v>
      </c>
      <c r="L190" s="16">
        <f t="shared" si="33"/>
        <v>0</v>
      </c>
      <c r="M190" s="118" t="s">
        <v>121</v>
      </c>
      <c r="N190" s="118" t="s">
        <v>361</v>
      </c>
      <c r="O190" s="118"/>
      <c r="P190" s="1" t="s">
        <v>103</v>
      </c>
      <c r="Q190" s="157">
        <v>12.8</v>
      </c>
      <c r="R190" s="16">
        <f t="shared" si="34"/>
        <v>0</v>
      </c>
      <c r="S190" s="35">
        <v>0</v>
      </c>
      <c r="T190" s="35">
        <v>1</v>
      </c>
      <c r="U190" s="16">
        <f t="shared" si="35"/>
        <v>0</v>
      </c>
      <c r="V190" s="6">
        <f t="shared" si="36"/>
        <v>0</v>
      </c>
      <c r="W190" s="6">
        <f t="shared" si="37"/>
        <v>0</v>
      </c>
      <c r="X190" s="88">
        <f t="shared" si="38"/>
        <v>130</v>
      </c>
      <c r="Y190" s="122" t="e">
        <f t="shared" si="39"/>
        <v>#DIV/0!</v>
      </c>
      <c r="Z190" s="116">
        <f t="shared" si="40"/>
        <v>0</v>
      </c>
      <c r="AA190" s="158">
        <v>1.84</v>
      </c>
      <c r="AB190" s="159">
        <f t="shared" si="41"/>
        <v>0</v>
      </c>
    </row>
    <row r="191" spans="1:28" ht="12.75">
      <c r="A191" s="9">
        <v>300</v>
      </c>
      <c r="B191" s="80">
        <v>5</v>
      </c>
      <c r="C191" s="80" t="s">
        <v>390</v>
      </c>
      <c r="D191" s="80" t="s">
        <v>390</v>
      </c>
      <c r="E191" s="80"/>
      <c r="F191" s="1">
        <f>IF(AND($Q$19=A191,$Q$22=B191,$Q$25=C191,$Q$28=D191),1,0)</f>
        <v>0</v>
      </c>
      <c r="G191" s="14">
        <v>1</v>
      </c>
      <c r="H191" s="1">
        <f>IF(AND($Q$19=A191,$Q$22=B191,$Q$25=C191,$Q$28=D191),$R$36,0)</f>
        <v>0</v>
      </c>
      <c r="I191" s="16">
        <v>1</v>
      </c>
      <c r="J191" s="16">
        <f t="shared" si="32"/>
        <v>0</v>
      </c>
      <c r="K191" s="157">
        <v>5</v>
      </c>
      <c r="L191" s="16">
        <f t="shared" si="33"/>
        <v>0</v>
      </c>
      <c r="M191" s="118" t="s">
        <v>121</v>
      </c>
      <c r="N191" s="118" t="s">
        <v>13</v>
      </c>
      <c r="O191" s="118"/>
      <c r="P191" s="1" t="s">
        <v>103</v>
      </c>
      <c r="Q191" s="157">
        <v>12.8</v>
      </c>
      <c r="R191" s="16">
        <f t="shared" si="34"/>
        <v>0</v>
      </c>
      <c r="S191" s="35">
        <v>0</v>
      </c>
      <c r="T191" s="35">
        <v>1</v>
      </c>
      <c r="U191" s="16">
        <f t="shared" si="35"/>
        <v>0</v>
      </c>
      <c r="V191" s="6">
        <f t="shared" si="36"/>
        <v>0</v>
      </c>
      <c r="W191" s="6">
        <f t="shared" si="37"/>
        <v>0</v>
      </c>
      <c r="X191" s="88">
        <f t="shared" si="38"/>
        <v>130</v>
      </c>
      <c r="Y191" s="122" t="e">
        <f t="shared" si="39"/>
        <v>#DIV/0!</v>
      </c>
      <c r="Z191" s="116">
        <f t="shared" si="40"/>
        <v>0</v>
      </c>
      <c r="AA191" s="158">
        <v>1.84</v>
      </c>
      <c r="AB191" s="159">
        <f t="shared" si="41"/>
        <v>0</v>
      </c>
    </row>
    <row r="192" spans="1:28" ht="12.75">
      <c r="A192" s="9"/>
      <c r="B192" s="80"/>
      <c r="C192" s="80"/>
      <c r="D192" s="80"/>
      <c r="E192" s="80"/>
      <c r="F192" s="118"/>
      <c r="G192" s="14"/>
      <c r="H192" s="118"/>
      <c r="I192" s="16"/>
      <c r="J192" s="16"/>
      <c r="K192" s="16"/>
      <c r="L192" s="16"/>
      <c r="M192" s="118"/>
      <c r="N192" s="118"/>
      <c r="O192" s="118"/>
      <c r="P192" s="1"/>
      <c r="Q192" s="157"/>
      <c r="R192" s="16"/>
      <c r="S192" s="35"/>
      <c r="T192" s="35"/>
      <c r="U192" s="16"/>
      <c r="V192" s="6"/>
      <c r="W192" s="6"/>
      <c r="X192" s="82"/>
      <c r="Y192" s="122"/>
      <c r="Z192" s="116"/>
      <c r="AA192" s="156"/>
    </row>
    <row r="193" spans="1:27" ht="12.75">
      <c r="A193" s="144" t="s">
        <v>352</v>
      </c>
      <c r="B193" s="145"/>
      <c r="C193" s="145"/>
      <c r="D193" s="145"/>
      <c r="E193" s="145"/>
      <c r="F193" s="146"/>
      <c r="G193" s="147"/>
      <c r="H193" s="148"/>
      <c r="I193" s="148"/>
      <c r="J193" s="148"/>
      <c r="K193" s="148"/>
      <c r="L193" s="148"/>
      <c r="M193" s="149"/>
      <c r="N193" s="149"/>
      <c r="O193" s="149"/>
      <c r="P193" s="150"/>
      <c r="Q193" s="148"/>
      <c r="R193" s="148"/>
      <c r="S193" s="151"/>
      <c r="T193" s="151"/>
      <c r="U193" s="148"/>
      <c r="V193" s="152"/>
      <c r="W193" s="152"/>
      <c r="X193" s="153"/>
      <c r="Y193" s="154"/>
      <c r="Z193" s="155"/>
      <c r="AA193" s="156"/>
    </row>
    <row r="194" spans="1:27" ht="12.75">
      <c r="A194" s="9"/>
      <c r="B194" s="80"/>
      <c r="C194" s="80"/>
      <c r="D194" s="80"/>
      <c r="E194" s="80"/>
      <c r="F194" s="9"/>
      <c r="G194" s="14"/>
      <c r="H194" s="16"/>
      <c r="I194" s="16"/>
      <c r="J194" s="16"/>
      <c r="K194" s="16"/>
      <c r="L194" s="16"/>
      <c r="M194" s="118"/>
      <c r="N194" s="118"/>
      <c r="O194" s="118"/>
      <c r="P194" s="1"/>
      <c r="Q194" s="16"/>
      <c r="R194" s="16"/>
      <c r="S194" s="35"/>
      <c r="T194" s="35"/>
      <c r="U194" s="16"/>
      <c r="V194" s="6"/>
      <c r="W194" s="6"/>
      <c r="X194" s="160"/>
      <c r="Y194" s="122"/>
      <c r="Z194" s="116"/>
      <c r="AA194" s="156"/>
    </row>
    <row r="195" spans="1:27" ht="12.75">
      <c r="A195" s="162">
        <v>1200</v>
      </c>
      <c r="B195" s="80">
        <v>2</v>
      </c>
      <c r="C195" s="80" t="s">
        <v>335</v>
      </c>
      <c r="D195" s="80" t="s">
        <v>335</v>
      </c>
      <c r="E195" s="80"/>
      <c r="F195" s="1">
        <f>IF(AND($P$19=A195,$P$22=B195,$P$25=C195,$P$28=D195),1,0)</f>
        <v>0</v>
      </c>
      <c r="G195" s="14">
        <v>1</v>
      </c>
      <c r="H195" s="1">
        <f>IF(AND($P$19=A195,$P$22=B195,$P$25=C195,$P$28=D195),$Q$36,0)</f>
        <v>0</v>
      </c>
      <c r="I195" s="16">
        <v>1</v>
      </c>
      <c r="J195" s="16">
        <f>((H195*I195)*AND(G195=1)*AND(F195=1))</f>
        <v>0</v>
      </c>
      <c r="K195" s="16">
        <v>0</v>
      </c>
      <c r="L195" s="16">
        <f>(J195*K195%)+J195</f>
        <v>0</v>
      </c>
      <c r="M195" s="118" t="s">
        <v>373</v>
      </c>
      <c r="N195" s="9" t="s">
        <v>232</v>
      </c>
      <c r="O195" s="118"/>
      <c r="P195" s="1" t="s">
        <v>103</v>
      </c>
      <c r="Q195" s="157">
        <v>37.5</v>
      </c>
      <c r="R195" s="16">
        <f t="shared" ref="R195:R208" si="42">(L195*Q195)</f>
        <v>0</v>
      </c>
      <c r="S195" s="35">
        <v>0</v>
      </c>
      <c r="T195" s="35">
        <v>1</v>
      </c>
      <c r="U195" s="16">
        <f t="shared" ref="U195:V208" si="43">(Q195*S195)</f>
        <v>0</v>
      </c>
      <c r="V195" s="6">
        <f t="shared" si="43"/>
        <v>0</v>
      </c>
      <c r="W195" s="6">
        <f t="shared" ref="W195:W208" si="44">SUM(U195:V195)</f>
        <v>0</v>
      </c>
      <c r="X195" s="88">
        <f t="shared" ref="X195:X211" si="45">($O$57)</f>
        <v>130</v>
      </c>
      <c r="Y195" s="122" t="e">
        <f t="shared" ref="Y195:Y208" si="46">100-((W195*100)/Z195)</f>
        <v>#DIV/0!</v>
      </c>
      <c r="Z195" s="94">
        <f t="shared" ref="Z195:Z208" si="47">(W195*X195%)+W195</f>
        <v>0</v>
      </c>
      <c r="AA195" s="156"/>
    </row>
    <row r="196" spans="1:27" ht="12.75">
      <c r="A196" s="162">
        <v>1200</v>
      </c>
      <c r="B196" s="80">
        <v>2</v>
      </c>
      <c r="C196" s="80" t="s">
        <v>335</v>
      </c>
      <c r="D196" s="80" t="s">
        <v>335</v>
      </c>
      <c r="E196" s="80"/>
      <c r="F196" s="1">
        <f>IF(AND($Q$19=A196,$Q$22=B196,$Q$25=C196,$Q$28=D196),1,0)</f>
        <v>0</v>
      </c>
      <c r="G196" s="14">
        <v>1</v>
      </c>
      <c r="H196" s="1">
        <f>IF(AND($Q$19=A196,$Q$22=B196,$Q$25=C196,$Q$28=D196),$R$36,0)</f>
        <v>0</v>
      </c>
      <c r="I196" s="16">
        <v>1</v>
      </c>
      <c r="J196" s="16">
        <f>((H196*I196)*AND(G196=1)*AND(F196=1))</f>
        <v>0</v>
      </c>
      <c r="K196" s="16">
        <v>0</v>
      </c>
      <c r="L196" s="16">
        <f>(J196*K196%)+J196</f>
        <v>0</v>
      </c>
      <c r="M196" s="118" t="s">
        <v>373</v>
      </c>
      <c r="N196" s="9" t="s">
        <v>193</v>
      </c>
      <c r="O196" s="118"/>
      <c r="P196" s="1" t="s">
        <v>103</v>
      </c>
      <c r="Q196" s="157">
        <v>37.5</v>
      </c>
      <c r="R196" s="16"/>
      <c r="S196" s="35"/>
      <c r="T196" s="35"/>
      <c r="U196" s="16"/>
      <c r="V196" s="6"/>
      <c r="W196" s="6"/>
      <c r="X196" s="88">
        <f t="shared" si="45"/>
        <v>130</v>
      </c>
      <c r="Y196" s="122"/>
      <c r="Z196" s="94"/>
      <c r="AA196" s="156"/>
    </row>
    <row r="197" spans="1:27" ht="12.75">
      <c r="A197" s="162">
        <v>1200</v>
      </c>
      <c r="B197" s="80">
        <v>3</v>
      </c>
      <c r="C197" s="80" t="s">
        <v>335</v>
      </c>
      <c r="D197" s="80" t="s">
        <v>335</v>
      </c>
      <c r="E197" s="80"/>
      <c r="F197" s="1">
        <f>IF(AND($P$19=A197,$P$22=B197,$P$25=C197,$P$28=D197),1,0)</f>
        <v>0</v>
      </c>
      <c r="G197" s="14">
        <v>1</v>
      </c>
      <c r="H197" s="1">
        <f>IF(AND($P$19=A197,$P$22=B197,$P$25=C197,$P$28=D197),$Q$36,0)</f>
        <v>0</v>
      </c>
      <c r="I197" s="16">
        <v>1</v>
      </c>
      <c r="J197" s="16">
        <f>((H197*I197)*AND(G197=1)*AND(F197=1))</f>
        <v>0</v>
      </c>
      <c r="K197" s="16">
        <v>0</v>
      </c>
      <c r="L197" s="16">
        <f>(J197*K197%)+J197</f>
        <v>0</v>
      </c>
      <c r="M197" s="118" t="s">
        <v>373</v>
      </c>
      <c r="N197" s="9" t="s">
        <v>211</v>
      </c>
      <c r="O197" s="118"/>
      <c r="P197" s="1" t="s">
        <v>103</v>
      </c>
      <c r="Q197" s="190">
        <v>46.69</v>
      </c>
      <c r="R197" s="16">
        <f t="shared" si="42"/>
        <v>0</v>
      </c>
      <c r="S197" s="35">
        <v>0</v>
      </c>
      <c r="T197" s="35">
        <v>1</v>
      </c>
      <c r="U197" s="16">
        <f t="shared" si="43"/>
        <v>0</v>
      </c>
      <c r="V197" s="6">
        <f t="shared" si="43"/>
        <v>0</v>
      </c>
      <c r="W197" s="6">
        <f t="shared" si="44"/>
        <v>0</v>
      </c>
      <c r="X197" s="88">
        <f t="shared" si="45"/>
        <v>130</v>
      </c>
      <c r="Y197" s="122" t="e">
        <f t="shared" si="46"/>
        <v>#DIV/0!</v>
      </c>
      <c r="Z197" s="94">
        <f t="shared" si="47"/>
        <v>0</v>
      </c>
      <c r="AA197" s="156"/>
    </row>
    <row r="198" spans="1:27" ht="12.75">
      <c r="A198" s="162">
        <v>1200</v>
      </c>
      <c r="B198" s="80">
        <v>3</v>
      </c>
      <c r="C198" s="80" t="s">
        <v>335</v>
      </c>
      <c r="D198" s="80" t="s">
        <v>335</v>
      </c>
      <c r="E198" s="80"/>
      <c r="F198" s="1">
        <f>IF(AND($Q$19=A198,$Q$22=B198,$Q$25=C198,$Q$28=D198),1,0)</f>
        <v>0</v>
      </c>
      <c r="G198" s="14">
        <v>1</v>
      </c>
      <c r="H198" s="1">
        <f>IF(AND($Q$19=A198,$Q$22=B198,$Q$25=C198,$Q$28=D198),$R$36,0)</f>
        <v>0</v>
      </c>
      <c r="I198" s="16">
        <v>1</v>
      </c>
      <c r="J198" s="16">
        <f t="shared" ref="J198:J209" si="48">((H198*I198)*AND(G198=1)*AND(F198=1))</f>
        <v>0</v>
      </c>
      <c r="K198" s="16">
        <v>0</v>
      </c>
      <c r="L198" s="16">
        <f t="shared" ref="L198:L209" si="49">(J198*K198%)+J198</f>
        <v>0</v>
      </c>
      <c r="M198" s="118" t="s">
        <v>373</v>
      </c>
      <c r="N198" s="9" t="s">
        <v>204</v>
      </c>
      <c r="O198" s="118"/>
      <c r="P198" s="1" t="s">
        <v>103</v>
      </c>
      <c r="Q198" s="190">
        <v>46.69</v>
      </c>
      <c r="R198" s="16"/>
      <c r="S198" s="35"/>
      <c r="T198" s="35"/>
      <c r="U198" s="16"/>
      <c r="V198" s="6"/>
      <c r="W198" s="6"/>
      <c r="X198" s="88">
        <f t="shared" si="45"/>
        <v>130</v>
      </c>
      <c r="Y198" s="122"/>
      <c r="Z198" s="94"/>
      <c r="AA198" s="156"/>
    </row>
    <row r="199" spans="1:27" ht="12.75">
      <c r="A199" s="162">
        <v>1200</v>
      </c>
      <c r="B199" s="80">
        <v>4</v>
      </c>
      <c r="C199" s="80" t="s">
        <v>335</v>
      </c>
      <c r="D199" s="80" t="s">
        <v>335</v>
      </c>
      <c r="E199" s="80"/>
      <c r="F199" s="1">
        <f>IF(AND($P$19=A199,$P$22=B199,$P$25=C199,$P$28=D199),1,0)</f>
        <v>0</v>
      </c>
      <c r="G199" s="14">
        <v>1</v>
      </c>
      <c r="H199" s="1">
        <f>IF(AND($P$19=A199,$P$22=B199,$P$25=C199,$P$28=D199),$Q$36,0)</f>
        <v>0</v>
      </c>
      <c r="I199" s="16">
        <v>1</v>
      </c>
      <c r="J199" s="16">
        <f t="shared" si="48"/>
        <v>0</v>
      </c>
      <c r="K199" s="16">
        <v>0</v>
      </c>
      <c r="L199" s="16">
        <f t="shared" si="49"/>
        <v>0</v>
      </c>
      <c r="M199" s="118" t="s">
        <v>373</v>
      </c>
      <c r="N199" s="9" t="s">
        <v>205</v>
      </c>
      <c r="O199" s="118"/>
      <c r="P199" s="1" t="s">
        <v>103</v>
      </c>
      <c r="Q199" s="157">
        <v>75</v>
      </c>
      <c r="R199" s="16">
        <f t="shared" si="42"/>
        <v>0</v>
      </c>
      <c r="S199" s="35">
        <v>0</v>
      </c>
      <c r="T199" s="35">
        <v>1</v>
      </c>
      <c r="U199" s="16">
        <f t="shared" si="43"/>
        <v>0</v>
      </c>
      <c r="V199" s="6">
        <f t="shared" si="43"/>
        <v>0</v>
      </c>
      <c r="W199" s="6">
        <f t="shared" si="44"/>
        <v>0</v>
      </c>
      <c r="X199" s="88">
        <f t="shared" si="45"/>
        <v>130</v>
      </c>
      <c r="Y199" s="122" t="e">
        <f t="shared" si="46"/>
        <v>#DIV/0!</v>
      </c>
      <c r="Z199" s="94">
        <f t="shared" si="47"/>
        <v>0</v>
      </c>
      <c r="AA199" s="156"/>
    </row>
    <row r="200" spans="1:27" ht="12.75">
      <c r="A200" s="162">
        <v>1200</v>
      </c>
      <c r="B200" s="80">
        <v>4</v>
      </c>
      <c r="C200" s="80" t="s">
        <v>335</v>
      </c>
      <c r="D200" s="80" t="s">
        <v>335</v>
      </c>
      <c r="E200" s="80"/>
      <c r="F200" s="1">
        <f>IF(AND($Q$19=A200,$Q$22=B200,$Q$25=C200,$Q$28=D200),1,0)</f>
        <v>0</v>
      </c>
      <c r="G200" s="14">
        <v>1</v>
      </c>
      <c r="H200" s="1">
        <f>IF(AND($Q$19=A200,$Q$22=B200,$Q$25=C200,$Q$28=D200),$R$36,0)</f>
        <v>0</v>
      </c>
      <c r="I200" s="16">
        <v>1</v>
      </c>
      <c r="J200" s="16">
        <f t="shared" si="48"/>
        <v>0</v>
      </c>
      <c r="K200" s="16">
        <v>0</v>
      </c>
      <c r="L200" s="16">
        <f t="shared" si="49"/>
        <v>0</v>
      </c>
      <c r="M200" s="118" t="s">
        <v>373</v>
      </c>
      <c r="N200" s="9" t="s">
        <v>61</v>
      </c>
      <c r="O200" s="118"/>
      <c r="P200" s="1" t="s">
        <v>103</v>
      </c>
      <c r="Q200" s="157">
        <v>75</v>
      </c>
      <c r="R200" s="16"/>
      <c r="S200" s="35"/>
      <c r="T200" s="35"/>
      <c r="U200" s="16"/>
      <c r="V200" s="6"/>
      <c r="W200" s="6"/>
      <c r="X200" s="88">
        <f t="shared" si="45"/>
        <v>130</v>
      </c>
      <c r="Y200" s="122"/>
      <c r="Z200" s="94"/>
      <c r="AA200" s="156"/>
    </row>
    <row r="201" spans="1:27" ht="12.75">
      <c r="A201" s="162">
        <v>1200</v>
      </c>
      <c r="B201" s="80">
        <v>5</v>
      </c>
      <c r="C201" s="80" t="s">
        <v>335</v>
      </c>
      <c r="D201" s="80" t="s">
        <v>335</v>
      </c>
      <c r="E201" s="80"/>
      <c r="F201" s="1">
        <f>IF(AND($P$19=A201,$P$22=B201,$P$25=C201,$P$28=D201),1,0)</f>
        <v>0</v>
      </c>
      <c r="G201" s="14">
        <v>1</v>
      </c>
      <c r="H201" s="1">
        <f>IF(AND($P$19=A201,$P$22=B201,$P$25=C201,$P$28=D201),$Q$36,0)</f>
        <v>0</v>
      </c>
      <c r="I201" s="16">
        <v>1</v>
      </c>
      <c r="J201" s="16">
        <f t="shared" si="48"/>
        <v>0</v>
      </c>
      <c r="K201" s="16">
        <v>0</v>
      </c>
      <c r="L201" s="16">
        <f t="shared" si="49"/>
        <v>0</v>
      </c>
      <c r="M201" s="118" t="s">
        <v>373</v>
      </c>
      <c r="N201" s="9" t="s">
        <v>380</v>
      </c>
      <c r="O201" s="118"/>
      <c r="P201" s="1" t="s">
        <v>103</v>
      </c>
      <c r="Q201" s="157">
        <v>93.75</v>
      </c>
      <c r="R201" s="16">
        <f t="shared" si="42"/>
        <v>0</v>
      </c>
      <c r="S201" s="35">
        <v>0</v>
      </c>
      <c r="T201" s="35">
        <v>1</v>
      </c>
      <c r="U201" s="16">
        <f t="shared" si="43"/>
        <v>0</v>
      </c>
      <c r="V201" s="6">
        <f t="shared" si="43"/>
        <v>0</v>
      </c>
      <c r="W201" s="6">
        <f t="shared" si="44"/>
        <v>0</v>
      </c>
      <c r="X201" s="88">
        <f t="shared" si="45"/>
        <v>130</v>
      </c>
      <c r="Y201" s="122" t="e">
        <f t="shared" si="46"/>
        <v>#DIV/0!</v>
      </c>
      <c r="Z201" s="94">
        <f t="shared" si="47"/>
        <v>0</v>
      </c>
      <c r="AA201" s="156"/>
    </row>
    <row r="202" spans="1:27" ht="12.75">
      <c r="A202" s="162">
        <v>1200</v>
      </c>
      <c r="B202" s="80">
        <v>5</v>
      </c>
      <c r="C202" s="80" t="s">
        <v>335</v>
      </c>
      <c r="D202" s="80" t="s">
        <v>335</v>
      </c>
      <c r="E202" s="80"/>
      <c r="F202" s="1">
        <f>IF(AND($Q$19=A202,$Q$22=B202,$Q$25=C202,$Q$28=D202),1,0)</f>
        <v>0</v>
      </c>
      <c r="G202" s="14">
        <v>1</v>
      </c>
      <c r="H202" s="1">
        <f>IF(AND($Q$19=A202,$Q$22=B202,$Q$25=C202,$Q$28=D202),$R$36,0)</f>
        <v>0</v>
      </c>
      <c r="I202" s="16">
        <v>1</v>
      </c>
      <c r="J202" s="16">
        <f t="shared" si="48"/>
        <v>0</v>
      </c>
      <c r="K202" s="16">
        <v>0</v>
      </c>
      <c r="L202" s="16">
        <f t="shared" si="49"/>
        <v>0</v>
      </c>
      <c r="M202" s="118" t="s">
        <v>373</v>
      </c>
      <c r="N202" s="9" t="s">
        <v>381</v>
      </c>
      <c r="O202" s="118"/>
      <c r="P202" s="1" t="s">
        <v>103</v>
      </c>
      <c r="Q202" s="157">
        <v>93.75</v>
      </c>
      <c r="R202" s="16"/>
      <c r="S202" s="35"/>
      <c r="T202" s="35"/>
      <c r="U202" s="16"/>
      <c r="V202" s="6"/>
      <c r="W202" s="6"/>
      <c r="X202" s="88">
        <f t="shared" si="45"/>
        <v>130</v>
      </c>
      <c r="Y202" s="122"/>
      <c r="Z202" s="94"/>
      <c r="AA202" s="156"/>
    </row>
    <row r="203" spans="1:27" ht="12.75">
      <c r="A203" s="162">
        <v>1200</v>
      </c>
      <c r="B203" s="80">
        <v>6</v>
      </c>
      <c r="C203" s="80" t="s">
        <v>335</v>
      </c>
      <c r="D203" s="80" t="s">
        <v>335</v>
      </c>
      <c r="E203" s="80"/>
      <c r="F203" s="1">
        <f>IF(AND($P$19=A203,$P$22=B203,$P$25=C203,$P$28=D203),1,0)</f>
        <v>0</v>
      </c>
      <c r="G203" s="14">
        <v>1</v>
      </c>
      <c r="H203" s="1">
        <f>IF(AND($P$19=A203,$P$22=B203,$P$25=C203,$P$28=D203),$Q$36,0)</f>
        <v>0</v>
      </c>
      <c r="I203" s="16">
        <v>1</v>
      </c>
      <c r="J203" s="16">
        <f t="shared" si="48"/>
        <v>0</v>
      </c>
      <c r="K203" s="16">
        <v>0</v>
      </c>
      <c r="L203" s="16">
        <f t="shared" si="49"/>
        <v>0</v>
      </c>
      <c r="M203" s="118" t="s">
        <v>373</v>
      </c>
      <c r="N203" s="9" t="s">
        <v>17</v>
      </c>
      <c r="O203" s="118"/>
      <c r="P203" s="1" t="s">
        <v>103</v>
      </c>
      <c r="Q203" s="157">
        <v>112.5</v>
      </c>
      <c r="R203" s="16">
        <f t="shared" si="42"/>
        <v>0</v>
      </c>
      <c r="S203" s="35">
        <v>0</v>
      </c>
      <c r="T203" s="35">
        <v>1</v>
      </c>
      <c r="U203" s="16">
        <f t="shared" si="43"/>
        <v>0</v>
      </c>
      <c r="V203" s="6">
        <f t="shared" si="43"/>
        <v>0</v>
      </c>
      <c r="W203" s="6">
        <f t="shared" si="44"/>
        <v>0</v>
      </c>
      <c r="X203" s="88">
        <f t="shared" si="45"/>
        <v>130</v>
      </c>
      <c r="Y203" s="122" t="e">
        <f t="shared" si="46"/>
        <v>#DIV/0!</v>
      </c>
      <c r="Z203" s="94">
        <f t="shared" si="47"/>
        <v>0</v>
      </c>
      <c r="AA203" s="156"/>
    </row>
    <row r="204" spans="1:27" ht="12.75">
      <c r="A204" s="162">
        <v>1200</v>
      </c>
      <c r="B204" s="80">
        <v>6</v>
      </c>
      <c r="C204" s="80" t="s">
        <v>335</v>
      </c>
      <c r="D204" s="80" t="s">
        <v>335</v>
      </c>
      <c r="E204" s="80"/>
      <c r="F204" s="1">
        <f>IF(AND($Q$19=A204,$Q$22=B204,$Q$25=C204,$Q$28=D204),1,0)</f>
        <v>0</v>
      </c>
      <c r="G204" s="14">
        <v>1</v>
      </c>
      <c r="H204" s="1">
        <f>IF(AND($Q$19=A204,$Q$22=B204,$Q$25=C204,$Q$28=D204),$R$36,0)</f>
        <v>0</v>
      </c>
      <c r="I204" s="16">
        <v>1</v>
      </c>
      <c r="J204" s="16">
        <f t="shared" si="48"/>
        <v>0</v>
      </c>
      <c r="K204" s="16">
        <v>0</v>
      </c>
      <c r="L204" s="16">
        <f t="shared" si="49"/>
        <v>0</v>
      </c>
      <c r="M204" s="118" t="s">
        <v>373</v>
      </c>
      <c r="N204" s="9" t="s">
        <v>191</v>
      </c>
      <c r="O204" s="118"/>
      <c r="P204" s="1" t="s">
        <v>103</v>
      </c>
      <c r="Q204" s="157">
        <v>112.5</v>
      </c>
      <c r="R204" s="16"/>
      <c r="S204" s="35"/>
      <c r="T204" s="35"/>
      <c r="U204" s="16"/>
      <c r="V204" s="6"/>
      <c r="W204" s="6"/>
      <c r="X204" s="88">
        <f t="shared" si="45"/>
        <v>130</v>
      </c>
      <c r="Y204" s="122"/>
      <c r="Z204" s="94"/>
      <c r="AA204" s="156"/>
    </row>
    <row r="205" spans="1:27" ht="12.75">
      <c r="A205" s="162">
        <v>1200</v>
      </c>
      <c r="B205" s="80">
        <v>7</v>
      </c>
      <c r="C205" s="80" t="s">
        <v>335</v>
      </c>
      <c r="D205" s="80" t="s">
        <v>335</v>
      </c>
      <c r="E205" s="80"/>
      <c r="F205" s="1">
        <f>IF(AND($P$19=A205,$P$22=B205,$P$25=C205,$P$28=D205),1,0)</f>
        <v>0</v>
      </c>
      <c r="G205" s="14">
        <v>1</v>
      </c>
      <c r="H205" s="1">
        <f>IF(AND($P$19=A205,$P$22=B205,$P$25=C205,$P$28=D205),$Q$36,0)</f>
        <v>0</v>
      </c>
      <c r="I205" s="16">
        <v>1</v>
      </c>
      <c r="J205" s="16">
        <f t="shared" si="48"/>
        <v>0</v>
      </c>
      <c r="K205" s="16">
        <v>0</v>
      </c>
      <c r="L205" s="16">
        <f t="shared" si="49"/>
        <v>0</v>
      </c>
      <c r="M205" s="118" t="s">
        <v>373</v>
      </c>
      <c r="N205" s="9" t="s">
        <v>46</v>
      </c>
      <c r="O205" s="118"/>
      <c r="P205" s="1" t="s">
        <v>103</v>
      </c>
      <c r="Q205" s="157">
        <v>131.25</v>
      </c>
      <c r="R205" s="16">
        <f t="shared" si="42"/>
        <v>0</v>
      </c>
      <c r="S205" s="35">
        <v>0</v>
      </c>
      <c r="T205" s="35">
        <v>1</v>
      </c>
      <c r="U205" s="16">
        <f t="shared" si="43"/>
        <v>0</v>
      </c>
      <c r="V205" s="6">
        <f t="shared" si="43"/>
        <v>0</v>
      </c>
      <c r="W205" s="6">
        <f t="shared" si="44"/>
        <v>0</v>
      </c>
      <c r="X205" s="88">
        <f t="shared" si="45"/>
        <v>130</v>
      </c>
      <c r="Y205" s="122" t="e">
        <f t="shared" si="46"/>
        <v>#DIV/0!</v>
      </c>
      <c r="Z205" s="94">
        <f t="shared" si="47"/>
        <v>0</v>
      </c>
      <c r="AA205" s="156"/>
    </row>
    <row r="206" spans="1:27" ht="12.75">
      <c r="A206" s="162">
        <v>1200</v>
      </c>
      <c r="B206" s="80">
        <v>7</v>
      </c>
      <c r="C206" s="80" t="s">
        <v>335</v>
      </c>
      <c r="D206" s="80" t="s">
        <v>335</v>
      </c>
      <c r="E206" s="80"/>
      <c r="F206" s="1">
        <f>IF(AND($Q$19=A206,$Q$22=B206,$Q$25=C206,$Q$28=D206),1,0)</f>
        <v>0</v>
      </c>
      <c r="G206" s="14">
        <v>1</v>
      </c>
      <c r="H206" s="1">
        <f>IF(AND($Q$19=A206,$Q$22=B206,$Q$25=C206,$Q$28=D206),$R$36,0)</f>
        <v>0</v>
      </c>
      <c r="I206" s="16">
        <v>1</v>
      </c>
      <c r="J206" s="16">
        <f t="shared" si="48"/>
        <v>0</v>
      </c>
      <c r="K206" s="16">
        <v>0</v>
      </c>
      <c r="L206" s="16">
        <f t="shared" si="49"/>
        <v>0</v>
      </c>
      <c r="M206" s="118" t="s">
        <v>373</v>
      </c>
      <c r="N206" s="9" t="s">
        <v>210</v>
      </c>
      <c r="O206" s="118"/>
      <c r="P206" s="1" t="s">
        <v>103</v>
      </c>
      <c r="Q206" s="157">
        <v>131.25</v>
      </c>
      <c r="R206" s="16"/>
      <c r="S206" s="35"/>
      <c r="T206" s="35"/>
      <c r="U206" s="16"/>
      <c r="V206" s="6"/>
      <c r="W206" s="6"/>
      <c r="X206" s="88">
        <f t="shared" si="45"/>
        <v>130</v>
      </c>
      <c r="Y206" s="122"/>
      <c r="Z206" s="94"/>
      <c r="AA206" s="156"/>
    </row>
    <row r="207" spans="1:27" ht="12.75">
      <c r="A207" s="162"/>
      <c r="B207" s="80"/>
      <c r="C207" s="80"/>
      <c r="D207" s="80"/>
      <c r="E207" s="80"/>
      <c r="F207" s="1"/>
      <c r="G207" s="14"/>
      <c r="H207" s="1"/>
      <c r="I207" s="16"/>
      <c r="J207" s="16"/>
      <c r="K207" s="16"/>
      <c r="L207" s="16"/>
      <c r="M207" s="118"/>
      <c r="N207" s="9"/>
      <c r="O207" s="118"/>
      <c r="P207" s="1"/>
      <c r="Q207" s="157"/>
      <c r="R207" s="16"/>
      <c r="S207" s="35"/>
      <c r="T207" s="35"/>
      <c r="U207" s="16"/>
      <c r="V207" s="6"/>
      <c r="W207" s="6"/>
      <c r="X207" s="82"/>
      <c r="Y207" s="122"/>
      <c r="Z207" s="94"/>
      <c r="AA207" s="156"/>
    </row>
    <row r="208" spans="1:27" ht="12.75">
      <c r="A208" s="162">
        <v>1370</v>
      </c>
      <c r="B208" s="80">
        <v>1</v>
      </c>
      <c r="C208" s="80" t="s">
        <v>335</v>
      </c>
      <c r="D208" s="80" t="s">
        <v>335</v>
      </c>
      <c r="E208" s="80"/>
      <c r="F208" s="1">
        <f>IF(AND($P$19=A208,$P$22=B208,$P$25=C208,$P$28=D208),1,0)</f>
        <v>0</v>
      </c>
      <c r="G208" s="14">
        <v>1</v>
      </c>
      <c r="H208" s="1">
        <f>IF(AND($P$19=A208,$P$22=B208,$P$25=C208,$P$28=D208),$Q$36,0)</f>
        <v>0</v>
      </c>
      <c r="I208" s="16">
        <v>1</v>
      </c>
      <c r="J208" s="16">
        <f t="shared" si="48"/>
        <v>0</v>
      </c>
      <c r="K208" s="16">
        <v>0</v>
      </c>
      <c r="L208" s="16">
        <f t="shared" si="49"/>
        <v>0</v>
      </c>
      <c r="M208" s="118" t="s">
        <v>373</v>
      </c>
      <c r="N208" s="9" t="s">
        <v>266</v>
      </c>
      <c r="O208" s="118"/>
      <c r="P208" s="1" t="s">
        <v>103</v>
      </c>
      <c r="Q208" s="157">
        <v>11.25</v>
      </c>
      <c r="R208" s="16">
        <f t="shared" si="42"/>
        <v>0</v>
      </c>
      <c r="S208" s="35">
        <v>0</v>
      </c>
      <c r="T208" s="35">
        <v>1</v>
      </c>
      <c r="U208" s="16">
        <f t="shared" si="43"/>
        <v>0</v>
      </c>
      <c r="V208" s="6">
        <f t="shared" si="43"/>
        <v>0</v>
      </c>
      <c r="W208" s="6">
        <f t="shared" si="44"/>
        <v>0</v>
      </c>
      <c r="X208" s="88">
        <f t="shared" si="45"/>
        <v>130</v>
      </c>
      <c r="Y208" s="122" t="e">
        <f t="shared" si="46"/>
        <v>#DIV/0!</v>
      </c>
      <c r="Z208" s="94">
        <f t="shared" si="47"/>
        <v>0</v>
      </c>
      <c r="AA208" s="156"/>
    </row>
    <row r="209" spans="1:28" ht="12.75">
      <c r="A209" s="162">
        <v>1370</v>
      </c>
      <c r="B209" s="80">
        <v>1</v>
      </c>
      <c r="C209" s="80" t="s">
        <v>335</v>
      </c>
      <c r="D209" s="80" t="s">
        <v>335</v>
      </c>
      <c r="E209" s="80"/>
      <c r="F209" s="1">
        <f>IF(AND($Q$19=A209,$Q$22=B209,$Q$25=C209,$Q$28=D209),1,0)</f>
        <v>0</v>
      </c>
      <c r="G209" s="14">
        <v>1</v>
      </c>
      <c r="H209" s="1">
        <f>IF(AND($Q$19=A209,$Q$22=B209,$Q$25=C209,$Q$28=D209),$R$36,0)</f>
        <v>0</v>
      </c>
      <c r="I209" s="16">
        <v>1</v>
      </c>
      <c r="J209" s="16">
        <f t="shared" si="48"/>
        <v>0</v>
      </c>
      <c r="K209" s="16">
        <v>0</v>
      </c>
      <c r="L209" s="16">
        <f t="shared" si="49"/>
        <v>0</v>
      </c>
      <c r="M209" s="118" t="s">
        <v>373</v>
      </c>
      <c r="N209" s="9" t="s">
        <v>182</v>
      </c>
      <c r="O209" s="118"/>
      <c r="P209" s="1" t="s">
        <v>103</v>
      </c>
      <c r="Q209" s="157">
        <v>11.25</v>
      </c>
      <c r="R209" s="16"/>
      <c r="S209" s="35"/>
      <c r="T209" s="35"/>
      <c r="U209" s="16"/>
      <c r="V209" s="6"/>
      <c r="W209" s="6"/>
      <c r="X209" s="88">
        <f t="shared" si="45"/>
        <v>130</v>
      </c>
      <c r="Y209" s="122"/>
      <c r="Z209" s="94"/>
      <c r="AA209" s="156"/>
    </row>
    <row r="210" spans="1:28" ht="12.75">
      <c r="A210" s="162">
        <v>1370</v>
      </c>
      <c r="B210" s="80">
        <v>2</v>
      </c>
      <c r="C210" s="80" t="s">
        <v>335</v>
      </c>
      <c r="D210" s="80" t="s">
        <v>335</v>
      </c>
      <c r="E210" s="80"/>
      <c r="F210" s="1">
        <f>IF(AND($P$19=A210,$P$22=B210,$P$25=C210,$P$28=D210),1,0)</f>
        <v>0</v>
      </c>
      <c r="G210" s="14">
        <v>1</v>
      </c>
      <c r="H210" s="1">
        <f>IF(AND($P$19=A210,$P$22=B210,$P$25=C210,$P$28=D210),$Q$36,0)</f>
        <v>0</v>
      </c>
      <c r="I210" s="16">
        <v>1</v>
      </c>
      <c r="J210" s="16">
        <f>((H210*I210)*AND(G210=1)*AND(F210=1))</f>
        <v>0</v>
      </c>
      <c r="K210" s="16">
        <v>0</v>
      </c>
      <c r="L210" s="16">
        <f>(J210*K210%)+J210</f>
        <v>0</v>
      </c>
      <c r="M210" s="118" t="s">
        <v>373</v>
      </c>
      <c r="N210" s="9" t="s">
        <v>303</v>
      </c>
      <c r="O210" s="118"/>
      <c r="P210" s="1" t="s">
        <v>103</v>
      </c>
      <c r="Q210" s="190">
        <v>22.03</v>
      </c>
      <c r="R210" s="16">
        <f>(L210*Q210)</f>
        <v>0</v>
      </c>
      <c r="S210" s="35">
        <v>0</v>
      </c>
      <c r="T210" s="35">
        <v>1</v>
      </c>
      <c r="U210" s="16">
        <f>(Q210*S210)</f>
        <v>0</v>
      </c>
      <c r="V210" s="6">
        <f>(R210*T210)</f>
        <v>0</v>
      </c>
      <c r="W210" s="6">
        <f>SUM(U210:V210)</f>
        <v>0</v>
      </c>
      <c r="X210" s="88">
        <f t="shared" si="45"/>
        <v>130</v>
      </c>
      <c r="Y210" s="122" t="e">
        <f>100-((W210*100)/Z210)</f>
        <v>#DIV/0!</v>
      </c>
      <c r="Z210" s="94">
        <f>(W210*X210%)+W210</f>
        <v>0</v>
      </c>
      <c r="AA210" s="156"/>
    </row>
    <row r="211" spans="1:28" ht="12.75">
      <c r="A211" s="162">
        <v>1370</v>
      </c>
      <c r="B211" s="80">
        <v>2</v>
      </c>
      <c r="C211" s="80" t="s">
        <v>335</v>
      </c>
      <c r="D211" s="80" t="s">
        <v>335</v>
      </c>
      <c r="E211" s="80"/>
      <c r="F211" s="1">
        <f>IF(AND($Q$19=A211,$Q$22=B211,$Q$25=C211,$Q$28=D211),1,0)</f>
        <v>0</v>
      </c>
      <c r="G211" s="14">
        <v>1</v>
      </c>
      <c r="H211" s="1">
        <f>IF(AND($Q$19=A211,$Q$22=B211,$Q$25=C211,$Q$28=D211),$R$36,0)</f>
        <v>0</v>
      </c>
      <c r="I211" s="16">
        <v>1</v>
      </c>
      <c r="J211" s="16">
        <f>((H211*I211)*AND(G211=1)*AND(F211=1))</f>
        <v>0</v>
      </c>
      <c r="K211" s="16">
        <v>0</v>
      </c>
      <c r="L211" s="16">
        <f>(J211*K211%)+J211</f>
        <v>0</v>
      </c>
      <c r="M211" s="118" t="s">
        <v>373</v>
      </c>
      <c r="N211" s="9" t="s">
        <v>157</v>
      </c>
      <c r="O211" s="118"/>
      <c r="P211" s="1" t="s">
        <v>103</v>
      </c>
      <c r="Q211" s="190">
        <v>22.03</v>
      </c>
      <c r="R211" s="16"/>
      <c r="S211" s="35"/>
      <c r="T211" s="35"/>
      <c r="U211" s="16"/>
      <c r="V211" s="6"/>
      <c r="W211" s="6"/>
      <c r="X211" s="88">
        <f t="shared" si="45"/>
        <v>130</v>
      </c>
      <c r="Y211" s="122"/>
      <c r="Z211" s="116"/>
      <c r="AA211" s="156"/>
    </row>
    <row r="212" spans="1:28" ht="12.75">
      <c r="A212" s="9"/>
      <c r="B212" s="80"/>
      <c r="C212" s="80"/>
      <c r="D212" s="80"/>
      <c r="E212" s="80"/>
      <c r="F212" s="118"/>
      <c r="G212" s="14"/>
      <c r="H212" s="118"/>
      <c r="I212" s="16"/>
      <c r="J212" s="16"/>
      <c r="K212" s="16"/>
      <c r="L212" s="16"/>
      <c r="M212" s="118"/>
      <c r="N212" s="118"/>
      <c r="O212" s="118"/>
      <c r="P212" s="1"/>
      <c r="Q212" s="157"/>
      <c r="R212" s="16"/>
      <c r="S212" s="35"/>
      <c r="T212" s="35"/>
      <c r="U212" s="16"/>
      <c r="V212" s="6"/>
      <c r="W212" s="6"/>
      <c r="X212" s="82"/>
      <c r="Y212" s="122"/>
      <c r="Z212" s="116"/>
      <c r="AA212" s="156"/>
    </row>
    <row r="213" spans="1:28" ht="12.75">
      <c r="A213" s="144" t="s">
        <v>418</v>
      </c>
      <c r="B213" s="145"/>
      <c r="C213" s="145"/>
      <c r="D213" s="145"/>
      <c r="E213" s="145"/>
      <c r="F213" s="146"/>
      <c r="G213" s="147"/>
      <c r="H213" s="148"/>
      <c r="I213" s="148"/>
      <c r="J213" s="148"/>
      <c r="K213" s="148"/>
      <c r="L213" s="148"/>
      <c r="M213" s="149"/>
      <c r="N213" s="149"/>
      <c r="O213" s="149"/>
      <c r="P213" s="150"/>
      <c r="Q213" s="148"/>
      <c r="R213" s="148"/>
      <c r="S213" s="151"/>
      <c r="T213" s="151"/>
      <c r="U213" s="148"/>
      <c r="V213" s="152"/>
      <c r="W213" s="152"/>
      <c r="X213" s="153"/>
      <c r="Y213" s="154"/>
      <c r="Z213" s="155"/>
      <c r="AA213" s="156"/>
    </row>
    <row r="214" spans="1:28">
      <c r="A214" s="1"/>
      <c r="B214" s="1"/>
      <c r="C214" s="1"/>
      <c r="D214" s="1"/>
      <c r="E214" s="1"/>
      <c r="F214" s="1"/>
      <c r="G214" s="1"/>
      <c r="H214" s="16"/>
      <c r="I214" s="16"/>
      <c r="J214" s="16"/>
      <c r="K214" s="16"/>
      <c r="L214" s="16"/>
      <c r="M214" s="1"/>
      <c r="N214" s="1"/>
      <c r="O214" s="1"/>
      <c r="P214" s="1"/>
      <c r="Q214" s="16"/>
      <c r="R214" s="16"/>
      <c r="S214" s="14"/>
      <c r="T214" s="163"/>
      <c r="U214" s="142"/>
      <c r="V214" s="6"/>
      <c r="W214" s="6"/>
      <c r="X214" s="1"/>
      <c r="Y214" s="6"/>
      <c r="Z214" s="1"/>
    </row>
    <row r="215" spans="1:28" ht="12.75">
      <c r="A215" s="9"/>
      <c r="B215" s="80"/>
      <c r="C215" s="14"/>
      <c r="D215" s="80" t="s">
        <v>399</v>
      </c>
      <c r="E215" s="80" t="s">
        <v>400</v>
      </c>
      <c r="F215" s="118">
        <f>IF(AND($P$32=E215,$P$34=D215),1,0)</f>
        <v>0</v>
      </c>
      <c r="G215" s="14">
        <v>1</v>
      </c>
      <c r="H215" s="15">
        <f>($Q$66)</f>
        <v>4.8</v>
      </c>
      <c r="I215" s="16">
        <v>1</v>
      </c>
      <c r="J215" s="16">
        <f>((H215*I215)*AND(G215=1)*AND(F215=1))</f>
        <v>0</v>
      </c>
      <c r="K215" s="16">
        <v>0</v>
      </c>
      <c r="L215" s="16">
        <f>(J215*K215%)+J215</f>
        <v>0</v>
      </c>
      <c r="M215" s="118" t="s">
        <v>411</v>
      </c>
      <c r="N215" s="118" t="s">
        <v>158</v>
      </c>
      <c r="O215" s="118"/>
      <c r="P215" s="1" t="s">
        <v>103</v>
      </c>
      <c r="Q215" s="190">
        <v>35</v>
      </c>
      <c r="R215" s="16">
        <f>(L215*Q215)</f>
        <v>0</v>
      </c>
      <c r="S215" s="35">
        <v>0</v>
      </c>
      <c r="T215" s="35">
        <v>1</v>
      </c>
      <c r="U215" s="16">
        <f>(Q215*S215)</f>
        <v>0</v>
      </c>
      <c r="V215" s="6">
        <f>(R215*T215)</f>
        <v>0</v>
      </c>
      <c r="W215" s="6">
        <f>SUM(U215:V215)</f>
        <v>0</v>
      </c>
      <c r="X215" s="88">
        <f>($O$57)</f>
        <v>130</v>
      </c>
      <c r="Y215" s="122" t="e">
        <f>100-((W215*100)/Z215)</f>
        <v>#DIV/0!</v>
      </c>
      <c r="Z215" s="116">
        <f>(W215*X215%)+W215</f>
        <v>0</v>
      </c>
      <c r="AA215" s="158">
        <v>1.1220000000000001</v>
      </c>
      <c r="AB215" s="159">
        <f>(F215*(H215*AA215))</f>
        <v>0</v>
      </c>
    </row>
    <row r="216" spans="1:28" ht="12.75">
      <c r="A216" s="9"/>
      <c r="B216" s="80"/>
      <c r="C216" s="14"/>
      <c r="D216" s="14"/>
      <c r="E216" s="80"/>
      <c r="F216" s="9"/>
      <c r="G216" s="14"/>
      <c r="H216" s="16"/>
      <c r="I216" s="16"/>
      <c r="J216" s="16"/>
      <c r="K216" s="16"/>
      <c r="L216" s="16"/>
      <c r="M216" s="118"/>
      <c r="N216" s="118"/>
      <c r="O216" s="118"/>
      <c r="P216" s="1"/>
      <c r="Q216" s="190"/>
      <c r="R216" s="16"/>
      <c r="S216" s="35"/>
      <c r="T216" s="35"/>
      <c r="U216" s="16"/>
      <c r="V216" s="6"/>
      <c r="W216" s="6"/>
      <c r="X216" s="160"/>
      <c r="Y216" s="122"/>
      <c r="Z216" s="116"/>
      <c r="AA216" s="156"/>
    </row>
    <row r="217" spans="1:28" ht="12.75">
      <c r="A217" s="9"/>
      <c r="B217" s="80"/>
      <c r="C217" s="14"/>
      <c r="D217" s="80" t="s">
        <v>401</v>
      </c>
      <c r="E217" s="80" t="s">
        <v>402</v>
      </c>
      <c r="F217" s="118">
        <f>IF(AND($P$32=E217,$P$34=D217),1,0)</f>
        <v>1</v>
      </c>
      <c r="G217" s="14">
        <v>1</v>
      </c>
      <c r="H217" s="15">
        <f>($Q$66)</f>
        <v>4.8</v>
      </c>
      <c r="I217" s="16">
        <v>1</v>
      </c>
      <c r="J217" s="16">
        <f>((H217*I217)*AND(G217=1)*AND(F217=1))</f>
        <v>4.8</v>
      </c>
      <c r="K217" s="16">
        <v>0</v>
      </c>
      <c r="L217" s="16">
        <f>(J217*K217%)+J217</f>
        <v>4.8</v>
      </c>
      <c r="M217" s="118" t="s">
        <v>156</v>
      </c>
      <c r="N217" s="118" t="s">
        <v>256</v>
      </c>
      <c r="O217" s="118"/>
      <c r="P217" s="1" t="s">
        <v>103</v>
      </c>
      <c r="Q217" s="190">
        <v>17</v>
      </c>
      <c r="R217" s="16">
        <f>(L217*Q217)</f>
        <v>81.599999999999994</v>
      </c>
      <c r="S217" s="35">
        <v>0</v>
      </c>
      <c r="T217" s="35">
        <v>1</v>
      </c>
      <c r="U217" s="16">
        <f>(Q217*S217)</f>
        <v>0</v>
      </c>
      <c r="V217" s="6">
        <f>(R217*T217)</f>
        <v>81.599999999999994</v>
      </c>
      <c r="W217" s="6">
        <f>SUM(U217:V217)</f>
        <v>81.599999999999994</v>
      </c>
      <c r="X217" s="88">
        <f>($O$57)</f>
        <v>130</v>
      </c>
      <c r="Y217" s="122">
        <f>100-((W217*100)/Z217)</f>
        <v>56.521739130434788</v>
      </c>
      <c r="Z217" s="116">
        <f>(W217*X217%)+W217</f>
        <v>187.68</v>
      </c>
      <c r="AA217" s="156"/>
    </row>
    <row r="218" spans="1:28" ht="12.75">
      <c r="A218" s="9"/>
      <c r="B218" s="80"/>
      <c r="C218" s="14"/>
      <c r="D218" s="14"/>
      <c r="E218" s="80"/>
      <c r="F218" s="9"/>
      <c r="G218" s="14"/>
      <c r="H218" s="16"/>
      <c r="I218" s="16"/>
      <c r="J218" s="16"/>
      <c r="K218" s="16"/>
      <c r="L218" s="16"/>
      <c r="M218" s="9"/>
      <c r="N218" s="9"/>
      <c r="O218" s="9"/>
      <c r="P218" s="1"/>
      <c r="Q218" s="157"/>
      <c r="R218" s="16"/>
      <c r="S218" s="35"/>
      <c r="T218" s="35"/>
      <c r="U218" s="16"/>
      <c r="V218" s="6"/>
      <c r="W218" s="6"/>
      <c r="X218" s="160"/>
      <c r="Y218" s="122"/>
      <c r="Z218" s="116"/>
      <c r="AA218" s="156"/>
    </row>
    <row r="219" spans="1:28" ht="12.75">
      <c r="A219" s="9"/>
      <c r="B219" s="80"/>
      <c r="C219" s="14"/>
      <c r="D219" s="80" t="s">
        <v>401</v>
      </c>
      <c r="E219" s="80" t="s">
        <v>403</v>
      </c>
      <c r="F219" s="118">
        <f>IF(AND($P$32=E219,$P$34=D219),1,0)</f>
        <v>0</v>
      </c>
      <c r="G219" s="14">
        <v>1</v>
      </c>
      <c r="H219" s="15">
        <f>($Q$66)</f>
        <v>4.8</v>
      </c>
      <c r="I219" s="16">
        <v>1</v>
      </c>
      <c r="J219" s="16">
        <f>((H219*I219)*AND(G219=1)*AND(F219=1))</f>
        <v>0</v>
      </c>
      <c r="K219" s="16">
        <v>0</v>
      </c>
      <c r="L219" s="16">
        <f>(J219*K219%)+J219</f>
        <v>0</v>
      </c>
      <c r="M219" s="118" t="s">
        <v>123</v>
      </c>
      <c r="N219" s="118" t="s">
        <v>306</v>
      </c>
      <c r="O219" s="118"/>
      <c r="P219" s="1" t="s">
        <v>103</v>
      </c>
      <c r="Q219" s="157">
        <v>3.8</v>
      </c>
      <c r="R219" s="16">
        <f>(L219*Q219)</f>
        <v>0</v>
      </c>
      <c r="S219" s="35">
        <v>0</v>
      </c>
      <c r="T219" s="35">
        <v>1</v>
      </c>
      <c r="U219" s="16">
        <f>(Q219*S219)</f>
        <v>0</v>
      </c>
      <c r="V219" s="6">
        <f>(R219*T219)</f>
        <v>0</v>
      </c>
      <c r="W219" s="6">
        <f>SUM(U219:V219)</f>
        <v>0</v>
      </c>
      <c r="X219" s="88">
        <f>($O$57)</f>
        <v>130</v>
      </c>
      <c r="Y219" s="122" t="e">
        <f>100-((W219*100)/Z219)</f>
        <v>#DIV/0!</v>
      </c>
      <c r="Z219" s="116">
        <f>(W219*X219%)+W219</f>
        <v>0</v>
      </c>
      <c r="AA219" s="156"/>
    </row>
    <row r="220" spans="1:28" ht="12.75">
      <c r="A220" s="9"/>
      <c r="B220" s="80"/>
      <c r="C220" s="14"/>
      <c r="D220" s="14"/>
      <c r="E220" s="80"/>
      <c r="F220" s="9"/>
      <c r="G220" s="14"/>
      <c r="H220" s="15"/>
      <c r="I220" s="16"/>
      <c r="J220" s="16"/>
      <c r="K220" s="16"/>
      <c r="L220" s="16"/>
      <c r="M220" s="118"/>
      <c r="N220" s="118"/>
      <c r="O220" s="118"/>
      <c r="P220" s="1"/>
      <c r="Q220" s="157"/>
      <c r="R220" s="16"/>
      <c r="S220" s="35"/>
      <c r="T220" s="35"/>
      <c r="U220" s="16"/>
      <c r="V220" s="6"/>
      <c r="W220" s="6"/>
      <c r="X220" s="160"/>
      <c r="Y220" s="122"/>
      <c r="Z220" s="116"/>
      <c r="AA220" s="156"/>
    </row>
    <row r="221" spans="1:28" ht="12.75">
      <c r="A221" s="9"/>
      <c r="B221" s="80"/>
      <c r="C221" s="14"/>
      <c r="D221" s="80" t="s">
        <v>401</v>
      </c>
      <c r="E221" s="80" t="s">
        <v>404</v>
      </c>
      <c r="F221" s="118">
        <f>IF(AND($P$32=E221,$P$34=D221),1,0)</f>
        <v>0</v>
      </c>
      <c r="G221" s="14">
        <v>1</v>
      </c>
      <c r="H221" s="15">
        <f>($Q$66)</f>
        <v>4.8</v>
      </c>
      <c r="I221" s="16">
        <v>1</v>
      </c>
      <c r="J221" s="16">
        <f>((H221*I221)*AND(G221=1)*AND(F221=1))</f>
        <v>0</v>
      </c>
      <c r="K221" s="16">
        <v>0</v>
      </c>
      <c r="L221" s="16">
        <f>(J221*K221%)+J221</f>
        <v>0</v>
      </c>
      <c r="M221" s="118" t="s">
        <v>123</v>
      </c>
      <c r="N221" s="118" t="s">
        <v>306</v>
      </c>
      <c r="O221" s="118"/>
      <c r="P221" s="1" t="s">
        <v>103</v>
      </c>
      <c r="Q221" s="157">
        <v>5.54</v>
      </c>
      <c r="R221" s="16">
        <f>(L221*Q221)</f>
        <v>0</v>
      </c>
      <c r="S221" s="35">
        <v>0</v>
      </c>
      <c r="T221" s="35">
        <v>1</v>
      </c>
      <c r="U221" s="16">
        <f>(Q221*S221)</f>
        <v>0</v>
      </c>
      <c r="V221" s="6">
        <f>(R221*T221)</f>
        <v>0</v>
      </c>
      <c r="W221" s="6">
        <f>SUM(U221:V221)</f>
        <v>0</v>
      </c>
      <c r="X221" s="88">
        <f>($O$57)</f>
        <v>130</v>
      </c>
      <c r="Y221" s="122" t="e">
        <f>100-((W221*100)/Z221)</f>
        <v>#DIV/0!</v>
      </c>
      <c r="Z221" s="116">
        <f>(W221*X221%)+W221</f>
        <v>0</v>
      </c>
      <c r="AA221" s="156"/>
    </row>
    <row r="222" spans="1:28" ht="12.75">
      <c r="A222" s="9"/>
      <c r="B222" s="80"/>
      <c r="C222" s="14"/>
      <c r="D222" s="80" t="s">
        <v>401</v>
      </c>
      <c r="E222" s="80" t="s">
        <v>404</v>
      </c>
      <c r="F222" s="118">
        <f>IF(AND($P$32=E222,$P$34=D222),1,0)</f>
        <v>0</v>
      </c>
      <c r="G222" s="14">
        <v>1</v>
      </c>
      <c r="H222" s="15">
        <f>($Q$66)</f>
        <v>4.8</v>
      </c>
      <c r="I222" s="16">
        <v>1</v>
      </c>
      <c r="J222" s="16">
        <f>((H222*I222)*AND(G222=1)*AND(F222=1))</f>
        <v>0</v>
      </c>
      <c r="K222" s="16">
        <v>0</v>
      </c>
      <c r="L222" s="16">
        <f>(J222*K222%)+J222</f>
        <v>0</v>
      </c>
      <c r="M222" s="118" t="s">
        <v>123</v>
      </c>
      <c r="N222" s="118" t="s">
        <v>422</v>
      </c>
      <c r="O222" s="118"/>
      <c r="P222" s="1" t="s">
        <v>103</v>
      </c>
      <c r="Q222" s="157">
        <v>1.5</v>
      </c>
      <c r="R222" s="16">
        <f>(L222*Q222)</f>
        <v>0</v>
      </c>
      <c r="S222" s="35">
        <v>0</v>
      </c>
      <c r="T222" s="35">
        <v>1</v>
      </c>
      <c r="U222" s="16">
        <f>(Q222*S222)</f>
        <v>0</v>
      </c>
      <c r="V222" s="6">
        <f>(R222*T222)</f>
        <v>0</v>
      </c>
      <c r="W222" s="6">
        <f>SUM(U222:V222)</f>
        <v>0</v>
      </c>
      <c r="X222" s="88">
        <f>($O$57)</f>
        <v>130</v>
      </c>
      <c r="Y222" s="122" t="e">
        <f>100-((W222*100)/Z222)</f>
        <v>#DIV/0!</v>
      </c>
      <c r="Z222" s="116">
        <f>(W222*X222%)+W222</f>
        <v>0</v>
      </c>
      <c r="AA222" s="156"/>
    </row>
    <row r="223" spans="1:28" ht="12.75">
      <c r="A223" s="9"/>
      <c r="B223" s="14"/>
      <c r="C223" s="14"/>
      <c r="D223" s="14"/>
      <c r="E223" s="14"/>
      <c r="F223" s="9"/>
      <c r="G223" s="14"/>
      <c r="H223" s="16"/>
      <c r="I223" s="16"/>
      <c r="J223" s="16"/>
      <c r="K223" s="16"/>
      <c r="L223" s="16"/>
      <c r="M223" s="118"/>
      <c r="N223" s="118"/>
      <c r="O223" s="118"/>
      <c r="P223" s="1"/>
      <c r="Q223" s="16"/>
      <c r="R223" s="16"/>
      <c r="S223" s="35"/>
      <c r="T223" s="35"/>
      <c r="U223" s="16"/>
      <c r="V223" s="6"/>
      <c r="W223" s="6"/>
      <c r="X223" s="160"/>
      <c r="Y223" s="122"/>
      <c r="Z223" s="116"/>
      <c r="AA223" s="156"/>
    </row>
    <row r="224" spans="1:28" ht="12.75">
      <c r="A224" s="144" t="s">
        <v>83</v>
      </c>
      <c r="B224" s="145"/>
      <c r="C224" s="145"/>
      <c r="D224" s="145"/>
      <c r="E224" s="145"/>
      <c r="F224" s="146"/>
      <c r="G224" s="147"/>
      <c r="H224" s="148"/>
      <c r="I224" s="148"/>
      <c r="J224" s="148"/>
      <c r="K224" s="148"/>
      <c r="L224" s="148"/>
      <c r="M224" s="149"/>
      <c r="N224" s="149"/>
      <c r="O224" s="149"/>
      <c r="P224" s="150"/>
      <c r="Q224" s="148"/>
      <c r="R224" s="148"/>
      <c r="S224" s="151"/>
      <c r="T224" s="151"/>
      <c r="U224" s="148"/>
      <c r="V224" s="152"/>
      <c r="W224" s="152"/>
      <c r="X224" s="153"/>
      <c r="Y224" s="154"/>
      <c r="Z224" s="155"/>
      <c r="AA224" s="156"/>
    </row>
    <row r="225" spans="1:66" ht="12.75">
      <c r="A225" s="1"/>
      <c r="B225" s="14"/>
      <c r="C225" s="14"/>
      <c r="D225" s="14"/>
      <c r="E225" s="14"/>
      <c r="F225" s="9"/>
      <c r="G225" s="14"/>
      <c r="H225" s="16"/>
      <c r="I225" s="16"/>
      <c r="J225" s="16"/>
      <c r="K225" s="16"/>
      <c r="L225" s="16"/>
      <c r="M225" s="118"/>
      <c r="N225" s="118"/>
      <c r="O225" s="118"/>
      <c r="P225" s="1"/>
      <c r="Q225" s="16"/>
      <c r="R225" s="16"/>
      <c r="S225" s="35"/>
      <c r="T225" s="35"/>
      <c r="U225" s="16"/>
      <c r="V225" s="6"/>
      <c r="W225" s="6"/>
      <c r="X225" s="160"/>
      <c r="Y225" s="122"/>
      <c r="Z225" s="116"/>
      <c r="AA225" s="156"/>
      <c r="BD225" s="39"/>
      <c r="BE225" s="39"/>
      <c r="BG225" s="39"/>
      <c r="BH225" s="39"/>
      <c r="BI225" s="164"/>
      <c r="BJ225" s="78"/>
      <c r="BK225" s="78"/>
      <c r="BL225" s="78"/>
      <c r="BN225" s="165"/>
    </row>
    <row r="226" spans="1:66" ht="12.75">
      <c r="A226" s="9">
        <v>100</v>
      </c>
      <c r="B226" s="80"/>
      <c r="C226" s="14"/>
      <c r="D226" s="14"/>
      <c r="E226" s="80" t="s">
        <v>400</v>
      </c>
      <c r="F226" s="13">
        <f>IF(AND($P$16=A226,$P$32=E226),1,0)</f>
        <v>0</v>
      </c>
      <c r="G226" s="14">
        <v>1</v>
      </c>
      <c r="H226" s="118">
        <f>IF(AND($P$16=A226,$P$32=E226),$P$69,0)</f>
        <v>0</v>
      </c>
      <c r="I226" s="16">
        <v>1</v>
      </c>
      <c r="J226" s="16">
        <f t="shared" ref="J226:J233" si="50">((H226*I226)*AND(G226=1)*AND(F226=1))</f>
        <v>0</v>
      </c>
      <c r="K226" s="16">
        <v>0</v>
      </c>
      <c r="L226" s="16">
        <f t="shared" ref="L226:L233" si="51">(J226*K226%)+J226</f>
        <v>0</v>
      </c>
      <c r="M226" s="118" t="s">
        <v>341</v>
      </c>
      <c r="N226" s="118" t="s">
        <v>382</v>
      </c>
      <c r="O226" s="118"/>
      <c r="P226" s="1" t="s">
        <v>452</v>
      </c>
      <c r="Q226" s="16">
        <v>0</v>
      </c>
      <c r="R226" s="16">
        <f t="shared" ref="R226:R233" si="52">(L226*Q226)</f>
        <v>0</v>
      </c>
      <c r="S226" s="35">
        <v>0</v>
      </c>
      <c r="T226" s="35">
        <v>1</v>
      </c>
      <c r="U226" s="16">
        <f t="shared" ref="U226:V232" si="53">(Q226*S226)</f>
        <v>0</v>
      </c>
      <c r="V226" s="6">
        <f t="shared" si="53"/>
        <v>0</v>
      </c>
      <c r="W226" s="6">
        <f t="shared" ref="W226:W233" si="54">SUM(U226:V226)</f>
        <v>0</v>
      </c>
      <c r="X226" s="88">
        <f t="shared" ref="X226:X239" si="55">($O$57)</f>
        <v>130</v>
      </c>
      <c r="Y226" s="122" t="e">
        <f t="shared" ref="Y226:Y233" si="56">100-((W226*100)/Z226)</f>
        <v>#DIV/0!</v>
      </c>
      <c r="Z226" s="116">
        <f t="shared" ref="Z226:Z233" si="57">(W226*X226%)+W226</f>
        <v>0</v>
      </c>
      <c r="AA226" s="158">
        <v>6.6000000000000003E-2</v>
      </c>
      <c r="AB226" s="159">
        <f t="shared" ref="AB226:AB239" si="58">(F226*(H226*AA226))</f>
        <v>0</v>
      </c>
    </row>
    <row r="227" spans="1:66" ht="12.75">
      <c r="A227" s="9">
        <v>100</v>
      </c>
      <c r="B227" s="80"/>
      <c r="C227" s="14"/>
      <c r="D227" s="14"/>
      <c r="E227" s="80" t="s">
        <v>400</v>
      </c>
      <c r="F227" s="13">
        <f>IF(AND($Q$16=A227,$P$32=E227),1,0)</f>
        <v>0</v>
      </c>
      <c r="G227" s="14">
        <v>1</v>
      </c>
      <c r="H227" s="118">
        <f>IF(AND($Q$16=A227,$P$32=E227),$Q$10,0)</f>
        <v>0</v>
      </c>
      <c r="I227" s="16">
        <v>1</v>
      </c>
      <c r="J227" s="16">
        <f t="shared" si="50"/>
        <v>0</v>
      </c>
      <c r="K227" s="16">
        <v>0</v>
      </c>
      <c r="L227" s="16">
        <f t="shared" si="51"/>
        <v>0</v>
      </c>
      <c r="M227" s="118" t="s">
        <v>341</v>
      </c>
      <c r="N227" s="118" t="s">
        <v>366</v>
      </c>
      <c r="O227" s="118"/>
      <c r="P227" s="1" t="s">
        <v>452</v>
      </c>
      <c r="Q227" s="16">
        <v>0</v>
      </c>
      <c r="R227" s="16">
        <f t="shared" si="52"/>
        <v>0</v>
      </c>
      <c r="S227" s="35">
        <v>0</v>
      </c>
      <c r="T227" s="35">
        <v>1</v>
      </c>
      <c r="U227" s="16">
        <f>(Q227*S227)</f>
        <v>0</v>
      </c>
      <c r="V227" s="6">
        <f>(R227*T227)</f>
        <v>0</v>
      </c>
      <c r="W227" s="6">
        <f t="shared" si="54"/>
        <v>0</v>
      </c>
      <c r="X227" s="88">
        <f t="shared" si="55"/>
        <v>130</v>
      </c>
      <c r="Y227" s="122" t="e">
        <f t="shared" si="56"/>
        <v>#DIV/0!</v>
      </c>
      <c r="Z227" s="116">
        <f t="shared" si="57"/>
        <v>0</v>
      </c>
      <c r="AA227" s="158">
        <v>6.6000000000000003E-2</v>
      </c>
      <c r="AB227" s="159">
        <f t="shared" si="58"/>
        <v>0</v>
      </c>
    </row>
    <row r="228" spans="1:66" ht="12.75">
      <c r="A228" s="9">
        <v>150</v>
      </c>
      <c r="B228" s="80"/>
      <c r="C228" s="14"/>
      <c r="D228" s="14"/>
      <c r="E228" s="80" t="s">
        <v>400</v>
      </c>
      <c r="F228" s="13">
        <f>IF(AND($P$16=A228,$P$32=E228),1,0)</f>
        <v>0</v>
      </c>
      <c r="G228" s="14">
        <v>1</v>
      </c>
      <c r="H228" s="118">
        <f>IF(AND($P$16=A228,$P$32=E228),$P$69,0)</f>
        <v>0</v>
      </c>
      <c r="I228" s="16">
        <v>1</v>
      </c>
      <c r="J228" s="16">
        <f t="shared" si="50"/>
        <v>0</v>
      </c>
      <c r="K228" s="16">
        <v>0</v>
      </c>
      <c r="L228" s="16">
        <f t="shared" si="51"/>
        <v>0</v>
      </c>
      <c r="M228" s="118" t="s">
        <v>207</v>
      </c>
      <c r="N228" s="118" t="s">
        <v>230</v>
      </c>
      <c r="O228" s="118"/>
      <c r="P228" s="1" t="s">
        <v>452</v>
      </c>
      <c r="Q228" s="157">
        <v>2.9</v>
      </c>
      <c r="R228" s="16">
        <f t="shared" si="52"/>
        <v>0</v>
      </c>
      <c r="S228" s="35">
        <v>0</v>
      </c>
      <c r="T228" s="35">
        <v>1</v>
      </c>
      <c r="U228" s="16">
        <f t="shared" si="53"/>
        <v>0</v>
      </c>
      <c r="V228" s="6">
        <f t="shared" si="53"/>
        <v>0</v>
      </c>
      <c r="W228" s="6">
        <f t="shared" si="54"/>
        <v>0</v>
      </c>
      <c r="X228" s="88">
        <f t="shared" si="55"/>
        <v>130</v>
      </c>
      <c r="Y228" s="122" t="e">
        <f t="shared" si="56"/>
        <v>#DIV/0!</v>
      </c>
      <c r="Z228" s="116">
        <f t="shared" si="57"/>
        <v>0</v>
      </c>
      <c r="AA228" s="158">
        <v>9.7000000000000003E-2</v>
      </c>
      <c r="AB228" s="159">
        <f t="shared" si="58"/>
        <v>0</v>
      </c>
    </row>
    <row r="229" spans="1:66" ht="12.75">
      <c r="A229" s="9">
        <v>150</v>
      </c>
      <c r="B229" s="80"/>
      <c r="C229" s="14"/>
      <c r="D229" s="14"/>
      <c r="E229" s="80" t="s">
        <v>400</v>
      </c>
      <c r="F229" s="13">
        <f>IF(AND($Q$16=A229,$P$32=E229),1,0)</f>
        <v>0</v>
      </c>
      <c r="G229" s="14">
        <v>1</v>
      </c>
      <c r="H229" s="118">
        <f>IF(AND($Q$16=A229,$P$32=E229),$Q$10,0)</f>
        <v>0</v>
      </c>
      <c r="I229" s="16">
        <v>1</v>
      </c>
      <c r="J229" s="16">
        <f t="shared" si="50"/>
        <v>0</v>
      </c>
      <c r="K229" s="16">
        <v>0</v>
      </c>
      <c r="L229" s="16">
        <f t="shared" si="51"/>
        <v>0</v>
      </c>
      <c r="M229" s="118" t="s">
        <v>207</v>
      </c>
      <c r="N229" s="118" t="s">
        <v>231</v>
      </c>
      <c r="O229" s="118"/>
      <c r="P229" s="1" t="s">
        <v>452</v>
      </c>
      <c r="Q229" s="157">
        <v>2.9</v>
      </c>
      <c r="R229" s="16">
        <f t="shared" si="52"/>
        <v>0</v>
      </c>
      <c r="S229" s="35">
        <v>0</v>
      </c>
      <c r="T229" s="35">
        <v>1</v>
      </c>
      <c r="U229" s="16">
        <f>(Q229*S229)</f>
        <v>0</v>
      </c>
      <c r="V229" s="6">
        <f>(R229*T229)</f>
        <v>0</v>
      </c>
      <c r="W229" s="6">
        <f t="shared" si="54"/>
        <v>0</v>
      </c>
      <c r="X229" s="88">
        <f t="shared" si="55"/>
        <v>130</v>
      </c>
      <c r="Y229" s="122" t="e">
        <f t="shared" si="56"/>
        <v>#DIV/0!</v>
      </c>
      <c r="Z229" s="116">
        <f t="shared" si="57"/>
        <v>0</v>
      </c>
      <c r="AA229" s="158">
        <v>9.7000000000000003E-2</v>
      </c>
      <c r="AB229" s="159">
        <f t="shared" si="58"/>
        <v>0</v>
      </c>
    </row>
    <row r="230" spans="1:66" ht="12.75">
      <c r="A230" s="9">
        <v>200</v>
      </c>
      <c r="B230" s="80"/>
      <c r="C230" s="14"/>
      <c r="D230" s="14"/>
      <c r="E230" s="80" t="s">
        <v>400</v>
      </c>
      <c r="F230" s="13">
        <f>IF(AND($P$16=A230,$P$32=E230),1,0)</f>
        <v>0</v>
      </c>
      <c r="G230" s="14">
        <v>1</v>
      </c>
      <c r="H230" s="118">
        <f>IF(AND($P$16=A230,$P$32=E230),$P$69,0)</f>
        <v>0</v>
      </c>
      <c r="I230" s="16">
        <v>1</v>
      </c>
      <c r="J230" s="16">
        <f t="shared" si="50"/>
        <v>0</v>
      </c>
      <c r="K230" s="16">
        <v>0</v>
      </c>
      <c r="L230" s="16">
        <f t="shared" si="51"/>
        <v>0</v>
      </c>
      <c r="M230" s="118" t="s">
        <v>424</v>
      </c>
      <c r="N230" s="118" t="s">
        <v>344</v>
      </c>
      <c r="O230" s="118"/>
      <c r="P230" s="1" t="s">
        <v>452</v>
      </c>
      <c r="Q230" s="157">
        <v>3.75</v>
      </c>
      <c r="R230" s="16">
        <f t="shared" si="52"/>
        <v>0</v>
      </c>
      <c r="S230" s="35">
        <v>0</v>
      </c>
      <c r="T230" s="35">
        <v>1</v>
      </c>
      <c r="U230" s="16">
        <f t="shared" si="53"/>
        <v>0</v>
      </c>
      <c r="V230" s="6">
        <f t="shared" si="53"/>
        <v>0</v>
      </c>
      <c r="W230" s="6">
        <f t="shared" si="54"/>
        <v>0</v>
      </c>
      <c r="X230" s="88">
        <f t="shared" si="55"/>
        <v>130</v>
      </c>
      <c r="Y230" s="122" t="e">
        <f t="shared" si="56"/>
        <v>#DIV/0!</v>
      </c>
      <c r="Z230" s="116">
        <f t="shared" si="57"/>
        <v>0</v>
      </c>
      <c r="AA230" s="158">
        <v>0.13200000000000001</v>
      </c>
      <c r="AB230" s="159">
        <f t="shared" si="58"/>
        <v>0</v>
      </c>
    </row>
    <row r="231" spans="1:66" ht="12.75">
      <c r="A231" s="9">
        <v>200</v>
      </c>
      <c r="B231" s="80"/>
      <c r="C231" s="14"/>
      <c r="D231" s="14"/>
      <c r="E231" s="80" t="s">
        <v>400</v>
      </c>
      <c r="F231" s="13">
        <f>IF(AND($Q$16=A231,$P$32=E231),1,0)</f>
        <v>0</v>
      </c>
      <c r="G231" s="14">
        <v>1</v>
      </c>
      <c r="H231" s="118">
        <f>IF(AND($Q$16=A231,$P$32=E231),$Q$10,0)</f>
        <v>0</v>
      </c>
      <c r="I231" s="16">
        <v>1</v>
      </c>
      <c r="J231" s="16">
        <f t="shared" si="50"/>
        <v>0</v>
      </c>
      <c r="K231" s="16">
        <v>0</v>
      </c>
      <c r="L231" s="16">
        <f t="shared" si="51"/>
        <v>0</v>
      </c>
      <c r="M231" s="118" t="s">
        <v>424</v>
      </c>
      <c r="N231" s="118" t="s">
        <v>15</v>
      </c>
      <c r="O231" s="118"/>
      <c r="P231" s="1" t="s">
        <v>452</v>
      </c>
      <c r="Q231" s="157">
        <v>3.75</v>
      </c>
      <c r="R231" s="16">
        <f t="shared" si="52"/>
        <v>0</v>
      </c>
      <c r="S231" s="35">
        <v>0</v>
      </c>
      <c r="T231" s="35">
        <v>1</v>
      </c>
      <c r="U231" s="16">
        <f>(Q231*S231)</f>
        <v>0</v>
      </c>
      <c r="V231" s="6">
        <f>(R231*T231)</f>
        <v>0</v>
      </c>
      <c r="W231" s="6">
        <f t="shared" si="54"/>
        <v>0</v>
      </c>
      <c r="X231" s="88">
        <f t="shared" si="55"/>
        <v>130</v>
      </c>
      <c r="Y231" s="122" t="e">
        <f t="shared" si="56"/>
        <v>#DIV/0!</v>
      </c>
      <c r="Z231" s="116">
        <f t="shared" si="57"/>
        <v>0</v>
      </c>
      <c r="AA231" s="158">
        <v>0.13200000000000001</v>
      </c>
      <c r="AB231" s="159">
        <f t="shared" si="58"/>
        <v>0</v>
      </c>
    </row>
    <row r="232" spans="1:66" ht="12.75">
      <c r="A232" s="9">
        <v>300</v>
      </c>
      <c r="B232" s="80"/>
      <c r="C232" s="14"/>
      <c r="D232" s="14"/>
      <c r="E232" s="80" t="s">
        <v>400</v>
      </c>
      <c r="F232" s="13">
        <f>IF(AND($P$16=A232,$P$32=E232),1,0)</f>
        <v>0</v>
      </c>
      <c r="G232" s="14">
        <v>1</v>
      </c>
      <c r="H232" s="118">
        <f>IF(AND($P$16=A232,$P$32=E232),$P$69,0)</f>
        <v>0</v>
      </c>
      <c r="I232" s="16">
        <v>1</v>
      </c>
      <c r="J232" s="16">
        <f t="shared" si="50"/>
        <v>0</v>
      </c>
      <c r="K232" s="16">
        <v>0</v>
      </c>
      <c r="L232" s="16">
        <f t="shared" si="51"/>
        <v>0</v>
      </c>
      <c r="M232" s="118" t="s">
        <v>128</v>
      </c>
      <c r="N232" s="118" t="s">
        <v>58</v>
      </c>
      <c r="O232" s="118"/>
      <c r="P232" s="1" t="s">
        <v>452</v>
      </c>
      <c r="Q232" s="157">
        <v>4.5</v>
      </c>
      <c r="R232" s="16">
        <f t="shared" si="52"/>
        <v>0</v>
      </c>
      <c r="S232" s="35">
        <v>0</v>
      </c>
      <c r="T232" s="35">
        <v>1</v>
      </c>
      <c r="U232" s="16">
        <f t="shared" si="53"/>
        <v>0</v>
      </c>
      <c r="V232" s="6">
        <f t="shared" si="53"/>
        <v>0</v>
      </c>
      <c r="W232" s="6">
        <f t="shared" si="54"/>
        <v>0</v>
      </c>
      <c r="X232" s="88">
        <f t="shared" si="55"/>
        <v>130</v>
      </c>
      <c r="Y232" s="122" t="e">
        <f t="shared" si="56"/>
        <v>#DIV/0!</v>
      </c>
      <c r="Z232" s="116">
        <f t="shared" si="57"/>
        <v>0</v>
      </c>
      <c r="AA232" s="158">
        <v>0.19500000000000001</v>
      </c>
      <c r="AB232" s="159">
        <f t="shared" si="58"/>
        <v>0</v>
      </c>
    </row>
    <row r="233" spans="1:66" ht="12.75">
      <c r="A233" s="9">
        <v>300</v>
      </c>
      <c r="B233" s="80"/>
      <c r="C233" s="14"/>
      <c r="D233" s="14"/>
      <c r="E233" s="80" t="s">
        <v>400</v>
      </c>
      <c r="F233" s="13">
        <f>IF(AND($Q$16=A233,$P$32=E233),1,0)</f>
        <v>0</v>
      </c>
      <c r="G233" s="14">
        <v>1</v>
      </c>
      <c r="H233" s="118">
        <f>IF(AND($Q$16=A233,$P$32=E233),$Q$10,0)</f>
        <v>0</v>
      </c>
      <c r="I233" s="16">
        <v>1</v>
      </c>
      <c r="J233" s="16">
        <f t="shared" si="50"/>
        <v>0</v>
      </c>
      <c r="K233" s="16">
        <v>0</v>
      </c>
      <c r="L233" s="16">
        <f t="shared" si="51"/>
        <v>0</v>
      </c>
      <c r="M233" s="118" t="s">
        <v>128</v>
      </c>
      <c r="N233" s="118" t="s">
        <v>66</v>
      </c>
      <c r="O233" s="118"/>
      <c r="P233" s="1" t="s">
        <v>452</v>
      </c>
      <c r="Q233" s="157">
        <v>4.5</v>
      </c>
      <c r="R233" s="16">
        <f t="shared" si="52"/>
        <v>0</v>
      </c>
      <c r="S233" s="35">
        <v>0</v>
      </c>
      <c r="T233" s="35">
        <v>1</v>
      </c>
      <c r="U233" s="16">
        <f t="shared" ref="U233:V239" si="59">(Q233*S233)</f>
        <v>0</v>
      </c>
      <c r="V233" s="6">
        <f t="shared" si="59"/>
        <v>0</v>
      </c>
      <c r="W233" s="6">
        <f t="shared" si="54"/>
        <v>0</v>
      </c>
      <c r="X233" s="88">
        <f t="shared" si="55"/>
        <v>130</v>
      </c>
      <c r="Y233" s="122" t="e">
        <f t="shared" si="56"/>
        <v>#DIV/0!</v>
      </c>
      <c r="Z233" s="116">
        <f t="shared" si="57"/>
        <v>0</v>
      </c>
      <c r="AA233" s="158">
        <v>0.19500000000000001</v>
      </c>
      <c r="AB233" s="159">
        <f t="shared" si="58"/>
        <v>0</v>
      </c>
    </row>
    <row r="234" spans="1:66" ht="12.75">
      <c r="A234" s="9">
        <v>400</v>
      </c>
      <c r="B234" s="80"/>
      <c r="C234" s="14"/>
      <c r="D234" s="14"/>
      <c r="E234" s="80" t="s">
        <v>400</v>
      </c>
      <c r="F234" s="13">
        <f>IF(AND($P$16=A234,$P$32=E234),1,0)</f>
        <v>0</v>
      </c>
      <c r="G234" s="14">
        <v>1</v>
      </c>
      <c r="H234" s="118">
        <f>IF(AND($P$16=A234,$P$32=E234),$P$69,0)</f>
        <v>0</v>
      </c>
      <c r="I234" s="16">
        <v>1</v>
      </c>
      <c r="J234" s="16">
        <f t="shared" ref="J234:J239" si="60">((H234*I234)*AND(G234=1)*AND(F234=1))</f>
        <v>0</v>
      </c>
      <c r="K234" s="16">
        <v>0</v>
      </c>
      <c r="L234" s="16">
        <f t="shared" ref="L234:L239" si="61">(J234*K234%)+J234</f>
        <v>0</v>
      </c>
      <c r="M234" s="118" t="s">
        <v>128</v>
      </c>
      <c r="N234" s="9" t="s">
        <v>171</v>
      </c>
      <c r="O234" s="9"/>
      <c r="P234" s="1" t="s">
        <v>452</v>
      </c>
      <c r="Q234" s="157">
        <v>0</v>
      </c>
      <c r="R234" s="16">
        <f t="shared" ref="R234:R239" si="62">(L234*Q234)</f>
        <v>0</v>
      </c>
      <c r="S234" s="35">
        <v>0</v>
      </c>
      <c r="T234" s="35">
        <v>1</v>
      </c>
      <c r="U234" s="16">
        <f t="shared" si="59"/>
        <v>0</v>
      </c>
      <c r="V234" s="6">
        <f t="shared" si="59"/>
        <v>0</v>
      </c>
      <c r="W234" s="6">
        <f t="shared" ref="W234:W239" si="63">SUM(U234:V234)</f>
        <v>0</v>
      </c>
      <c r="X234" s="88">
        <f t="shared" si="55"/>
        <v>130</v>
      </c>
      <c r="Y234" s="122" t="e">
        <f t="shared" ref="Y234:Y239" si="64">100-((W234*100)/Z234)</f>
        <v>#DIV/0!</v>
      </c>
      <c r="Z234" s="116">
        <f t="shared" ref="Z234:Z239" si="65">(W234*X234%)+W234</f>
        <v>0</v>
      </c>
      <c r="AA234" s="158">
        <v>0.26400000000000001</v>
      </c>
      <c r="AB234" s="159">
        <f t="shared" si="58"/>
        <v>0</v>
      </c>
    </row>
    <row r="235" spans="1:66" ht="12.75">
      <c r="A235" s="9">
        <v>400</v>
      </c>
      <c r="B235" s="80"/>
      <c r="C235" s="14"/>
      <c r="D235" s="14"/>
      <c r="E235" s="80" t="s">
        <v>400</v>
      </c>
      <c r="F235" s="13">
        <f>IF(AND($Q$16=A235,$P$32=E235),1,0)</f>
        <v>0</v>
      </c>
      <c r="G235" s="14">
        <v>1</v>
      </c>
      <c r="H235" s="118">
        <f>IF(AND($Q$16=A235,$P$32=E235),$Q$10,0)</f>
        <v>0</v>
      </c>
      <c r="I235" s="16">
        <v>1</v>
      </c>
      <c r="J235" s="16">
        <f t="shared" si="60"/>
        <v>0</v>
      </c>
      <c r="K235" s="16">
        <v>0</v>
      </c>
      <c r="L235" s="16">
        <f t="shared" si="61"/>
        <v>0</v>
      </c>
      <c r="M235" s="118" t="s">
        <v>128</v>
      </c>
      <c r="N235" s="9" t="s">
        <v>171</v>
      </c>
      <c r="O235" s="9"/>
      <c r="P235" s="1" t="s">
        <v>452</v>
      </c>
      <c r="Q235" s="157">
        <v>0</v>
      </c>
      <c r="R235" s="16">
        <f t="shared" si="62"/>
        <v>0</v>
      </c>
      <c r="S235" s="35">
        <v>0</v>
      </c>
      <c r="T235" s="35">
        <v>1</v>
      </c>
      <c r="U235" s="16">
        <f t="shared" si="59"/>
        <v>0</v>
      </c>
      <c r="V235" s="6">
        <f t="shared" si="59"/>
        <v>0</v>
      </c>
      <c r="W235" s="6">
        <f t="shared" si="63"/>
        <v>0</v>
      </c>
      <c r="X235" s="88">
        <f t="shared" si="55"/>
        <v>130</v>
      </c>
      <c r="Y235" s="122" t="e">
        <f t="shared" si="64"/>
        <v>#DIV/0!</v>
      </c>
      <c r="Z235" s="116">
        <f t="shared" si="65"/>
        <v>0</v>
      </c>
      <c r="AA235" s="158">
        <v>0.26400000000000001</v>
      </c>
      <c r="AB235" s="159">
        <f t="shared" si="58"/>
        <v>0</v>
      </c>
    </row>
    <row r="236" spans="1:66" ht="12.75">
      <c r="A236" s="162">
        <v>1200</v>
      </c>
      <c r="B236" s="80"/>
      <c r="C236" s="14"/>
      <c r="D236" s="14"/>
      <c r="E236" s="80" t="s">
        <v>400</v>
      </c>
      <c r="F236" s="13">
        <f>IF(AND($P$16=A236,$P$32=E236),1,0)</f>
        <v>0</v>
      </c>
      <c r="G236" s="14">
        <v>1</v>
      </c>
      <c r="H236" s="118">
        <f>IF(AND($P$16=A236,$P$32=E236),$P$69,0)</f>
        <v>0</v>
      </c>
      <c r="I236" s="16">
        <v>1</v>
      </c>
      <c r="J236" s="16">
        <f t="shared" si="60"/>
        <v>0</v>
      </c>
      <c r="K236" s="16">
        <v>0</v>
      </c>
      <c r="L236" s="16">
        <f t="shared" si="61"/>
        <v>0</v>
      </c>
      <c r="M236" s="118" t="s">
        <v>128</v>
      </c>
      <c r="N236" s="9" t="s">
        <v>130</v>
      </c>
      <c r="O236" s="9"/>
      <c r="P236" s="1" t="s">
        <v>452</v>
      </c>
      <c r="Q236" s="157">
        <v>0</v>
      </c>
      <c r="R236" s="16">
        <f t="shared" si="62"/>
        <v>0</v>
      </c>
      <c r="S236" s="35">
        <v>0</v>
      </c>
      <c r="T236" s="35">
        <v>1</v>
      </c>
      <c r="U236" s="16">
        <f t="shared" si="59"/>
        <v>0</v>
      </c>
      <c r="V236" s="6">
        <f t="shared" si="59"/>
        <v>0</v>
      </c>
      <c r="W236" s="6">
        <f t="shared" si="63"/>
        <v>0</v>
      </c>
      <c r="X236" s="88">
        <f t="shared" si="55"/>
        <v>130</v>
      </c>
      <c r="Y236" s="122" t="e">
        <f t="shared" si="64"/>
        <v>#DIV/0!</v>
      </c>
      <c r="Z236" s="116">
        <f t="shared" si="65"/>
        <v>0</v>
      </c>
      <c r="AA236" s="158">
        <v>0.8</v>
      </c>
      <c r="AB236" s="159">
        <f t="shared" si="58"/>
        <v>0</v>
      </c>
    </row>
    <row r="237" spans="1:66" ht="12.75">
      <c r="A237" s="162">
        <v>1200</v>
      </c>
      <c r="B237" s="80"/>
      <c r="C237" s="14"/>
      <c r="D237" s="14"/>
      <c r="E237" s="80" t="s">
        <v>400</v>
      </c>
      <c r="F237" s="13">
        <f>IF(AND($Q$16=A237,$P$32=E237),1,0)</f>
        <v>0</v>
      </c>
      <c r="G237" s="14">
        <v>1</v>
      </c>
      <c r="H237" s="118">
        <f>IF(AND($Q$16=A237,$P$32=E237),$Q$10,0)</f>
        <v>0</v>
      </c>
      <c r="I237" s="16">
        <v>1</v>
      </c>
      <c r="J237" s="16">
        <f t="shared" si="60"/>
        <v>0</v>
      </c>
      <c r="K237" s="16">
        <v>0</v>
      </c>
      <c r="L237" s="16">
        <f t="shared" si="61"/>
        <v>0</v>
      </c>
      <c r="M237" s="118" t="s">
        <v>128</v>
      </c>
      <c r="N237" s="9" t="s">
        <v>206</v>
      </c>
      <c r="O237" s="9"/>
      <c r="P237" s="1" t="s">
        <v>452</v>
      </c>
      <c r="Q237" s="157">
        <v>0</v>
      </c>
      <c r="R237" s="16">
        <f t="shared" si="62"/>
        <v>0</v>
      </c>
      <c r="S237" s="35">
        <v>0</v>
      </c>
      <c r="T237" s="35">
        <v>1</v>
      </c>
      <c r="U237" s="16">
        <f t="shared" si="59"/>
        <v>0</v>
      </c>
      <c r="V237" s="6">
        <f t="shared" si="59"/>
        <v>0</v>
      </c>
      <c r="W237" s="6">
        <f t="shared" si="63"/>
        <v>0</v>
      </c>
      <c r="X237" s="88">
        <f t="shared" si="55"/>
        <v>130</v>
      </c>
      <c r="Y237" s="122" t="e">
        <f t="shared" si="64"/>
        <v>#DIV/0!</v>
      </c>
      <c r="Z237" s="116">
        <f t="shared" si="65"/>
        <v>0</v>
      </c>
      <c r="AA237" s="158">
        <v>0.8</v>
      </c>
      <c r="AB237" s="159">
        <f t="shared" si="58"/>
        <v>0</v>
      </c>
    </row>
    <row r="238" spans="1:66" ht="12.75">
      <c r="A238" s="162">
        <v>1370</v>
      </c>
      <c r="B238" s="80"/>
      <c r="C238" s="14"/>
      <c r="D238" s="14"/>
      <c r="E238" s="80" t="s">
        <v>400</v>
      </c>
      <c r="F238" s="13">
        <f>IF(AND($P$16=A238,$P$32=E238),1,0)</f>
        <v>0</v>
      </c>
      <c r="G238" s="14">
        <v>1</v>
      </c>
      <c r="H238" s="118">
        <f>IF(AND($P$16=A238,$P$32=E238),$P$69,0)</f>
        <v>0</v>
      </c>
      <c r="I238" s="16">
        <v>1</v>
      </c>
      <c r="J238" s="16">
        <f t="shared" si="60"/>
        <v>0</v>
      </c>
      <c r="K238" s="16">
        <v>0</v>
      </c>
      <c r="L238" s="16">
        <f t="shared" si="61"/>
        <v>0</v>
      </c>
      <c r="M238" s="118" t="s">
        <v>128</v>
      </c>
      <c r="N238" s="9" t="s">
        <v>248</v>
      </c>
      <c r="O238" s="9"/>
      <c r="P238" s="1" t="s">
        <v>452</v>
      </c>
      <c r="Q238" s="157">
        <v>0</v>
      </c>
      <c r="R238" s="16">
        <f t="shared" si="62"/>
        <v>0</v>
      </c>
      <c r="S238" s="35">
        <v>0</v>
      </c>
      <c r="T238" s="35">
        <v>1</v>
      </c>
      <c r="U238" s="16">
        <f t="shared" si="59"/>
        <v>0</v>
      </c>
      <c r="V238" s="6">
        <f t="shared" si="59"/>
        <v>0</v>
      </c>
      <c r="W238" s="6">
        <f t="shared" si="63"/>
        <v>0</v>
      </c>
      <c r="X238" s="88">
        <f t="shared" si="55"/>
        <v>130</v>
      </c>
      <c r="Y238" s="122" t="e">
        <f t="shared" si="64"/>
        <v>#DIV/0!</v>
      </c>
      <c r="Z238" s="116">
        <f t="shared" si="65"/>
        <v>0</v>
      </c>
      <c r="AA238" s="158">
        <v>0.9</v>
      </c>
      <c r="AB238" s="159">
        <f t="shared" si="58"/>
        <v>0</v>
      </c>
    </row>
    <row r="239" spans="1:66" ht="12.75">
      <c r="A239" s="162">
        <v>1370</v>
      </c>
      <c r="B239" s="80"/>
      <c r="C239" s="14"/>
      <c r="D239" s="14"/>
      <c r="E239" s="80" t="s">
        <v>400</v>
      </c>
      <c r="F239" s="13">
        <f>IF(AND($Q$16=A239,$P$32=E239),1,0)</f>
        <v>0</v>
      </c>
      <c r="G239" s="14">
        <v>1</v>
      </c>
      <c r="H239" s="118">
        <f>IF(AND($Q$16=A239,$P$32=E239),$Q$10,0)</f>
        <v>0</v>
      </c>
      <c r="I239" s="16">
        <v>1</v>
      </c>
      <c r="J239" s="16">
        <f t="shared" si="60"/>
        <v>0</v>
      </c>
      <c r="K239" s="16">
        <v>0</v>
      </c>
      <c r="L239" s="16">
        <f t="shared" si="61"/>
        <v>0</v>
      </c>
      <c r="M239" s="118" t="s">
        <v>128</v>
      </c>
      <c r="N239" s="9" t="s">
        <v>387</v>
      </c>
      <c r="O239" s="9"/>
      <c r="P239" s="1" t="s">
        <v>452</v>
      </c>
      <c r="Q239" s="157">
        <v>0</v>
      </c>
      <c r="R239" s="16">
        <f t="shared" si="62"/>
        <v>0</v>
      </c>
      <c r="S239" s="35">
        <v>0</v>
      </c>
      <c r="T239" s="35">
        <v>1</v>
      </c>
      <c r="U239" s="16">
        <f t="shared" si="59"/>
        <v>0</v>
      </c>
      <c r="V239" s="6">
        <f t="shared" si="59"/>
        <v>0</v>
      </c>
      <c r="W239" s="6">
        <f t="shared" si="63"/>
        <v>0</v>
      </c>
      <c r="X239" s="88">
        <f t="shared" si="55"/>
        <v>130</v>
      </c>
      <c r="Y239" s="122" t="e">
        <f t="shared" si="64"/>
        <v>#DIV/0!</v>
      </c>
      <c r="Z239" s="116">
        <f t="shared" si="65"/>
        <v>0</v>
      </c>
      <c r="AA239" s="158">
        <v>0.9</v>
      </c>
      <c r="AB239" s="159">
        <f t="shared" si="58"/>
        <v>0</v>
      </c>
    </row>
    <row r="240" spans="1:66" ht="12.75">
      <c r="A240" s="162"/>
      <c r="B240" s="80"/>
      <c r="C240" s="14"/>
      <c r="D240" s="14"/>
      <c r="E240" s="80"/>
      <c r="F240" s="13"/>
      <c r="G240" s="14"/>
      <c r="H240" s="118"/>
      <c r="I240" s="16"/>
      <c r="J240" s="16"/>
      <c r="K240" s="16"/>
      <c r="L240" s="16"/>
      <c r="M240" s="118"/>
      <c r="N240" s="9"/>
      <c r="O240" s="9"/>
      <c r="P240" s="1"/>
      <c r="Q240" s="157"/>
      <c r="R240" s="16"/>
      <c r="S240" s="35"/>
      <c r="T240" s="35"/>
      <c r="U240" s="16"/>
      <c r="V240" s="6"/>
      <c r="W240" s="6"/>
      <c r="X240" s="192"/>
      <c r="Y240" s="122"/>
      <c r="Z240" s="116"/>
      <c r="AA240" s="158"/>
      <c r="AB240" s="159"/>
    </row>
    <row r="241" spans="1:28" ht="12.75">
      <c r="A241" s="259" t="s">
        <v>257</v>
      </c>
      <c r="B241" s="259"/>
      <c r="C241" s="259"/>
      <c r="D241" s="259"/>
      <c r="E241" s="259"/>
      <c r="F241" s="146"/>
      <c r="G241" s="147"/>
      <c r="H241" s="148"/>
      <c r="I241" s="148"/>
      <c r="J241" s="148"/>
      <c r="K241" s="148"/>
      <c r="L241" s="148"/>
      <c r="M241" s="149"/>
      <c r="N241" s="149"/>
      <c r="O241" s="149"/>
      <c r="P241" s="150"/>
      <c r="Q241" s="148"/>
      <c r="R241" s="148"/>
      <c r="S241" s="151"/>
      <c r="T241" s="151"/>
      <c r="U241" s="148"/>
      <c r="V241" s="152"/>
      <c r="W241" s="152"/>
      <c r="X241" s="153"/>
      <c r="Y241" s="154"/>
      <c r="Z241" s="155"/>
      <c r="AA241" s="156"/>
    </row>
    <row r="242" spans="1:28" ht="12.75">
      <c r="A242" s="1"/>
      <c r="B242" s="14"/>
      <c r="C242" s="14"/>
      <c r="D242" s="14"/>
      <c r="E242" s="14"/>
      <c r="F242" s="14"/>
      <c r="G242" s="14"/>
      <c r="H242" s="16"/>
      <c r="I242" s="16"/>
      <c r="J242" s="16"/>
      <c r="K242" s="16"/>
      <c r="L242" s="16"/>
      <c r="M242" s="118"/>
      <c r="N242" s="118"/>
      <c r="O242" s="1"/>
      <c r="P242" s="1"/>
      <c r="Q242" s="167"/>
      <c r="R242" s="16"/>
      <c r="S242" s="35"/>
      <c r="T242" s="35"/>
      <c r="U242" s="16"/>
      <c r="V242" s="6"/>
      <c r="W242" s="6"/>
      <c r="X242" s="160"/>
      <c r="Y242" s="122"/>
      <c r="Z242" s="116"/>
      <c r="AA242" s="156"/>
    </row>
    <row r="243" spans="1:28" ht="12.75">
      <c r="A243" s="9">
        <v>100</v>
      </c>
      <c r="B243" s="80"/>
      <c r="C243" s="14"/>
      <c r="D243" s="14"/>
      <c r="E243" s="80" t="s">
        <v>405</v>
      </c>
      <c r="F243" s="13">
        <f>IF(AND($P$16=A243,$P$32=E243),1,0)</f>
        <v>0</v>
      </c>
      <c r="G243" s="14">
        <v>1</v>
      </c>
      <c r="H243" s="118">
        <f>IF(AND($P$16=A243,$P$32=E243),$P$69,0)</f>
        <v>0</v>
      </c>
      <c r="I243" s="16">
        <v>1</v>
      </c>
      <c r="J243" s="16">
        <f t="shared" ref="J243:J256" si="66">((H243*I243)*AND(G243=1)*AND(F243=1))</f>
        <v>0</v>
      </c>
      <c r="K243" s="16">
        <v>0</v>
      </c>
      <c r="L243" s="16">
        <f t="shared" ref="L243:L256" si="67">(J243*K243%)+J243</f>
        <v>0</v>
      </c>
      <c r="M243" s="118" t="s">
        <v>341</v>
      </c>
      <c r="N243" s="260" t="s">
        <v>382</v>
      </c>
      <c r="O243" s="260"/>
      <c r="P243" s="1" t="s">
        <v>452</v>
      </c>
      <c r="Q243" s="245">
        <v>0</v>
      </c>
      <c r="R243" s="16">
        <f t="shared" ref="R243:R256" si="68">(L243*Q243)</f>
        <v>0</v>
      </c>
      <c r="S243" s="35">
        <v>0</v>
      </c>
      <c r="T243" s="35">
        <v>1</v>
      </c>
      <c r="U243" s="16">
        <f t="shared" ref="U243:V248" si="69">(Q243*S243)</f>
        <v>0</v>
      </c>
      <c r="V243" s="6">
        <f t="shared" si="69"/>
        <v>0</v>
      </c>
      <c r="W243" s="6">
        <f t="shared" ref="W243:W256" si="70">SUM(U243:V243)</f>
        <v>0</v>
      </c>
      <c r="X243" s="88">
        <f t="shared" ref="X243:X256" si="71">($O$57)</f>
        <v>130</v>
      </c>
      <c r="Y243" s="122" t="e">
        <f t="shared" ref="Y243:Y256" si="72">100-((W243*100)/Z243)</f>
        <v>#DIV/0!</v>
      </c>
      <c r="Z243" s="116">
        <f t="shared" ref="Z243:Z256" si="73">(W243*X243%)+W243</f>
        <v>0</v>
      </c>
      <c r="AA243" s="158">
        <v>6.6000000000000003E-2</v>
      </c>
      <c r="AB243" s="159">
        <v>0</v>
      </c>
    </row>
    <row r="244" spans="1:28" ht="12.75">
      <c r="A244" s="9">
        <v>100</v>
      </c>
      <c r="B244" s="80"/>
      <c r="C244" s="14"/>
      <c r="D244" s="14"/>
      <c r="E244" s="80" t="s">
        <v>405</v>
      </c>
      <c r="F244" s="13">
        <f>IF(AND($Q$16=A244,$P$32=E244),1,0)</f>
        <v>0</v>
      </c>
      <c r="G244" s="14">
        <v>1</v>
      </c>
      <c r="H244" s="118">
        <f>IF(AND($Q$16=A244,$P$32=E244),$Q$10,0)</f>
        <v>0</v>
      </c>
      <c r="I244" s="16">
        <v>1</v>
      </c>
      <c r="J244" s="16">
        <f t="shared" si="66"/>
        <v>0</v>
      </c>
      <c r="K244" s="16">
        <v>0</v>
      </c>
      <c r="L244" s="16">
        <f t="shared" si="67"/>
        <v>0</v>
      </c>
      <c r="M244" s="118" t="s">
        <v>341</v>
      </c>
      <c r="N244" s="260" t="s">
        <v>366</v>
      </c>
      <c r="O244" s="260"/>
      <c r="P244" s="1" t="s">
        <v>452</v>
      </c>
      <c r="Q244" s="245">
        <v>0</v>
      </c>
      <c r="R244" s="16">
        <f t="shared" si="68"/>
        <v>0</v>
      </c>
      <c r="S244" s="35">
        <v>0</v>
      </c>
      <c r="T244" s="35">
        <v>1</v>
      </c>
      <c r="U244" s="16">
        <f t="shared" si="69"/>
        <v>0</v>
      </c>
      <c r="V244" s="6">
        <f t="shared" si="69"/>
        <v>0</v>
      </c>
      <c r="W244" s="6">
        <f t="shared" si="70"/>
        <v>0</v>
      </c>
      <c r="X244" s="88">
        <f t="shared" si="71"/>
        <v>130</v>
      </c>
      <c r="Y244" s="122" t="e">
        <f t="shared" si="72"/>
        <v>#DIV/0!</v>
      </c>
      <c r="Z244" s="116">
        <f t="shared" si="73"/>
        <v>0</v>
      </c>
      <c r="AA244" s="158">
        <v>6.6000000000000003E-2</v>
      </c>
      <c r="AB244" s="159">
        <v>0</v>
      </c>
    </row>
    <row r="245" spans="1:28" ht="12.75">
      <c r="A245" s="9">
        <v>150</v>
      </c>
      <c r="B245" s="80"/>
      <c r="C245" s="14"/>
      <c r="D245" s="14"/>
      <c r="E245" s="80" t="s">
        <v>405</v>
      </c>
      <c r="F245" s="13">
        <f>IF(AND($P$16=A245,$P$32=E245),1,0)</f>
        <v>0</v>
      </c>
      <c r="G245" s="14">
        <v>1</v>
      </c>
      <c r="H245" s="118">
        <f>IF(AND($P$16=A245,$P$32=E245),$P$69,0)</f>
        <v>0</v>
      </c>
      <c r="I245" s="16">
        <v>1</v>
      </c>
      <c r="J245" s="16">
        <f t="shared" si="66"/>
        <v>0</v>
      </c>
      <c r="K245" s="16">
        <v>0</v>
      </c>
      <c r="L245" s="16">
        <f t="shared" si="67"/>
        <v>0</v>
      </c>
      <c r="M245" s="118" t="s">
        <v>207</v>
      </c>
      <c r="N245" s="260" t="s">
        <v>230</v>
      </c>
      <c r="O245" s="260"/>
      <c r="P245" s="1" t="s">
        <v>452</v>
      </c>
      <c r="Q245" s="157">
        <v>2.15</v>
      </c>
      <c r="R245" s="16">
        <f t="shared" si="68"/>
        <v>0</v>
      </c>
      <c r="S245" s="35">
        <v>0</v>
      </c>
      <c r="T245" s="35">
        <v>1</v>
      </c>
      <c r="U245" s="16">
        <f t="shared" si="69"/>
        <v>0</v>
      </c>
      <c r="V245" s="6">
        <f t="shared" si="69"/>
        <v>0</v>
      </c>
      <c r="W245" s="6">
        <f t="shared" si="70"/>
        <v>0</v>
      </c>
      <c r="X245" s="88">
        <f t="shared" si="71"/>
        <v>130</v>
      </c>
      <c r="Y245" s="122" t="e">
        <f t="shared" si="72"/>
        <v>#DIV/0!</v>
      </c>
      <c r="Z245" s="116">
        <f t="shared" si="73"/>
        <v>0</v>
      </c>
      <c r="AA245" s="158">
        <v>9.7000000000000003E-2</v>
      </c>
      <c r="AB245" s="159">
        <v>0</v>
      </c>
    </row>
    <row r="246" spans="1:28" ht="12.75">
      <c r="A246" s="9">
        <v>150</v>
      </c>
      <c r="B246" s="80"/>
      <c r="C246" s="14"/>
      <c r="D246" s="14"/>
      <c r="E246" s="80" t="s">
        <v>405</v>
      </c>
      <c r="F246" s="13">
        <f>IF(AND($Q$16=A246,$P$32=E246),1,0)</f>
        <v>0</v>
      </c>
      <c r="G246" s="14">
        <v>1</v>
      </c>
      <c r="H246" s="118">
        <f>IF(AND($Q$16=A246,$P$32=E246),$Q$10,0)</f>
        <v>0</v>
      </c>
      <c r="I246" s="16">
        <v>1</v>
      </c>
      <c r="J246" s="16">
        <f t="shared" si="66"/>
        <v>0</v>
      </c>
      <c r="K246" s="16">
        <v>0</v>
      </c>
      <c r="L246" s="16">
        <f t="shared" si="67"/>
        <v>0</v>
      </c>
      <c r="M246" s="118" t="s">
        <v>207</v>
      </c>
      <c r="N246" s="260" t="s">
        <v>231</v>
      </c>
      <c r="O246" s="260"/>
      <c r="P246" s="1" t="s">
        <v>452</v>
      </c>
      <c r="Q246" s="157">
        <v>2.15</v>
      </c>
      <c r="R246" s="16">
        <f t="shared" si="68"/>
        <v>0</v>
      </c>
      <c r="S246" s="35">
        <v>0</v>
      </c>
      <c r="T246" s="35">
        <v>1</v>
      </c>
      <c r="U246" s="16">
        <f t="shared" si="69"/>
        <v>0</v>
      </c>
      <c r="V246" s="6">
        <f t="shared" si="69"/>
        <v>0</v>
      </c>
      <c r="W246" s="6">
        <f t="shared" si="70"/>
        <v>0</v>
      </c>
      <c r="X246" s="88">
        <f t="shared" si="71"/>
        <v>130</v>
      </c>
      <c r="Y246" s="122" t="e">
        <f t="shared" si="72"/>
        <v>#DIV/0!</v>
      </c>
      <c r="Z246" s="116">
        <f t="shared" si="73"/>
        <v>0</v>
      </c>
      <c r="AA246" s="158">
        <v>9.7000000000000003E-2</v>
      </c>
      <c r="AB246" s="159">
        <v>0</v>
      </c>
    </row>
    <row r="247" spans="1:28" ht="12.75">
      <c r="A247" s="9">
        <v>200</v>
      </c>
      <c r="B247" s="80"/>
      <c r="C247" s="14"/>
      <c r="D247" s="14"/>
      <c r="E247" s="80" t="s">
        <v>405</v>
      </c>
      <c r="F247" s="13">
        <f>IF(AND($P$16=A247,$P$32=E247),1,0)</f>
        <v>0</v>
      </c>
      <c r="G247" s="14">
        <v>1</v>
      </c>
      <c r="H247" s="118">
        <f>IF(AND($P$16=A247,$P$32=E247),$P$69,0)</f>
        <v>0</v>
      </c>
      <c r="I247" s="16">
        <v>1</v>
      </c>
      <c r="J247" s="16">
        <f t="shared" si="66"/>
        <v>0</v>
      </c>
      <c r="K247" s="16">
        <v>0</v>
      </c>
      <c r="L247" s="16">
        <f t="shared" si="67"/>
        <v>0</v>
      </c>
      <c r="M247" s="118" t="s">
        <v>424</v>
      </c>
      <c r="N247" s="260" t="s">
        <v>344</v>
      </c>
      <c r="O247" s="260"/>
      <c r="P247" s="1" t="s">
        <v>452</v>
      </c>
      <c r="Q247" s="157">
        <v>2.5</v>
      </c>
      <c r="R247" s="16">
        <f t="shared" si="68"/>
        <v>0</v>
      </c>
      <c r="S247" s="35">
        <v>0</v>
      </c>
      <c r="T247" s="35">
        <v>1</v>
      </c>
      <c r="U247" s="16">
        <f t="shared" si="69"/>
        <v>0</v>
      </c>
      <c r="V247" s="6">
        <f t="shared" si="69"/>
        <v>0</v>
      </c>
      <c r="W247" s="6">
        <f t="shared" si="70"/>
        <v>0</v>
      </c>
      <c r="X247" s="88">
        <f t="shared" si="71"/>
        <v>130</v>
      </c>
      <c r="Y247" s="122" t="e">
        <f t="shared" si="72"/>
        <v>#DIV/0!</v>
      </c>
      <c r="Z247" s="116">
        <f t="shared" si="73"/>
        <v>0</v>
      </c>
      <c r="AA247" s="158">
        <v>0.13200000000000001</v>
      </c>
      <c r="AB247" s="159">
        <v>0</v>
      </c>
    </row>
    <row r="248" spans="1:28" ht="12.75">
      <c r="A248" s="9">
        <v>200</v>
      </c>
      <c r="B248" s="80"/>
      <c r="C248" s="14"/>
      <c r="D248" s="14"/>
      <c r="E248" s="80" t="s">
        <v>405</v>
      </c>
      <c r="F248" s="13">
        <f>IF(AND($Q$16=A248,$P$32=E248),1,0)</f>
        <v>1</v>
      </c>
      <c r="G248" s="14">
        <v>1</v>
      </c>
      <c r="H248" s="118">
        <f>IF(AND($Q$16=A248,$P$32=E248),$Q$10,0)</f>
        <v>0</v>
      </c>
      <c r="I248" s="16">
        <v>1</v>
      </c>
      <c r="J248" s="16">
        <f t="shared" si="66"/>
        <v>0</v>
      </c>
      <c r="K248" s="16">
        <v>0</v>
      </c>
      <c r="L248" s="16">
        <f t="shared" si="67"/>
        <v>0</v>
      </c>
      <c r="M248" s="118" t="s">
        <v>424</v>
      </c>
      <c r="N248" s="260" t="s">
        <v>15</v>
      </c>
      <c r="O248" s="260"/>
      <c r="P248" s="1" t="s">
        <v>452</v>
      </c>
      <c r="Q248" s="157">
        <v>2.5</v>
      </c>
      <c r="R248" s="16">
        <f t="shared" si="68"/>
        <v>0</v>
      </c>
      <c r="S248" s="35">
        <v>0</v>
      </c>
      <c r="T248" s="35">
        <v>1</v>
      </c>
      <c r="U248" s="16">
        <f t="shared" si="69"/>
        <v>0</v>
      </c>
      <c r="V248" s="6">
        <f t="shared" si="69"/>
        <v>0</v>
      </c>
      <c r="W248" s="6">
        <f t="shared" si="70"/>
        <v>0</v>
      </c>
      <c r="X248" s="88">
        <f t="shared" si="71"/>
        <v>130</v>
      </c>
      <c r="Y248" s="122" t="e">
        <f t="shared" si="72"/>
        <v>#DIV/0!</v>
      </c>
      <c r="Z248" s="116">
        <f t="shared" si="73"/>
        <v>0</v>
      </c>
      <c r="AA248" s="158">
        <v>0.13200000000000001</v>
      </c>
      <c r="AB248" s="159">
        <v>0</v>
      </c>
    </row>
    <row r="249" spans="1:28" ht="12.75">
      <c r="A249" s="9">
        <v>300</v>
      </c>
      <c r="B249" s="80"/>
      <c r="C249" s="14"/>
      <c r="D249" s="14"/>
      <c r="E249" s="80" t="s">
        <v>405</v>
      </c>
      <c r="F249" s="13">
        <f>IF(AND($P$16=A249,$P$32=E249),1,0)</f>
        <v>1</v>
      </c>
      <c r="G249" s="14">
        <v>1</v>
      </c>
      <c r="H249" s="118">
        <f>IF(AND($P$16=A249,$P$32=E249),$P$69,0)</f>
        <v>19</v>
      </c>
      <c r="I249" s="16">
        <v>1</v>
      </c>
      <c r="J249" s="16">
        <f t="shared" si="66"/>
        <v>19</v>
      </c>
      <c r="K249" s="16">
        <v>0</v>
      </c>
      <c r="L249" s="16">
        <f t="shared" si="67"/>
        <v>19</v>
      </c>
      <c r="M249" s="118" t="s">
        <v>128</v>
      </c>
      <c r="N249" s="260" t="s">
        <v>58</v>
      </c>
      <c r="O249" s="260"/>
      <c r="P249" s="1" t="s">
        <v>452</v>
      </c>
      <c r="Q249" s="157">
        <v>2.95</v>
      </c>
      <c r="R249" s="16">
        <f t="shared" si="68"/>
        <v>56.050000000000004</v>
      </c>
      <c r="S249" s="35">
        <v>0</v>
      </c>
      <c r="T249" s="35">
        <v>1</v>
      </c>
      <c r="U249" s="16">
        <f t="shared" ref="U249:U256" si="74">(Q249*S249)</f>
        <v>0</v>
      </c>
      <c r="V249" s="6">
        <f t="shared" ref="V249:V256" si="75">(R249*T249)</f>
        <v>56.050000000000004</v>
      </c>
      <c r="W249" s="6">
        <f t="shared" si="70"/>
        <v>56.050000000000004</v>
      </c>
      <c r="X249" s="88">
        <f t="shared" si="71"/>
        <v>130</v>
      </c>
      <c r="Y249" s="122">
        <f t="shared" si="72"/>
        <v>56.521739130434788</v>
      </c>
      <c r="Z249" s="116">
        <f t="shared" si="73"/>
        <v>128.91500000000002</v>
      </c>
      <c r="AA249" s="158">
        <v>0.19500000000000001</v>
      </c>
      <c r="AB249" s="159">
        <v>2.34</v>
      </c>
    </row>
    <row r="250" spans="1:28" ht="12.75">
      <c r="A250" s="9">
        <v>300</v>
      </c>
      <c r="B250" s="80"/>
      <c r="C250" s="14"/>
      <c r="D250" s="14"/>
      <c r="E250" s="80" t="s">
        <v>405</v>
      </c>
      <c r="F250" s="13">
        <f>IF(AND($Q$16=A250,$P$32=E250),1,0)</f>
        <v>0</v>
      </c>
      <c r="G250" s="14">
        <v>1</v>
      </c>
      <c r="H250" s="118">
        <f>IF(AND($Q$16=A250,$P$32=E250),$Q$10,0)</f>
        <v>0</v>
      </c>
      <c r="I250" s="16">
        <v>1</v>
      </c>
      <c r="J250" s="16">
        <f t="shared" si="66"/>
        <v>0</v>
      </c>
      <c r="K250" s="16">
        <v>0</v>
      </c>
      <c r="L250" s="16">
        <f t="shared" si="67"/>
        <v>0</v>
      </c>
      <c r="M250" s="118" t="s">
        <v>128</v>
      </c>
      <c r="N250" s="260" t="s">
        <v>66</v>
      </c>
      <c r="O250" s="260"/>
      <c r="P250" s="1" t="s">
        <v>452</v>
      </c>
      <c r="Q250" s="157">
        <v>2.95</v>
      </c>
      <c r="R250" s="16">
        <f t="shared" si="68"/>
        <v>0</v>
      </c>
      <c r="S250" s="35">
        <v>0</v>
      </c>
      <c r="T250" s="35">
        <v>1</v>
      </c>
      <c r="U250" s="16">
        <f t="shared" si="74"/>
        <v>0</v>
      </c>
      <c r="V250" s="6">
        <f t="shared" si="75"/>
        <v>0</v>
      </c>
      <c r="W250" s="6">
        <f t="shared" si="70"/>
        <v>0</v>
      </c>
      <c r="X250" s="88">
        <f t="shared" si="71"/>
        <v>130</v>
      </c>
      <c r="Y250" s="122" t="e">
        <f t="shared" si="72"/>
        <v>#DIV/0!</v>
      </c>
      <c r="Z250" s="116">
        <f t="shared" si="73"/>
        <v>0</v>
      </c>
      <c r="AA250" s="158">
        <v>0.19500000000000001</v>
      </c>
      <c r="AB250" s="159">
        <v>0</v>
      </c>
    </row>
    <row r="251" spans="1:28" ht="12.75">
      <c r="A251" s="9">
        <v>400</v>
      </c>
      <c r="B251" s="80"/>
      <c r="C251" s="14"/>
      <c r="D251" s="14"/>
      <c r="E251" s="80" t="s">
        <v>405</v>
      </c>
      <c r="F251" s="13">
        <f>IF(AND($P$16=A251,$P$32=E251),1,0)</f>
        <v>0</v>
      </c>
      <c r="G251" s="14">
        <v>1</v>
      </c>
      <c r="H251" s="118">
        <f>IF(AND($P$16=A251,$P$32=E251),$P$69,0)</f>
        <v>0</v>
      </c>
      <c r="I251" s="16">
        <v>1</v>
      </c>
      <c r="J251" s="16">
        <f t="shared" si="66"/>
        <v>0</v>
      </c>
      <c r="K251" s="16">
        <v>0</v>
      </c>
      <c r="L251" s="16">
        <f t="shared" si="67"/>
        <v>0</v>
      </c>
      <c r="M251" s="118" t="s">
        <v>128</v>
      </c>
      <c r="N251" s="261" t="s">
        <v>171</v>
      </c>
      <c r="O251" s="261"/>
      <c r="P251" s="1" t="s">
        <v>452</v>
      </c>
      <c r="Q251" s="190">
        <v>0</v>
      </c>
      <c r="R251" s="16">
        <f t="shared" si="68"/>
        <v>0</v>
      </c>
      <c r="S251" s="35">
        <v>0</v>
      </c>
      <c r="T251" s="35">
        <v>1</v>
      </c>
      <c r="U251" s="16">
        <f t="shared" si="74"/>
        <v>0</v>
      </c>
      <c r="V251" s="6">
        <f t="shared" si="75"/>
        <v>0</v>
      </c>
      <c r="W251" s="6">
        <f t="shared" si="70"/>
        <v>0</v>
      </c>
      <c r="X251" s="88">
        <f t="shared" si="71"/>
        <v>130</v>
      </c>
      <c r="Y251" s="122" t="e">
        <f t="shared" si="72"/>
        <v>#DIV/0!</v>
      </c>
      <c r="Z251" s="116">
        <f t="shared" si="73"/>
        <v>0</v>
      </c>
      <c r="AA251" s="158">
        <v>0.26400000000000001</v>
      </c>
      <c r="AB251" s="159">
        <v>0</v>
      </c>
    </row>
    <row r="252" spans="1:28" ht="12.75">
      <c r="A252" s="9">
        <v>400</v>
      </c>
      <c r="B252" s="80"/>
      <c r="C252" s="14"/>
      <c r="D252" s="14"/>
      <c r="E252" s="80" t="s">
        <v>405</v>
      </c>
      <c r="F252" s="13">
        <f>IF(AND($Q$16=A252,$P$32=E252),1,0)</f>
        <v>0</v>
      </c>
      <c r="G252" s="14">
        <v>1</v>
      </c>
      <c r="H252" s="118">
        <f>IF(AND($Q$16=A252,$P$32=E252),$Q$10,0)</f>
        <v>0</v>
      </c>
      <c r="I252" s="16">
        <v>1</v>
      </c>
      <c r="J252" s="16">
        <f t="shared" si="66"/>
        <v>0</v>
      </c>
      <c r="K252" s="16">
        <v>0</v>
      </c>
      <c r="L252" s="16">
        <f t="shared" si="67"/>
        <v>0</v>
      </c>
      <c r="M252" s="118" t="s">
        <v>128</v>
      </c>
      <c r="N252" s="261" t="s">
        <v>171</v>
      </c>
      <c r="O252" s="261"/>
      <c r="P252" s="1" t="s">
        <v>452</v>
      </c>
      <c r="Q252" s="190">
        <v>0</v>
      </c>
      <c r="R252" s="16">
        <f t="shared" si="68"/>
        <v>0</v>
      </c>
      <c r="S252" s="35">
        <v>0</v>
      </c>
      <c r="T252" s="35">
        <v>1</v>
      </c>
      <c r="U252" s="16">
        <f t="shared" si="74"/>
        <v>0</v>
      </c>
      <c r="V252" s="6">
        <f t="shared" si="75"/>
        <v>0</v>
      </c>
      <c r="W252" s="6">
        <f t="shared" si="70"/>
        <v>0</v>
      </c>
      <c r="X252" s="88">
        <f t="shared" si="71"/>
        <v>130</v>
      </c>
      <c r="Y252" s="122" t="e">
        <f t="shared" si="72"/>
        <v>#DIV/0!</v>
      </c>
      <c r="Z252" s="116">
        <f t="shared" si="73"/>
        <v>0</v>
      </c>
      <c r="AA252" s="158">
        <v>0.26400000000000001</v>
      </c>
      <c r="AB252" s="159">
        <v>0</v>
      </c>
    </row>
    <row r="253" spans="1:28" ht="12.75">
      <c r="A253" s="162">
        <v>1200</v>
      </c>
      <c r="B253" s="80"/>
      <c r="C253" s="14"/>
      <c r="D253" s="14"/>
      <c r="E253" s="80" t="s">
        <v>405</v>
      </c>
      <c r="F253" s="13">
        <f>IF(AND($P$16=A253,$P$32=E253),1,0)</f>
        <v>0</v>
      </c>
      <c r="G253" s="14">
        <v>1</v>
      </c>
      <c r="H253" s="118">
        <f>IF(AND($P$16=A253,$P$32=E253),$P$69,0)</f>
        <v>0</v>
      </c>
      <c r="I253" s="16">
        <v>1</v>
      </c>
      <c r="J253" s="16">
        <f t="shared" si="66"/>
        <v>0</v>
      </c>
      <c r="K253" s="16">
        <v>0</v>
      </c>
      <c r="L253" s="16">
        <f t="shared" si="67"/>
        <v>0</v>
      </c>
      <c r="M253" s="118" t="s">
        <v>128</v>
      </c>
      <c r="N253" s="261" t="s">
        <v>130</v>
      </c>
      <c r="O253" s="261"/>
      <c r="P253" s="1" t="s">
        <v>452</v>
      </c>
      <c r="Q253" s="157">
        <v>0</v>
      </c>
      <c r="R253" s="16">
        <f t="shared" si="68"/>
        <v>0</v>
      </c>
      <c r="S253" s="35">
        <v>0</v>
      </c>
      <c r="T253" s="35">
        <v>1</v>
      </c>
      <c r="U253" s="16">
        <f t="shared" si="74"/>
        <v>0</v>
      </c>
      <c r="V253" s="6">
        <f t="shared" si="75"/>
        <v>0</v>
      </c>
      <c r="W253" s="6">
        <f t="shared" si="70"/>
        <v>0</v>
      </c>
      <c r="X253" s="88">
        <f t="shared" si="71"/>
        <v>130</v>
      </c>
      <c r="Y253" s="122" t="e">
        <f t="shared" si="72"/>
        <v>#DIV/0!</v>
      </c>
      <c r="Z253" s="116">
        <f t="shared" si="73"/>
        <v>0</v>
      </c>
      <c r="AA253" s="158">
        <v>0.8</v>
      </c>
      <c r="AB253" s="159">
        <v>0</v>
      </c>
    </row>
    <row r="254" spans="1:28" ht="12.75">
      <c r="A254" s="162">
        <v>1200</v>
      </c>
      <c r="B254" s="80"/>
      <c r="C254" s="14"/>
      <c r="D254" s="14"/>
      <c r="E254" s="80" t="s">
        <v>405</v>
      </c>
      <c r="F254" s="13">
        <f>IF(AND($Q$16=A254,$P$32=E254),1,0)</f>
        <v>0</v>
      </c>
      <c r="G254" s="14">
        <v>1</v>
      </c>
      <c r="H254" s="118">
        <f>IF(AND($Q$16=A254,$P$32=E254),$Q$10,0)</f>
        <v>0</v>
      </c>
      <c r="I254" s="16">
        <v>1</v>
      </c>
      <c r="J254" s="16">
        <f t="shared" si="66"/>
        <v>0</v>
      </c>
      <c r="K254" s="16">
        <v>0</v>
      </c>
      <c r="L254" s="16">
        <f t="shared" si="67"/>
        <v>0</v>
      </c>
      <c r="M254" s="118" t="s">
        <v>128</v>
      </c>
      <c r="N254" s="261" t="s">
        <v>206</v>
      </c>
      <c r="O254" s="261"/>
      <c r="P254" s="1" t="s">
        <v>452</v>
      </c>
      <c r="Q254" s="157">
        <v>0</v>
      </c>
      <c r="R254" s="16">
        <f t="shared" si="68"/>
        <v>0</v>
      </c>
      <c r="S254" s="35">
        <v>0</v>
      </c>
      <c r="T254" s="35">
        <v>1</v>
      </c>
      <c r="U254" s="16">
        <f t="shared" si="74"/>
        <v>0</v>
      </c>
      <c r="V254" s="6">
        <f t="shared" si="75"/>
        <v>0</v>
      </c>
      <c r="W254" s="6">
        <f t="shared" si="70"/>
        <v>0</v>
      </c>
      <c r="X254" s="88">
        <f t="shared" si="71"/>
        <v>130</v>
      </c>
      <c r="Y254" s="122" t="e">
        <f t="shared" si="72"/>
        <v>#DIV/0!</v>
      </c>
      <c r="Z254" s="116">
        <f t="shared" si="73"/>
        <v>0</v>
      </c>
      <c r="AA254" s="158">
        <v>0.8</v>
      </c>
      <c r="AB254" s="159">
        <v>0</v>
      </c>
    </row>
    <row r="255" spans="1:28" ht="12.75">
      <c r="A255" s="162">
        <v>1370</v>
      </c>
      <c r="B255" s="80"/>
      <c r="C255" s="14"/>
      <c r="D255" s="14"/>
      <c r="E255" s="80" t="s">
        <v>405</v>
      </c>
      <c r="F255" s="13">
        <f>IF(AND($P$16=A255,$P$32=E255),1,0)</f>
        <v>0</v>
      </c>
      <c r="G255" s="14">
        <v>1</v>
      </c>
      <c r="H255" s="118">
        <f>IF(AND($P$16=A255,$P$32=E255),$P$69,0)</f>
        <v>0</v>
      </c>
      <c r="I255" s="16">
        <v>1</v>
      </c>
      <c r="J255" s="16">
        <f t="shared" si="66"/>
        <v>0</v>
      </c>
      <c r="K255" s="16">
        <v>0</v>
      </c>
      <c r="L255" s="16">
        <f t="shared" si="67"/>
        <v>0</v>
      </c>
      <c r="M255" s="118" t="s">
        <v>128</v>
      </c>
      <c r="N255" s="261" t="s">
        <v>248</v>
      </c>
      <c r="O255" s="261"/>
      <c r="P255" s="1" t="s">
        <v>452</v>
      </c>
      <c r="Q255" s="157">
        <v>0</v>
      </c>
      <c r="R255" s="16">
        <f t="shared" si="68"/>
        <v>0</v>
      </c>
      <c r="S255" s="35">
        <v>0</v>
      </c>
      <c r="T255" s="35">
        <v>1</v>
      </c>
      <c r="U255" s="16">
        <f t="shared" si="74"/>
        <v>0</v>
      </c>
      <c r="V255" s="6">
        <f t="shared" si="75"/>
        <v>0</v>
      </c>
      <c r="W255" s="6">
        <f t="shared" si="70"/>
        <v>0</v>
      </c>
      <c r="X255" s="88">
        <f t="shared" si="71"/>
        <v>130</v>
      </c>
      <c r="Y255" s="122" t="e">
        <f t="shared" si="72"/>
        <v>#DIV/0!</v>
      </c>
      <c r="Z255" s="116">
        <f t="shared" si="73"/>
        <v>0</v>
      </c>
      <c r="AA255" s="158">
        <v>0.9</v>
      </c>
      <c r="AB255" s="159">
        <v>0</v>
      </c>
    </row>
    <row r="256" spans="1:28" ht="12.75">
      <c r="A256" s="162">
        <v>1370</v>
      </c>
      <c r="B256" s="80"/>
      <c r="C256" s="14"/>
      <c r="D256" s="14"/>
      <c r="E256" s="80" t="s">
        <v>405</v>
      </c>
      <c r="F256" s="13">
        <f>IF(AND($Q$16=A256,$P$32=E256),1,0)</f>
        <v>0</v>
      </c>
      <c r="G256" s="14">
        <v>1</v>
      </c>
      <c r="H256" s="118">
        <f>IF(AND($Q$16=A256,$P$32=E256),$Q$10,0)</f>
        <v>0</v>
      </c>
      <c r="I256" s="16">
        <v>1</v>
      </c>
      <c r="J256" s="16">
        <f t="shared" si="66"/>
        <v>0</v>
      </c>
      <c r="K256" s="16">
        <v>0</v>
      </c>
      <c r="L256" s="16">
        <f t="shared" si="67"/>
        <v>0</v>
      </c>
      <c r="M256" s="118" t="s">
        <v>128</v>
      </c>
      <c r="N256" s="261" t="s">
        <v>387</v>
      </c>
      <c r="O256" s="261"/>
      <c r="P256" s="1" t="s">
        <v>452</v>
      </c>
      <c r="Q256" s="157">
        <v>0</v>
      </c>
      <c r="R256" s="16">
        <f t="shared" si="68"/>
        <v>0</v>
      </c>
      <c r="S256" s="35">
        <v>0</v>
      </c>
      <c r="T256" s="35">
        <v>1</v>
      </c>
      <c r="U256" s="16">
        <f t="shared" si="74"/>
        <v>0</v>
      </c>
      <c r="V256" s="6">
        <f t="shared" si="75"/>
        <v>0</v>
      </c>
      <c r="W256" s="6">
        <f t="shared" si="70"/>
        <v>0</v>
      </c>
      <c r="X256" s="88">
        <f t="shared" si="71"/>
        <v>130</v>
      </c>
      <c r="Y256" s="122" t="e">
        <f t="shared" si="72"/>
        <v>#DIV/0!</v>
      </c>
      <c r="Z256" s="116">
        <f t="shared" si="73"/>
        <v>0</v>
      </c>
      <c r="AA256" s="158">
        <v>0.9</v>
      </c>
      <c r="AB256" s="159">
        <v>0</v>
      </c>
    </row>
    <row r="257" spans="1:27" ht="12.75">
      <c r="A257" s="1"/>
      <c r="B257" s="14"/>
      <c r="C257" s="14"/>
      <c r="D257" s="14"/>
      <c r="E257" s="14"/>
      <c r="F257" s="14"/>
      <c r="G257" s="14"/>
      <c r="H257" s="16"/>
      <c r="I257" s="16"/>
      <c r="J257" s="16"/>
      <c r="K257" s="16"/>
      <c r="L257" s="16"/>
      <c r="M257" s="118"/>
      <c r="N257" s="118"/>
      <c r="O257" s="118"/>
      <c r="P257" s="1"/>
      <c r="Q257" s="16"/>
      <c r="R257" s="16"/>
      <c r="S257" s="35"/>
      <c r="T257" s="35"/>
      <c r="U257" s="16"/>
      <c r="V257" s="6"/>
      <c r="W257" s="6"/>
      <c r="X257" s="160"/>
      <c r="Y257" s="122"/>
      <c r="Z257" s="116"/>
      <c r="AA257" s="156"/>
    </row>
    <row r="258" spans="1:27" ht="12.75">
      <c r="A258" s="144" t="s">
        <v>385</v>
      </c>
      <c r="B258" s="145"/>
      <c r="C258" s="145"/>
      <c r="D258" s="145"/>
      <c r="E258" s="145"/>
      <c r="F258" s="146"/>
      <c r="G258" s="147"/>
      <c r="H258" s="148"/>
      <c r="I258" s="148"/>
      <c r="J258" s="148"/>
      <c r="K258" s="148"/>
      <c r="L258" s="148"/>
      <c r="M258" s="149"/>
      <c r="N258" s="149"/>
      <c r="O258" s="149"/>
      <c r="P258" s="150"/>
      <c r="Q258" s="148"/>
      <c r="R258" s="148"/>
      <c r="S258" s="151"/>
      <c r="T258" s="151"/>
      <c r="U258" s="148"/>
      <c r="V258" s="152"/>
      <c r="W258" s="152"/>
      <c r="X258" s="153"/>
      <c r="Y258" s="154"/>
      <c r="Z258" s="155"/>
      <c r="AA258" s="156"/>
    </row>
    <row r="259" spans="1:27">
      <c r="A259" s="1"/>
      <c r="B259" s="1"/>
      <c r="C259" s="1"/>
      <c r="D259" s="1"/>
      <c r="E259" s="1"/>
      <c r="F259" s="1"/>
      <c r="G259" s="1"/>
      <c r="H259" s="16"/>
      <c r="I259" s="16"/>
      <c r="J259" s="16"/>
      <c r="K259" s="16"/>
      <c r="L259" s="16"/>
      <c r="M259" s="1"/>
      <c r="N259" s="1"/>
      <c r="O259" s="1"/>
      <c r="P259" s="1"/>
      <c r="Q259" s="16"/>
      <c r="R259" s="16"/>
      <c r="S259" s="3"/>
      <c r="T259" s="8"/>
      <c r="U259" s="6"/>
      <c r="V259" s="166"/>
      <c r="W259" s="6"/>
      <c r="X259" s="6"/>
      <c r="Y259" s="6"/>
      <c r="Z259" s="1"/>
    </row>
    <row r="260" spans="1:27" ht="12.75">
      <c r="A260" s="9">
        <v>100</v>
      </c>
      <c r="B260" s="14"/>
      <c r="C260" s="14"/>
      <c r="D260" s="14"/>
      <c r="E260" s="80" t="s">
        <v>406</v>
      </c>
      <c r="F260" s="118">
        <f>IF(AND($P$16=A260,$P$32=E260),1,0)</f>
        <v>0</v>
      </c>
      <c r="G260" s="14">
        <v>1</v>
      </c>
      <c r="H260" s="118">
        <f>IF(AND($P$16=A260,$P$32=E260),$P$69,0)</f>
        <v>0</v>
      </c>
      <c r="I260" s="16">
        <v>2</v>
      </c>
      <c r="J260" s="16">
        <f t="shared" ref="J260:J267" si="76">((H260*I260)*AND(G260=1)*AND(F260=1))</f>
        <v>0</v>
      </c>
      <c r="K260" s="16">
        <v>0</v>
      </c>
      <c r="L260" s="16">
        <f t="shared" ref="L260:L267" si="77">(J260*K260%)+J260</f>
        <v>0</v>
      </c>
      <c r="M260" s="118" t="s">
        <v>1</v>
      </c>
      <c r="N260" s="118" t="s">
        <v>289</v>
      </c>
      <c r="O260" s="1"/>
      <c r="P260" s="1" t="s">
        <v>452</v>
      </c>
      <c r="Q260" s="167">
        <v>3.8799999999999994E-2</v>
      </c>
      <c r="R260" s="16">
        <f t="shared" ref="R260:R267" si="78">(L260*Q260)</f>
        <v>0</v>
      </c>
      <c r="S260" s="35">
        <v>0</v>
      </c>
      <c r="T260" s="35">
        <v>1</v>
      </c>
      <c r="U260" s="16">
        <f t="shared" ref="U260:V266" si="79">(Q260*S260)</f>
        <v>0</v>
      </c>
      <c r="V260" s="6">
        <f t="shared" si="79"/>
        <v>0</v>
      </c>
      <c r="W260" s="6">
        <f t="shared" ref="W260:W267" si="80">SUM(U260:V260)</f>
        <v>0</v>
      </c>
      <c r="X260" s="88">
        <f t="shared" ref="X260:X273" si="81">($O$57)</f>
        <v>130</v>
      </c>
      <c r="Y260" s="122" t="e">
        <f t="shared" ref="Y260:Y267" si="82">100-((W260*100)/Z260)</f>
        <v>#DIV/0!</v>
      </c>
      <c r="Z260" s="116">
        <f t="shared" ref="Z260:Z267" si="83">(W260*X260%)+W260</f>
        <v>0</v>
      </c>
      <c r="AA260" s="156"/>
    </row>
    <row r="261" spans="1:27" ht="12.75">
      <c r="A261" s="9">
        <v>100</v>
      </c>
      <c r="B261" s="14"/>
      <c r="C261" s="14"/>
      <c r="D261" s="14"/>
      <c r="E261" s="80" t="s">
        <v>406</v>
      </c>
      <c r="F261" s="118">
        <f>IF(AND($Q$16=A261,$P$32=E261),1,0)</f>
        <v>0</v>
      </c>
      <c r="G261" s="14">
        <v>1</v>
      </c>
      <c r="H261" s="118">
        <f>IF(AND($Q$16=A261,$P$32=E261),$Q$10,0)</f>
        <v>0</v>
      </c>
      <c r="I261" s="16">
        <v>2</v>
      </c>
      <c r="J261" s="16">
        <f t="shared" si="76"/>
        <v>0</v>
      </c>
      <c r="K261" s="16">
        <v>0</v>
      </c>
      <c r="L261" s="16">
        <f t="shared" si="77"/>
        <v>0</v>
      </c>
      <c r="M261" s="118" t="s">
        <v>1</v>
      </c>
      <c r="N261" s="118" t="s">
        <v>22</v>
      </c>
      <c r="O261" s="1"/>
      <c r="P261" s="1" t="s">
        <v>452</v>
      </c>
      <c r="Q261" s="167">
        <v>3.8799999999999994E-2</v>
      </c>
      <c r="R261" s="16">
        <f t="shared" si="78"/>
        <v>0</v>
      </c>
      <c r="S261" s="35">
        <v>0</v>
      </c>
      <c r="T261" s="35">
        <v>1</v>
      </c>
      <c r="U261" s="16">
        <f>(Q261*S261)</f>
        <v>0</v>
      </c>
      <c r="V261" s="6">
        <f>(R261*T261)</f>
        <v>0</v>
      </c>
      <c r="W261" s="6">
        <f t="shared" si="80"/>
        <v>0</v>
      </c>
      <c r="X261" s="88">
        <f t="shared" si="81"/>
        <v>130</v>
      </c>
      <c r="Y261" s="122" t="e">
        <f t="shared" si="82"/>
        <v>#DIV/0!</v>
      </c>
      <c r="Z261" s="116">
        <f t="shared" si="83"/>
        <v>0</v>
      </c>
      <c r="AA261" s="156"/>
    </row>
    <row r="262" spans="1:27" ht="12.75">
      <c r="A262" s="9">
        <v>150</v>
      </c>
      <c r="B262" s="14"/>
      <c r="C262" s="14"/>
      <c r="D262" s="14"/>
      <c r="E262" s="80" t="s">
        <v>406</v>
      </c>
      <c r="F262" s="118">
        <f>IF(AND($P$16=A262,$P$32=E262),1,0)</f>
        <v>0</v>
      </c>
      <c r="G262" s="14">
        <v>1</v>
      </c>
      <c r="H262" s="118">
        <f>IF(AND($P$16=A262,$P$32=E262),$P$69,0)</f>
        <v>0</v>
      </c>
      <c r="I262" s="16">
        <v>3</v>
      </c>
      <c r="J262" s="16">
        <f t="shared" si="76"/>
        <v>0</v>
      </c>
      <c r="K262" s="16">
        <v>0</v>
      </c>
      <c r="L262" s="16">
        <f t="shared" si="77"/>
        <v>0</v>
      </c>
      <c r="M262" s="118" t="s">
        <v>1</v>
      </c>
      <c r="N262" s="118" t="s">
        <v>289</v>
      </c>
      <c r="O262" s="1"/>
      <c r="P262" s="1" t="s">
        <v>452</v>
      </c>
      <c r="Q262" s="167">
        <v>3.8799999999999994E-2</v>
      </c>
      <c r="R262" s="16">
        <f t="shared" si="78"/>
        <v>0</v>
      </c>
      <c r="S262" s="35">
        <v>0</v>
      </c>
      <c r="T262" s="35">
        <v>1</v>
      </c>
      <c r="U262" s="16">
        <f t="shared" si="79"/>
        <v>0</v>
      </c>
      <c r="V262" s="6">
        <f t="shared" si="79"/>
        <v>0</v>
      </c>
      <c r="W262" s="6">
        <f t="shared" si="80"/>
        <v>0</v>
      </c>
      <c r="X262" s="88">
        <f t="shared" si="81"/>
        <v>130</v>
      </c>
      <c r="Y262" s="122" t="e">
        <f t="shared" si="82"/>
        <v>#DIV/0!</v>
      </c>
      <c r="Z262" s="116">
        <f t="shared" si="83"/>
        <v>0</v>
      </c>
      <c r="AA262" s="156"/>
    </row>
    <row r="263" spans="1:27" ht="12.75">
      <c r="A263" s="9">
        <v>150</v>
      </c>
      <c r="B263" s="14"/>
      <c r="C263" s="14"/>
      <c r="D263" s="14"/>
      <c r="E263" s="80" t="s">
        <v>406</v>
      </c>
      <c r="F263" s="118">
        <f>IF(AND($Q$16=A263,$P$32=E263),1,0)</f>
        <v>0</v>
      </c>
      <c r="G263" s="14">
        <v>1</v>
      </c>
      <c r="H263" s="118">
        <f>IF(AND($Q$16=A263,$P$32=E263),$Q$10,0)</f>
        <v>0</v>
      </c>
      <c r="I263" s="16">
        <v>3</v>
      </c>
      <c r="J263" s="16">
        <f t="shared" si="76"/>
        <v>0</v>
      </c>
      <c r="K263" s="16">
        <v>0</v>
      </c>
      <c r="L263" s="16">
        <f t="shared" si="77"/>
        <v>0</v>
      </c>
      <c r="M263" s="118" t="s">
        <v>1</v>
      </c>
      <c r="N263" s="118" t="s">
        <v>22</v>
      </c>
      <c r="O263" s="1"/>
      <c r="P263" s="1" t="s">
        <v>452</v>
      </c>
      <c r="Q263" s="167">
        <v>3.8799999999999994E-2</v>
      </c>
      <c r="R263" s="16">
        <f t="shared" si="78"/>
        <v>0</v>
      </c>
      <c r="S263" s="35">
        <v>0</v>
      </c>
      <c r="T263" s="35">
        <v>1</v>
      </c>
      <c r="U263" s="16">
        <f>(Q263*S263)</f>
        <v>0</v>
      </c>
      <c r="V263" s="6">
        <f>(R263*T263)</f>
        <v>0</v>
      </c>
      <c r="W263" s="6">
        <f t="shared" si="80"/>
        <v>0</v>
      </c>
      <c r="X263" s="88">
        <f t="shared" si="81"/>
        <v>130</v>
      </c>
      <c r="Y263" s="122" t="e">
        <f t="shared" si="82"/>
        <v>#DIV/0!</v>
      </c>
      <c r="Z263" s="116">
        <f t="shared" si="83"/>
        <v>0</v>
      </c>
      <c r="AA263" s="156"/>
    </row>
    <row r="264" spans="1:27" ht="12.75">
      <c r="A264" s="9">
        <v>200</v>
      </c>
      <c r="B264" s="14"/>
      <c r="C264" s="14"/>
      <c r="D264" s="14"/>
      <c r="E264" s="80" t="s">
        <v>406</v>
      </c>
      <c r="F264" s="118">
        <f>IF(AND($P$16=A264,$P$32=E264),1,0)</f>
        <v>0</v>
      </c>
      <c r="G264" s="14">
        <v>1</v>
      </c>
      <c r="H264" s="118">
        <f>IF(AND($P$16=A264,$P$32=E264),$P$69,0)</f>
        <v>0</v>
      </c>
      <c r="I264" s="16">
        <v>4</v>
      </c>
      <c r="J264" s="16">
        <f t="shared" si="76"/>
        <v>0</v>
      </c>
      <c r="K264" s="16">
        <v>0</v>
      </c>
      <c r="L264" s="16">
        <f t="shared" si="77"/>
        <v>0</v>
      </c>
      <c r="M264" s="118" t="s">
        <v>1</v>
      </c>
      <c r="N264" s="118" t="s">
        <v>289</v>
      </c>
      <c r="O264" s="1"/>
      <c r="P264" s="1" t="s">
        <v>452</v>
      </c>
      <c r="Q264" s="167">
        <v>3.8799999999999994E-2</v>
      </c>
      <c r="R264" s="16">
        <f t="shared" si="78"/>
        <v>0</v>
      </c>
      <c r="S264" s="35">
        <v>0</v>
      </c>
      <c r="T264" s="35">
        <v>1</v>
      </c>
      <c r="U264" s="16">
        <f t="shared" si="79"/>
        <v>0</v>
      </c>
      <c r="V264" s="6">
        <f t="shared" si="79"/>
        <v>0</v>
      </c>
      <c r="W264" s="6">
        <f t="shared" si="80"/>
        <v>0</v>
      </c>
      <c r="X264" s="88">
        <f t="shared" si="81"/>
        <v>130</v>
      </c>
      <c r="Y264" s="122" t="e">
        <f t="shared" si="82"/>
        <v>#DIV/0!</v>
      </c>
      <c r="Z264" s="116">
        <f t="shared" si="83"/>
        <v>0</v>
      </c>
      <c r="AA264" s="156"/>
    </row>
    <row r="265" spans="1:27" ht="12.75">
      <c r="A265" s="9">
        <v>200</v>
      </c>
      <c r="B265" s="14"/>
      <c r="C265" s="14"/>
      <c r="D265" s="14"/>
      <c r="E265" s="80" t="s">
        <v>406</v>
      </c>
      <c r="F265" s="118">
        <f>IF(AND($Q$16=A265,$P$32=E265),1,0)</f>
        <v>0</v>
      </c>
      <c r="G265" s="14">
        <v>1</v>
      </c>
      <c r="H265" s="118">
        <f>IF(AND($Q$16=A265,$P$32=E265),$Q$10,0)</f>
        <v>0</v>
      </c>
      <c r="I265" s="16">
        <v>4</v>
      </c>
      <c r="J265" s="16">
        <f t="shared" si="76"/>
        <v>0</v>
      </c>
      <c r="K265" s="16">
        <v>0</v>
      </c>
      <c r="L265" s="16">
        <f t="shared" si="77"/>
        <v>0</v>
      </c>
      <c r="M265" s="118" t="s">
        <v>1</v>
      </c>
      <c r="N265" s="118" t="s">
        <v>22</v>
      </c>
      <c r="O265" s="1"/>
      <c r="P265" s="1" t="s">
        <v>452</v>
      </c>
      <c r="Q265" s="167">
        <v>3.8799999999999994E-2</v>
      </c>
      <c r="R265" s="16">
        <f t="shared" si="78"/>
        <v>0</v>
      </c>
      <c r="S265" s="35">
        <v>0</v>
      </c>
      <c r="T265" s="35">
        <v>1</v>
      </c>
      <c r="U265" s="16">
        <f>(Q265*S265)</f>
        <v>0</v>
      </c>
      <c r="V265" s="6">
        <f>(R265*T265)</f>
        <v>0</v>
      </c>
      <c r="W265" s="6">
        <f t="shared" si="80"/>
        <v>0</v>
      </c>
      <c r="X265" s="88">
        <f t="shared" si="81"/>
        <v>130</v>
      </c>
      <c r="Y265" s="122" t="e">
        <f t="shared" si="82"/>
        <v>#DIV/0!</v>
      </c>
      <c r="Z265" s="116">
        <f t="shared" si="83"/>
        <v>0</v>
      </c>
      <c r="AA265" s="156"/>
    </row>
    <row r="266" spans="1:27" ht="12.75">
      <c r="A266" s="9">
        <v>300</v>
      </c>
      <c r="B266" s="14"/>
      <c r="C266" s="14"/>
      <c r="D266" s="14"/>
      <c r="E266" s="80" t="s">
        <v>406</v>
      </c>
      <c r="F266" s="118">
        <f>IF(AND($P$16=A266,$P$32=E266),1,0)</f>
        <v>0</v>
      </c>
      <c r="G266" s="14">
        <v>1</v>
      </c>
      <c r="H266" s="118">
        <f>IF(AND($P$16=A266,$P$32=E266),$P$69,0)</f>
        <v>0</v>
      </c>
      <c r="I266" s="16">
        <v>5</v>
      </c>
      <c r="J266" s="16">
        <f t="shared" si="76"/>
        <v>0</v>
      </c>
      <c r="K266" s="16">
        <v>0</v>
      </c>
      <c r="L266" s="16">
        <f t="shared" si="77"/>
        <v>0</v>
      </c>
      <c r="M266" s="118" t="s">
        <v>1</v>
      </c>
      <c r="N266" s="118" t="s">
        <v>289</v>
      </c>
      <c r="O266" s="1"/>
      <c r="P266" s="1" t="s">
        <v>452</v>
      </c>
      <c r="Q266" s="167">
        <v>3.8799999999999994E-2</v>
      </c>
      <c r="R266" s="16">
        <f t="shared" si="78"/>
        <v>0</v>
      </c>
      <c r="S266" s="35">
        <v>0</v>
      </c>
      <c r="T266" s="35">
        <v>1</v>
      </c>
      <c r="U266" s="16">
        <f t="shared" si="79"/>
        <v>0</v>
      </c>
      <c r="V266" s="6">
        <f t="shared" si="79"/>
        <v>0</v>
      </c>
      <c r="W266" s="6">
        <f t="shared" si="80"/>
        <v>0</v>
      </c>
      <c r="X266" s="88">
        <f t="shared" si="81"/>
        <v>130</v>
      </c>
      <c r="Y266" s="122" t="e">
        <f t="shared" si="82"/>
        <v>#DIV/0!</v>
      </c>
      <c r="Z266" s="116">
        <f t="shared" si="83"/>
        <v>0</v>
      </c>
      <c r="AA266" s="156"/>
    </row>
    <row r="267" spans="1:27" ht="12.75">
      <c r="A267" s="9">
        <v>300</v>
      </c>
      <c r="B267" s="14"/>
      <c r="C267" s="14"/>
      <c r="D267" s="14"/>
      <c r="E267" s="80" t="s">
        <v>406</v>
      </c>
      <c r="F267" s="118">
        <f>IF(AND($Q$16=A267,$P$32=E267),1,0)</f>
        <v>0</v>
      </c>
      <c r="G267" s="14">
        <v>1</v>
      </c>
      <c r="H267" s="118">
        <f>IF(AND($Q$16=A267,$P$32=E267),$Q$10,0)</f>
        <v>0</v>
      </c>
      <c r="I267" s="16">
        <v>5</v>
      </c>
      <c r="J267" s="16">
        <f t="shared" si="76"/>
        <v>0</v>
      </c>
      <c r="K267" s="16">
        <v>0</v>
      </c>
      <c r="L267" s="16">
        <f t="shared" si="77"/>
        <v>0</v>
      </c>
      <c r="M267" s="118" t="s">
        <v>1</v>
      </c>
      <c r="N267" s="118" t="s">
        <v>22</v>
      </c>
      <c r="O267" s="1"/>
      <c r="P267" s="1" t="s">
        <v>452</v>
      </c>
      <c r="Q267" s="167">
        <v>3.8799999999999994E-2</v>
      </c>
      <c r="R267" s="16">
        <f t="shared" si="78"/>
        <v>0</v>
      </c>
      <c r="S267" s="35">
        <v>0</v>
      </c>
      <c r="T267" s="35">
        <v>1</v>
      </c>
      <c r="U267" s="16">
        <f t="shared" ref="U267:V273" si="84">(Q267*S267)</f>
        <v>0</v>
      </c>
      <c r="V267" s="6">
        <f t="shared" si="84"/>
        <v>0</v>
      </c>
      <c r="W267" s="6">
        <f t="shared" si="80"/>
        <v>0</v>
      </c>
      <c r="X267" s="88">
        <f t="shared" si="81"/>
        <v>130</v>
      </c>
      <c r="Y267" s="122" t="e">
        <f t="shared" si="82"/>
        <v>#DIV/0!</v>
      </c>
      <c r="Z267" s="116">
        <f t="shared" si="83"/>
        <v>0</v>
      </c>
      <c r="AA267" s="156"/>
    </row>
    <row r="268" spans="1:27" ht="12.75">
      <c r="A268" s="9">
        <v>400</v>
      </c>
      <c r="B268" s="14"/>
      <c r="C268" s="14"/>
      <c r="D268" s="14"/>
      <c r="E268" s="80" t="s">
        <v>406</v>
      </c>
      <c r="F268" s="118">
        <f>IF(AND($P$16=A268,$P$32=E268),1,0)</f>
        <v>0</v>
      </c>
      <c r="G268" s="14">
        <v>1</v>
      </c>
      <c r="H268" s="118">
        <f>IF(AND($P$16=A268,$P$32=E268),$P$69,0)</f>
        <v>0</v>
      </c>
      <c r="I268" s="16">
        <v>5</v>
      </c>
      <c r="J268" s="16">
        <f t="shared" ref="J268:J273" si="85">((H268*I268)*AND(G268=1)*AND(F268=1))</f>
        <v>0</v>
      </c>
      <c r="K268" s="16">
        <v>0</v>
      </c>
      <c r="L268" s="16">
        <f t="shared" ref="L268:L273" si="86">(J268*K268%)+J268</f>
        <v>0</v>
      </c>
      <c r="M268" s="118" t="s">
        <v>1</v>
      </c>
      <c r="N268" s="9" t="s">
        <v>161</v>
      </c>
      <c r="O268" s="9"/>
      <c r="P268" s="1" t="s">
        <v>452</v>
      </c>
      <c r="Q268" s="167">
        <v>3.8799999999999994E-2</v>
      </c>
      <c r="R268" s="16">
        <f t="shared" ref="R268:R273" si="87">(L268*Q268)</f>
        <v>0</v>
      </c>
      <c r="S268" s="35">
        <v>0</v>
      </c>
      <c r="T268" s="35">
        <v>1</v>
      </c>
      <c r="U268" s="16">
        <f t="shared" si="84"/>
        <v>0</v>
      </c>
      <c r="V268" s="6">
        <f t="shared" si="84"/>
        <v>0</v>
      </c>
      <c r="W268" s="6">
        <f t="shared" ref="W268:W273" si="88">SUM(U268:V268)</f>
        <v>0</v>
      </c>
      <c r="X268" s="88">
        <f t="shared" si="81"/>
        <v>130</v>
      </c>
      <c r="Y268" s="122" t="e">
        <f t="shared" ref="Y268:Y273" si="89">100-((W268*100)/Z268)</f>
        <v>#DIV/0!</v>
      </c>
      <c r="Z268" s="116">
        <f t="shared" ref="Z268:Z273" si="90">(W268*X268%)+W268</f>
        <v>0</v>
      </c>
      <c r="AA268" s="156"/>
    </row>
    <row r="269" spans="1:27" ht="12.75">
      <c r="A269" s="9">
        <v>400</v>
      </c>
      <c r="B269" s="14"/>
      <c r="C269" s="14"/>
      <c r="D269" s="14"/>
      <c r="E269" s="80" t="s">
        <v>406</v>
      </c>
      <c r="F269" s="118">
        <f>IF(AND($Q$16=A269,$P$32=E269),1,0)</f>
        <v>0</v>
      </c>
      <c r="G269" s="14">
        <v>1</v>
      </c>
      <c r="H269" s="118">
        <f>IF(AND($Q$16=A269,$P$32=E269),$Q$10,0)</f>
        <v>0</v>
      </c>
      <c r="I269" s="16">
        <v>5</v>
      </c>
      <c r="J269" s="16">
        <f t="shared" si="85"/>
        <v>0</v>
      </c>
      <c r="K269" s="16">
        <v>0</v>
      </c>
      <c r="L269" s="16">
        <f t="shared" si="86"/>
        <v>0</v>
      </c>
      <c r="M269" s="118" t="s">
        <v>1</v>
      </c>
      <c r="N269" s="9" t="s">
        <v>55</v>
      </c>
      <c r="O269" s="9"/>
      <c r="P269" s="1" t="s">
        <v>452</v>
      </c>
      <c r="Q269" s="167">
        <v>3.8799999999999994E-2</v>
      </c>
      <c r="R269" s="16">
        <f t="shared" si="87"/>
        <v>0</v>
      </c>
      <c r="S269" s="35">
        <v>0</v>
      </c>
      <c r="T269" s="35">
        <v>1</v>
      </c>
      <c r="U269" s="16">
        <f t="shared" si="84"/>
        <v>0</v>
      </c>
      <c r="V269" s="6">
        <f t="shared" si="84"/>
        <v>0</v>
      </c>
      <c r="W269" s="6">
        <f t="shared" si="88"/>
        <v>0</v>
      </c>
      <c r="X269" s="88">
        <f t="shared" si="81"/>
        <v>130</v>
      </c>
      <c r="Y269" s="122" t="e">
        <f t="shared" si="89"/>
        <v>#DIV/0!</v>
      </c>
      <c r="Z269" s="116">
        <f t="shared" si="90"/>
        <v>0</v>
      </c>
      <c r="AA269" s="156"/>
    </row>
    <row r="270" spans="1:27" ht="12.75">
      <c r="A270" s="162">
        <v>1200</v>
      </c>
      <c r="B270" s="14"/>
      <c r="C270" s="14"/>
      <c r="D270" s="14"/>
      <c r="E270" s="80" t="s">
        <v>406</v>
      </c>
      <c r="F270" s="118">
        <f>IF(AND($P$16=A270,$P$32=E270),1,0)</f>
        <v>0</v>
      </c>
      <c r="G270" s="14">
        <v>1</v>
      </c>
      <c r="H270" s="118">
        <f>IF(AND($P$16=A270,$P$32=E270),$P$69,0)</f>
        <v>0</v>
      </c>
      <c r="I270" s="16">
        <v>20</v>
      </c>
      <c r="J270" s="16">
        <f t="shared" si="85"/>
        <v>0</v>
      </c>
      <c r="K270" s="16">
        <v>0</v>
      </c>
      <c r="L270" s="16">
        <f t="shared" si="86"/>
        <v>0</v>
      </c>
      <c r="M270" s="118" t="s">
        <v>1</v>
      </c>
      <c r="N270" s="9" t="s">
        <v>161</v>
      </c>
      <c r="O270" s="9"/>
      <c r="P270" s="1" t="s">
        <v>452</v>
      </c>
      <c r="Q270" s="167">
        <v>3.8799999999999994E-2</v>
      </c>
      <c r="R270" s="16">
        <f t="shared" si="87"/>
        <v>0</v>
      </c>
      <c r="S270" s="35">
        <v>0</v>
      </c>
      <c r="T270" s="35">
        <v>1</v>
      </c>
      <c r="U270" s="16">
        <f t="shared" si="84"/>
        <v>0</v>
      </c>
      <c r="V270" s="6">
        <f t="shared" si="84"/>
        <v>0</v>
      </c>
      <c r="W270" s="6">
        <f t="shared" si="88"/>
        <v>0</v>
      </c>
      <c r="X270" s="88">
        <f t="shared" si="81"/>
        <v>130</v>
      </c>
      <c r="Y270" s="122" t="e">
        <f t="shared" si="89"/>
        <v>#DIV/0!</v>
      </c>
      <c r="Z270" s="116">
        <f t="shared" si="90"/>
        <v>0</v>
      </c>
      <c r="AA270" s="156"/>
    </row>
    <row r="271" spans="1:27" ht="12.75">
      <c r="A271" s="162">
        <v>1200</v>
      </c>
      <c r="B271" s="14"/>
      <c r="C271" s="14"/>
      <c r="D271" s="14"/>
      <c r="E271" s="80" t="s">
        <v>406</v>
      </c>
      <c r="F271" s="118">
        <f>IF(AND($Q$16=A271,$P$32=E271),1,0)</f>
        <v>0</v>
      </c>
      <c r="G271" s="14">
        <v>1</v>
      </c>
      <c r="H271" s="118">
        <f>IF(AND($Q$16=A271,$P$32=E271),$Q$10,0)</f>
        <v>0</v>
      </c>
      <c r="I271" s="16">
        <v>20</v>
      </c>
      <c r="J271" s="16">
        <f t="shared" si="85"/>
        <v>0</v>
      </c>
      <c r="K271" s="16">
        <v>0</v>
      </c>
      <c r="L271" s="16">
        <f t="shared" si="86"/>
        <v>0</v>
      </c>
      <c r="M271" s="118" t="s">
        <v>1</v>
      </c>
      <c r="N271" s="9" t="s">
        <v>55</v>
      </c>
      <c r="O271" s="9"/>
      <c r="P271" s="1" t="s">
        <v>452</v>
      </c>
      <c r="Q271" s="167">
        <v>3.8799999999999994E-2</v>
      </c>
      <c r="R271" s="16">
        <f t="shared" si="87"/>
        <v>0</v>
      </c>
      <c r="S271" s="35">
        <v>0</v>
      </c>
      <c r="T271" s="35">
        <v>1</v>
      </c>
      <c r="U271" s="16">
        <f t="shared" si="84"/>
        <v>0</v>
      </c>
      <c r="V271" s="6">
        <f t="shared" si="84"/>
        <v>0</v>
      </c>
      <c r="W271" s="6">
        <f t="shared" si="88"/>
        <v>0</v>
      </c>
      <c r="X271" s="88">
        <f t="shared" si="81"/>
        <v>130</v>
      </c>
      <c r="Y271" s="122" t="e">
        <f t="shared" si="89"/>
        <v>#DIV/0!</v>
      </c>
      <c r="Z271" s="116">
        <f t="shared" si="90"/>
        <v>0</v>
      </c>
      <c r="AA271" s="156"/>
    </row>
    <row r="272" spans="1:27" ht="12.75">
      <c r="A272" s="162">
        <v>1370</v>
      </c>
      <c r="B272" s="14"/>
      <c r="C272" s="14"/>
      <c r="D272" s="14"/>
      <c r="E272" s="80" t="s">
        <v>406</v>
      </c>
      <c r="F272" s="118">
        <f>IF(AND($P$16=A272,$P$32=E272),1,0)</f>
        <v>0</v>
      </c>
      <c r="G272" s="14">
        <v>1</v>
      </c>
      <c r="H272" s="118">
        <f>IF(AND($P$16=A272,$P$32=E272),$P$69,0)</f>
        <v>0</v>
      </c>
      <c r="I272" s="16">
        <v>25</v>
      </c>
      <c r="J272" s="16">
        <f t="shared" si="85"/>
        <v>0</v>
      </c>
      <c r="K272" s="16">
        <v>0</v>
      </c>
      <c r="L272" s="16">
        <f t="shared" si="86"/>
        <v>0</v>
      </c>
      <c r="M272" s="118" t="s">
        <v>1</v>
      </c>
      <c r="N272" s="9" t="s">
        <v>161</v>
      </c>
      <c r="O272" s="9"/>
      <c r="P272" s="1" t="s">
        <v>452</v>
      </c>
      <c r="Q272" s="167">
        <v>3.8799999999999994E-2</v>
      </c>
      <c r="R272" s="16">
        <f t="shared" si="87"/>
        <v>0</v>
      </c>
      <c r="S272" s="35">
        <v>0</v>
      </c>
      <c r="T272" s="35">
        <v>1</v>
      </c>
      <c r="U272" s="16">
        <f t="shared" si="84"/>
        <v>0</v>
      </c>
      <c r="V272" s="6">
        <f t="shared" si="84"/>
        <v>0</v>
      </c>
      <c r="W272" s="6">
        <f t="shared" si="88"/>
        <v>0</v>
      </c>
      <c r="X272" s="88">
        <f t="shared" si="81"/>
        <v>130</v>
      </c>
      <c r="Y272" s="122" t="e">
        <f t="shared" si="89"/>
        <v>#DIV/0!</v>
      </c>
      <c r="Z272" s="116">
        <f t="shared" si="90"/>
        <v>0</v>
      </c>
      <c r="AA272" s="156"/>
    </row>
    <row r="273" spans="1:27" ht="12.75">
      <c r="A273" s="162">
        <v>1370</v>
      </c>
      <c r="B273" s="14"/>
      <c r="C273" s="14"/>
      <c r="D273" s="14"/>
      <c r="E273" s="80" t="s">
        <v>406</v>
      </c>
      <c r="F273" s="118">
        <f>IF(AND($Q$16=A273,$P$32=E273),1,0)</f>
        <v>0</v>
      </c>
      <c r="G273" s="14">
        <v>1</v>
      </c>
      <c r="H273" s="118">
        <f>IF(AND($Q$16=A273,$P$32=E273),$Q$10,0)</f>
        <v>0</v>
      </c>
      <c r="I273" s="16">
        <v>25</v>
      </c>
      <c r="J273" s="16">
        <f t="shared" si="85"/>
        <v>0</v>
      </c>
      <c r="K273" s="16">
        <v>0</v>
      </c>
      <c r="L273" s="16">
        <f t="shared" si="86"/>
        <v>0</v>
      </c>
      <c r="M273" s="118" t="s">
        <v>1</v>
      </c>
      <c r="N273" s="9" t="s">
        <v>55</v>
      </c>
      <c r="O273" s="9"/>
      <c r="P273" s="1" t="s">
        <v>452</v>
      </c>
      <c r="Q273" s="167">
        <v>3.8799999999999994E-2</v>
      </c>
      <c r="R273" s="16">
        <f t="shared" si="87"/>
        <v>0</v>
      </c>
      <c r="S273" s="35">
        <v>0</v>
      </c>
      <c r="T273" s="35">
        <v>1</v>
      </c>
      <c r="U273" s="16">
        <f t="shared" si="84"/>
        <v>0</v>
      </c>
      <c r="V273" s="6">
        <f t="shared" si="84"/>
        <v>0</v>
      </c>
      <c r="W273" s="6">
        <f t="shared" si="88"/>
        <v>0</v>
      </c>
      <c r="X273" s="88">
        <f t="shared" si="81"/>
        <v>130</v>
      </c>
      <c r="Y273" s="122" t="e">
        <f t="shared" si="89"/>
        <v>#DIV/0!</v>
      </c>
      <c r="Z273" s="116">
        <f t="shared" si="90"/>
        <v>0</v>
      </c>
      <c r="AA273" s="156"/>
    </row>
    <row r="274" spans="1:27" ht="12.75">
      <c r="A274" s="162"/>
      <c r="B274" s="14"/>
      <c r="C274" s="14"/>
      <c r="D274" s="14"/>
      <c r="E274" s="80"/>
      <c r="F274" s="118"/>
      <c r="G274" s="14"/>
      <c r="H274" s="118"/>
      <c r="I274" s="16"/>
      <c r="J274" s="16"/>
      <c r="K274" s="16"/>
      <c r="L274" s="16"/>
      <c r="M274" s="118"/>
      <c r="N274" s="9"/>
      <c r="O274" s="9"/>
      <c r="P274" s="1"/>
      <c r="Q274" s="167"/>
      <c r="R274" s="16"/>
      <c r="S274" s="35"/>
      <c r="T274" s="35"/>
      <c r="U274" s="16"/>
      <c r="V274" s="6"/>
      <c r="W274" s="6"/>
      <c r="X274" s="192"/>
      <c r="Y274" s="122"/>
      <c r="Z274" s="116"/>
      <c r="AA274" s="156"/>
    </row>
    <row r="275" spans="1:27" ht="12.75">
      <c r="A275" s="1"/>
      <c r="B275" s="14"/>
      <c r="C275" s="14"/>
      <c r="D275" s="14"/>
      <c r="E275" s="14"/>
      <c r="F275" s="14"/>
      <c r="G275" s="14"/>
      <c r="H275" s="16"/>
      <c r="I275" s="16"/>
      <c r="J275" s="16"/>
      <c r="K275" s="16"/>
      <c r="L275" s="16"/>
      <c r="M275" s="118"/>
      <c r="N275" s="118"/>
      <c r="O275" s="118"/>
      <c r="P275" s="1"/>
      <c r="Q275" s="16"/>
      <c r="R275" s="16"/>
      <c r="S275" s="35"/>
      <c r="T275" s="35"/>
      <c r="U275" s="16"/>
      <c r="V275" s="6"/>
      <c r="W275" s="6"/>
      <c r="X275" s="160"/>
      <c r="Y275" s="122"/>
      <c r="Z275" s="116"/>
      <c r="AA275" s="156"/>
    </row>
    <row r="276" spans="1:27" ht="12.75">
      <c r="A276" s="144" t="s">
        <v>258</v>
      </c>
      <c r="B276" s="145"/>
      <c r="C276" s="145"/>
      <c r="D276" s="145"/>
      <c r="E276" s="145"/>
      <c r="F276" s="146"/>
      <c r="G276" s="147"/>
      <c r="H276" s="148"/>
      <c r="I276" s="148"/>
      <c r="J276" s="148"/>
      <c r="K276" s="148"/>
      <c r="L276" s="148"/>
      <c r="M276" s="149"/>
      <c r="N276" s="149"/>
      <c r="O276" s="149"/>
      <c r="P276" s="150"/>
      <c r="Q276" s="148"/>
      <c r="R276" s="148"/>
      <c r="S276" s="151"/>
      <c r="T276" s="151"/>
      <c r="U276" s="148"/>
      <c r="V276" s="152"/>
      <c r="W276" s="152"/>
      <c r="X276" s="153"/>
      <c r="Y276" s="154"/>
      <c r="Z276" s="155"/>
      <c r="AA276" s="156"/>
    </row>
    <row r="277" spans="1:27">
      <c r="A277" s="1"/>
      <c r="B277" s="1"/>
      <c r="C277" s="1"/>
      <c r="D277" s="1"/>
      <c r="E277" s="1"/>
      <c r="F277" s="1"/>
      <c r="G277" s="1"/>
      <c r="H277" s="16"/>
      <c r="I277" s="16"/>
      <c r="J277" s="16"/>
      <c r="K277" s="16"/>
      <c r="L277" s="16"/>
      <c r="M277" s="1"/>
      <c r="N277" s="1"/>
      <c r="O277" s="1"/>
      <c r="P277" s="1"/>
      <c r="Q277" s="16"/>
      <c r="R277" s="16"/>
      <c r="S277" s="3"/>
      <c r="T277" s="8"/>
      <c r="U277" s="6"/>
      <c r="V277" s="166"/>
      <c r="W277" s="6"/>
      <c r="X277" s="6"/>
      <c r="Y277" s="6"/>
      <c r="Z277" s="1"/>
    </row>
    <row r="278" spans="1:27" ht="12.75">
      <c r="A278" s="9">
        <v>100</v>
      </c>
      <c r="B278" s="14"/>
      <c r="C278" s="14"/>
      <c r="D278" s="14"/>
      <c r="E278" s="80" t="s">
        <v>402</v>
      </c>
      <c r="F278" s="118">
        <f>IF(AND($P$16=A278,$P$32=E278),1,0)</f>
        <v>0</v>
      </c>
      <c r="G278" s="14">
        <v>1</v>
      </c>
      <c r="H278" s="118">
        <f>IF(AND($P$16=A278,$P$32=E278),$P$69,0)</f>
        <v>0</v>
      </c>
      <c r="I278" s="16">
        <v>2</v>
      </c>
      <c r="J278" s="16">
        <f t="shared" ref="J278:J291" si="91">((H278*I278)*AND(G278=1)*AND(F278=1))</f>
        <v>0</v>
      </c>
      <c r="K278" s="16">
        <v>0</v>
      </c>
      <c r="L278" s="16">
        <f t="shared" ref="L278:L291" si="92">(J278*K278%)+J278</f>
        <v>0</v>
      </c>
      <c r="M278" s="118" t="s">
        <v>1</v>
      </c>
      <c r="N278" s="118" t="s">
        <v>289</v>
      </c>
      <c r="O278" s="1"/>
      <c r="P278" s="1" t="s">
        <v>452</v>
      </c>
      <c r="Q278" s="167">
        <v>3.8799999999999994E-2</v>
      </c>
      <c r="R278" s="16">
        <f t="shared" ref="R278:R291" si="93">(L278*Q278)</f>
        <v>0</v>
      </c>
      <c r="S278" s="35">
        <v>0</v>
      </c>
      <c r="T278" s="35">
        <v>1</v>
      </c>
      <c r="U278" s="16">
        <f t="shared" ref="U278:V283" si="94">(Q278*S278)</f>
        <v>0</v>
      </c>
      <c r="V278" s="6">
        <f t="shared" si="94"/>
        <v>0</v>
      </c>
      <c r="W278" s="6">
        <f t="shared" ref="W278:W291" si="95">SUM(U278:V278)</f>
        <v>0</v>
      </c>
      <c r="X278" s="88">
        <f t="shared" ref="X278:X291" si="96">($O$57)</f>
        <v>130</v>
      </c>
      <c r="Y278" s="122" t="e">
        <f t="shared" ref="Y278:Y291" si="97">100-((W278*100)/Z278)</f>
        <v>#DIV/0!</v>
      </c>
      <c r="Z278" s="116">
        <f t="shared" ref="Z278:Z291" si="98">(W278*X278%)+W278</f>
        <v>0</v>
      </c>
      <c r="AA278" s="156"/>
    </row>
    <row r="279" spans="1:27" ht="12.75">
      <c r="A279" s="9">
        <v>100</v>
      </c>
      <c r="B279" s="14"/>
      <c r="C279" s="14"/>
      <c r="D279" s="14"/>
      <c r="E279" s="80" t="s">
        <v>402</v>
      </c>
      <c r="F279" s="118">
        <f>IF(AND($Q$16=A279,$P$32=E279),1,0)</f>
        <v>0</v>
      </c>
      <c r="G279" s="14">
        <v>1</v>
      </c>
      <c r="H279" s="118">
        <f>IF(AND($Q$16=A279,$P$32=E279),$Q$10,0)</f>
        <v>0</v>
      </c>
      <c r="I279" s="16">
        <v>2</v>
      </c>
      <c r="J279" s="16">
        <f t="shared" si="91"/>
        <v>0</v>
      </c>
      <c r="K279" s="16">
        <v>0</v>
      </c>
      <c r="L279" s="16">
        <f t="shared" si="92"/>
        <v>0</v>
      </c>
      <c r="M279" s="118" t="s">
        <v>1</v>
      </c>
      <c r="N279" s="118" t="s">
        <v>22</v>
      </c>
      <c r="O279" s="1"/>
      <c r="P279" s="1" t="s">
        <v>452</v>
      </c>
      <c r="Q279" s="167">
        <v>3.8799999999999994E-2</v>
      </c>
      <c r="R279" s="16">
        <f t="shared" si="93"/>
        <v>0</v>
      </c>
      <c r="S279" s="35">
        <v>0</v>
      </c>
      <c r="T279" s="35">
        <v>1</v>
      </c>
      <c r="U279" s="16">
        <f t="shared" si="94"/>
        <v>0</v>
      </c>
      <c r="V279" s="6">
        <f t="shared" si="94"/>
        <v>0</v>
      </c>
      <c r="W279" s="6">
        <f t="shared" si="95"/>
        <v>0</v>
      </c>
      <c r="X279" s="88">
        <f t="shared" si="96"/>
        <v>130</v>
      </c>
      <c r="Y279" s="122" t="e">
        <f t="shared" si="97"/>
        <v>#DIV/0!</v>
      </c>
      <c r="Z279" s="116">
        <f t="shared" si="98"/>
        <v>0</v>
      </c>
      <c r="AA279" s="156"/>
    </row>
    <row r="280" spans="1:27" ht="12.75">
      <c r="A280" s="9">
        <v>150</v>
      </c>
      <c r="B280" s="14"/>
      <c r="C280" s="14"/>
      <c r="D280" s="14"/>
      <c r="E280" s="80" t="s">
        <v>402</v>
      </c>
      <c r="F280" s="118">
        <f>IF(AND($P$16=A280,$P$32=E280),1,0)</f>
        <v>0</v>
      </c>
      <c r="G280" s="14">
        <v>1</v>
      </c>
      <c r="H280" s="118">
        <f>IF(AND($P$16=A280,$P$32=E280),$P$69,0)</f>
        <v>0</v>
      </c>
      <c r="I280" s="16">
        <v>3</v>
      </c>
      <c r="J280" s="16">
        <f t="shared" si="91"/>
        <v>0</v>
      </c>
      <c r="K280" s="16">
        <v>0</v>
      </c>
      <c r="L280" s="16">
        <f t="shared" si="92"/>
        <v>0</v>
      </c>
      <c r="M280" s="118" t="s">
        <v>1</v>
      </c>
      <c r="N280" s="118" t="s">
        <v>289</v>
      </c>
      <c r="O280" s="1"/>
      <c r="P280" s="1" t="s">
        <v>452</v>
      </c>
      <c r="Q280" s="167">
        <v>3.8799999999999994E-2</v>
      </c>
      <c r="R280" s="16">
        <f t="shared" si="93"/>
        <v>0</v>
      </c>
      <c r="S280" s="35">
        <v>0</v>
      </c>
      <c r="T280" s="35">
        <v>1</v>
      </c>
      <c r="U280" s="16">
        <f t="shared" si="94"/>
        <v>0</v>
      </c>
      <c r="V280" s="6">
        <f t="shared" si="94"/>
        <v>0</v>
      </c>
      <c r="W280" s="6">
        <f t="shared" si="95"/>
        <v>0</v>
      </c>
      <c r="X280" s="88">
        <f t="shared" si="96"/>
        <v>130</v>
      </c>
      <c r="Y280" s="122" t="e">
        <f t="shared" si="97"/>
        <v>#DIV/0!</v>
      </c>
      <c r="Z280" s="116">
        <f t="shared" si="98"/>
        <v>0</v>
      </c>
      <c r="AA280" s="156"/>
    </row>
    <row r="281" spans="1:27" ht="12.75">
      <c r="A281" s="9">
        <v>150</v>
      </c>
      <c r="B281" s="14"/>
      <c r="C281" s="14"/>
      <c r="D281" s="14"/>
      <c r="E281" s="80" t="s">
        <v>402</v>
      </c>
      <c r="F281" s="118">
        <f>IF(AND($Q$16=A281,$P$32=E281),1,0)</f>
        <v>0</v>
      </c>
      <c r="G281" s="14">
        <v>1</v>
      </c>
      <c r="H281" s="118">
        <f>IF(AND($Q$16=A281,$P$32=E281),$Q$10,0)</f>
        <v>0</v>
      </c>
      <c r="I281" s="16">
        <v>3</v>
      </c>
      <c r="J281" s="16">
        <f t="shared" si="91"/>
        <v>0</v>
      </c>
      <c r="K281" s="16">
        <v>0</v>
      </c>
      <c r="L281" s="16">
        <f t="shared" si="92"/>
        <v>0</v>
      </c>
      <c r="M281" s="118" t="s">
        <v>1</v>
      </c>
      <c r="N281" s="118" t="s">
        <v>22</v>
      </c>
      <c r="O281" s="1"/>
      <c r="P281" s="1" t="s">
        <v>452</v>
      </c>
      <c r="Q281" s="167">
        <v>3.8799999999999994E-2</v>
      </c>
      <c r="R281" s="16">
        <f t="shared" si="93"/>
        <v>0</v>
      </c>
      <c r="S281" s="35">
        <v>0</v>
      </c>
      <c r="T281" s="35">
        <v>1</v>
      </c>
      <c r="U281" s="16">
        <f t="shared" si="94"/>
        <v>0</v>
      </c>
      <c r="V281" s="6">
        <f t="shared" si="94"/>
        <v>0</v>
      </c>
      <c r="W281" s="6">
        <f t="shared" si="95"/>
        <v>0</v>
      </c>
      <c r="X281" s="88">
        <f t="shared" si="96"/>
        <v>130</v>
      </c>
      <c r="Y281" s="122" t="e">
        <f t="shared" si="97"/>
        <v>#DIV/0!</v>
      </c>
      <c r="Z281" s="116">
        <f t="shared" si="98"/>
        <v>0</v>
      </c>
      <c r="AA281" s="156"/>
    </row>
    <row r="282" spans="1:27" ht="12.75">
      <c r="A282" s="9">
        <v>200</v>
      </c>
      <c r="B282" s="14"/>
      <c r="C282" s="14"/>
      <c r="D282" s="14"/>
      <c r="E282" s="80" t="s">
        <v>402</v>
      </c>
      <c r="F282" s="118">
        <f>IF(AND($P$16=A282,$P$32=E282),1,0)</f>
        <v>0</v>
      </c>
      <c r="G282" s="14">
        <v>1</v>
      </c>
      <c r="H282" s="118">
        <f>IF(AND($P$16=A282,$P$32=E282),$P$69,0)</f>
        <v>0</v>
      </c>
      <c r="I282" s="16">
        <v>4</v>
      </c>
      <c r="J282" s="16">
        <f t="shared" si="91"/>
        <v>0</v>
      </c>
      <c r="K282" s="16">
        <v>0</v>
      </c>
      <c r="L282" s="16">
        <f t="shared" si="92"/>
        <v>0</v>
      </c>
      <c r="M282" s="118" t="s">
        <v>1</v>
      </c>
      <c r="N282" s="118" t="s">
        <v>289</v>
      </c>
      <c r="O282" s="1"/>
      <c r="P282" s="1" t="s">
        <v>452</v>
      </c>
      <c r="Q282" s="167">
        <v>3.8799999999999994E-2</v>
      </c>
      <c r="R282" s="16">
        <f t="shared" si="93"/>
        <v>0</v>
      </c>
      <c r="S282" s="35">
        <v>0</v>
      </c>
      <c r="T282" s="35">
        <v>1</v>
      </c>
      <c r="U282" s="16">
        <f t="shared" si="94"/>
        <v>0</v>
      </c>
      <c r="V282" s="6">
        <f t="shared" si="94"/>
        <v>0</v>
      </c>
      <c r="W282" s="6">
        <f t="shared" si="95"/>
        <v>0</v>
      </c>
      <c r="X282" s="88">
        <f t="shared" si="96"/>
        <v>130</v>
      </c>
      <c r="Y282" s="122" t="e">
        <f t="shared" si="97"/>
        <v>#DIV/0!</v>
      </c>
      <c r="Z282" s="116">
        <f t="shared" si="98"/>
        <v>0</v>
      </c>
      <c r="AA282" s="156"/>
    </row>
    <row r="283" spans="1:27" ht="12.75">
      <c r="A283" s="9">
        <v>200</v>
      </c>
      <c r="B283" s="14"/>
      <c r="C283" s="14"/>
      <c r="D283" s="14"/>
      <c r="E283" s="80" t="s">
        <v>402</v>
      </c>
      <c r="F283" s="118">
        <f>IF(AND($Q$16=A283,$P$32=E283),1,0)</f>
        <v>1</v>
      </c>
      <c r="G283" s="14">
        <v>1</v>
      </c>
      <c r="H283" s="118">
        <f>IF(AND($Q$16=A283,$P$32=E283),$Q$10,0)</f>
        <v>0</v>
      </c>
      <c r="I283" s="16">
        <v>4</v>
      </c>
      <c r="J283" s="16">
        <f t="shared" si="91"/>
        <v>0</v>
      </c>
      <c r="K283" s="16">
        <v>0</v>
      </c>
      <c r="L283" s="16">
        <f t="shared" si="92"/>
        <v>0</v>
      </c>
      <c r="M283" s="118" t="s">
        <v>1</v>
      </c>
      <c r="N283" s="118" t="s">
        <v>22</v>
      </c>
      <c r="O283" s="1"/>
      <c r="P283" s="1" t="s">
        <v>452</v>
      </c>
      <c r="Q283" s="167">
        <v>3.8799999999999994E-2</v>
      </c>
      <c r="R283" s="16">
        <f t="shared" si="93"/>
        <v>0</v>
      </c>
      <c r="S283" s="35">
        <v>0</v>
      </c>
      <c r="T283" s="35">
        <v>1</v>
      </c>
      <c r="U283" s="16">
        <f t="shared" si="94"/>
        <v>0</v>
      </c>
      <c r="V283" s="6">
        <f t="shared" si="94"/>
        <v>0</v>
      </c>
      <c r="W283" s="6">
        <f t="shared" si="95"/>
        <v>0</v>
      </c>
      <c r="X283" s="88">
        <f t="shared" si="96"/>
        <v>130</v>
      </c>
      <c r="Y283" s="122" t="e">
        <f t="shared" si="97"/>
        <v>#DIV/0!</v>
      </c>
      <c r="Z283" s="116">
        <f t="shared" si="98"/>
        <v>0</v>
      </c>
      <c r="AA283" s="156"/>
    </row>
    <row r="284" spans="1:27" ht="12.75">
      <c r="A284" s="9">
        <v>300</v>
      </c>
      <c r="B284" s="14"/>
      <c r="C284" s="14"/>
      <c r="D284" s="14"/>
      <c r="E284" s="80" t="s">
        <v>402</v>
      </c>
      <c r="F284" s="118">
        <f>IF(AND($P$16=A284,$P$32=E284),1,0)</f>
        <v>1</v>
      </c>
      <c r="G284" s="14">
        <v>1</v>
      </c>
      <c r="H284" s="118">
        <f>IF(AND($P$16=A284,$P$32=E284),$P$69,0)</f>
        <v>19</v>
      </c>
      <c r="I284" s="16">
        <v>5</v>
      </c>
      <c r="J284" s="16">
        <f t="shared" si="91"/>
        <v>95</v>
      </c>
      <c r="K284" s="16">
        <v>0</v>
      </c>
      <c r="L284" s="16">
        <f t="shared" si="92"/>
        <v>95</v>
      </c>
      <c r="M284" s="118" t="s">
        <v>1</v>
      </c>
      <c r="N284" s="118" t="s">
        <v>289</v>
      </c>
      <c r="O284" s="1"/>
      <c r="P284" s="1" t="s">
        <v>452</v>
      </c>
      <c r="Q284" s="167">
        <v>3.8799999999999994E-2</v>
      </c>
      <c r="R284" s="16">
        <f t="shared" si="93"/>
        <v>3.6859999999999995</v>
      </c>
      <c r="S284" s="35">
        <v>0</v>
      </c>
      <c r="T284" s="35">
        <v>1</v>
      </c>
      <c r="U284" s="16">
        <f t="shared" ref="U284:U291" si="99">(Q284*S284)</f>
        <v>0</v>
      </c>
      <c r="V284" s="6">
        <f t="shared" ref="V284:V291" si="100">(R284*T284)</f>
        <v>3.6859999999999995</v>
      </c>
      <c r="W284" s="6">
        <f t="shared" si="95"/>
        <v>3.6859999999999995</v>
      </c>
      <c r="X284" s="88">
        <f t="shared" si="96"/>
        <v>130</v>
      </c>
      <c r="Y284" s="122">
        <f t="shared" si="97"/>
        <v>56.521739130434781</v>
      </c>
      <c r="Z284" s="116">
        <f t="shared" si="98"/>
        <v>8.4777999999999984</v>
      </c>
      <c r="AA284" s="156"/>
    </row>
    <row r="285" spans="1:27" ht="12.75">
      <c r="A285" s="9">
        <v>300</v>
      </c>
      <c r="B285" s="14"/>
      <c r="C285" s="14"/>
      <c r="D285" s="14"/>
      <c r="E285" s="80" t="s">
        <v>402</v>
      </c>
      <c r="F285" s="118">
        <f>IF(AND($Q$16=A285,$P$32=E285),1,0)</f>
        <v>0</v>
      </c>
      <c r="G285" s="14">
        <v>1</v>
      </c>
      <c r="H285" s="118">
        <f>IF(AND($Q$16=A285,$P$32=E285),$Q$10,0)</f>
        <v>0</v>
      </c>
      <c r="I285" s="16">
        <v>5</v>
      </c>
      <c r="J285" s="16">
        <f t="shared" si="91"/>
        <v>0</v>
      </c>
      <c r="K285" s="16">
        <v>0</v>
      </c>
      <c r="L285" s="16">
        <f t="shared" si="92"/>
        <v>0</v>
      </c>
      <c r="M285" s="118" t="s">
        <v>1</v>
      </c>
      <c r="N285" s="118" t="s">
        <v>22</v>
      </c>
      <c r="O285" s="1"/>
      <c r="P285" s="1" t="s">
        <v>452</v>
      </c>
      <c r="Q285" s="167">
        <v>3.8799999999999994E-2</v>
      </c>
      <c r="R285" s="16">
        <f t="shared" si="93"/>
        <v>0</v>
      </c>
      <c r="S285" s="35">
        <v>0</v>
      </c>
      <c r="T285" s="35">
        <v>1</v>
      </c>
      <c r="U285" s="16">
        <f t="shared" si="99"/>
        <v>0</v>
      </c>
      <c r="V285" s="6">
        <f t="shared" si="100"/>
        <v>0</v>
      </c>
      <c r="W285" s="6">
        <f t="shared" si="95"/>
        <v>0</v>
      </c>
      <c r="X285" s="88">
        <f t="shared" si="96"/>
        <v>130</v>
      </c>
      <c r="Y285" s="122" t="e">
        <f t="shared" si="97"/>
        <v>#DIV/0!</v>
      </c>
      <c r="Z285" s="116">
        <f t="shared" si="98"/>
        <v>0</v>
      </c>
      <c r="AA285" s="156"/>
    </row>
    <row r="286" spans="1:27" ht="12.75">
      <c r="A286" s="9">
        <v>400</v>
      </c>
      <c r="B286" s="14"/>
      <c r="C286" s="14"/>
      <c r="D286" s="14"/>
      <c r="E286" s="80" t="s">
        <v>402</v>
      </c>
      <c r="F286" s="118">
        <f>IF(AND($P$16=A286,$P$32=E286),1,0)</f>
        <v>0</v>
      </c>
      <c r="G286" s="14">
        <v>1</v>
      </c>
      <c r="H286" s="118">
        <f>IF(AND($P$16=A286,$P$32=E286),$P$69,0)</f>
        <v>0</v>
      </c>
      <c r="I286" s="16">
        <v>5</v>
      </c>
      <c r="J286" s="16">
        <f t="shared" si="91"/>
        <v>0</v>
      </c>
      <c r="K286" s="16">
        <v>0</v>
      </c>
      <c r="L286" s="16">
        <f t="shared" si="92"/>
        <v>0</v>
      </c>
      <c r="M286" s="118" t="s">
        <v>1</v>
      </c>
      <c r="N286" s="9" t="s">
        <v>161</v>
      </c>
      <c r="O286" s="9"/>
      <c r="P286" s="1" t="s">
        <v>452</v>
      </c>
      <c r="Q286" s="167">
        <v>3.8799999999999994E-2</v>
      </c>
      <c r="R286" s="16">
        <f t="shared" si="93"/>
        <v>0</v>
      </c>
      <c r="S286" s="35">
        <v>0</v>
      </c>
      <c r="T286" s="35">
        <v>1</v>
      </c>
      <c r="U286" s="16">
        <f t="shared" si="99"/>
        <v>0</v>
      </c>
      <c r="V286" s="6">
        <f t="shared" si="100"/>
        <v>0</v>
      </c>
      <c r="W286" s="6">
        <f t="shared" si="95"/>
        <v>0</v>
      </c>
      <c r="X286" s="88">
        <f t="shared" si="96"/>
        <v>130</v>
      </c>
      <c r="Y286" s="122" t="e">
        <f t="shared" si="97"/>
        <v>#DIV/0!</v>
      </c>
      <c r="Z286" s="116">
        <f t="shared" si="98"/>
        <v>0</v>
      </c>
      <c r="AA286" s="156"/>
    </row>
    <row r="287" spans="1:27" ht="12.75">
      <c r="A287" s="9">
        <v>400</v>
      </c>
      <c r="B287" s="14"/>
      <c r="C287" s="14"/>
      <c r="D287" s="14"/>
      <c r="E287" s="80" t="s">
        <v>402</v>
      </c>
      <c r="F287" s="118">
        <f>IF(AND($Q$16=A287,$P$32=E287),1,0)</f>
        <v>0</v>
      </c>
      <c r="G287" s="14">
        <v>1</v>
      </c>
      <c r="H287" s="118">
        <f>IF(AND($Q$16=A287,$P$32=E287),$Q$10,0)</f>
        <v>0</v>
      </c>
      <c r="I287" s="16">
        <v>5</v>
      </c>
      <c r="J287" s="16">
        <f t="shared" si="91"/>
        <v>0</v>
      </c>
      <c r="K287" s="16">
        <v>0</v>
      </c>
      <c r="L287" s="16">
        <f t="shared" si="92"/>
        <v>0</v>
      </c>
      <c r="M287" s="118" t="s">
        <v>1</v>
      </c>
      <c r="N287" s="9" t="s">
        <v>55</v>
      </c>
      <c r="O287" s="9"/>
      <c r="P287" s="1" t="s">
        <v>452</v>
      </c>
      <c r="Q287" s="167">
        <v>3.8799999999999994E-2</v>
      </c>
      <c r="R287" s="16">
        <f t="shared" si="93"/>
        <v>0</v>
      </c>
      <c r="S287" s="35">
        <v>0</v>
      </c>
      <c r="T287" s="35">
        <v>1</v>
      </c>
      <c r="U287" s="16">
        <f t="shared" si="99"/>
        <v>0</v>
      </c>
      <c r="V287" s="6">
        <f t="shared" si="100"/>
        <v>0</v>
      </c>
      <c r="W287" s="6">
        <f t="shared" si="95"/>
        <v>0</v>
      </c>
      <c r="X287" s="88">
        <f t="shared" si="96"/>
        <v>130</v>
      </c>
      <c r="Y287" s="122" t="e">
        <f t="shared" si="97"/>
        <v>#DIV/0!</v>
      </c>
      <c r="Z287" s="116">
        <f t="shared" si="98"/>
        <v>0</v>
      </c>
      <c r="AA287" s="156"/>
    </row>
    <row r="288" spans="1:27" ht="12.75">
      <c r="A288" s="162">
        <v>1200</v>
      </c>
      <c r="B288" s="14"/>
      <c r="C288" s="14"/>
      <c r="D288" s="14"/>
      <c r="E288" s="80" t="s">
        <v>402</v>
      </c>
      <c r="F288" s="118">
        <f>IF(AND($P$16=A288,$P$32=E288),1,0)</f>
        <v>0</v>
      </c>
      <c r="G288" s="14">
        <v>1</v>
      </c>
      <c r="H288" s="118">
        <f>IF(AND($P$16=A288,$P$32=E288),$P$69,0)</f>
        <v>0</v>
      </c>
      <c r="I288" s="16">
        <v>20</v>
      </c>
      <c r="J288" s="16">
        <f t="shared" si="91"/>
        <v>0</v>
      </c>
      <c r="K288" s="16">
        <v>0</v>
      </c>
      <c r="L288" s="16">
        <f t="shared" si="92"/>
        <v>0</v>
      </c>
      <c r="M288" s="118" t="s">
        <v>1</v>
      </c>
      <c r="N288" s="9" t="s">
        <v>161</v>
      </c>
      <c r="O288" s="9"/>
      <c r="P288" s="1" t="s">
        <v>452</v>
      </c>
      <c r="Q288" s="167">
        <v>3.8799999999999994E-2</v>
      </c>
      <c r="R288" s="16">
        <f t="shared" si="93"/>
        <v>0</v>
      </c>
      <c r="S288" s="35">
        <v>0</v>
      </c>
      <c r="T288" s="35">
        <v>1</v>
      </c>
      <c r="U288" s="16">
        <f t="shared" si="99"/>
        <v>0</v>
      </c>
      <c r="V288" s="6">
        <f t="shared" si="100"/>
        <v>0</v>
      </c>
      <c r="W288" s="6">
        <f t="shared" si="95"/>
        <v>0</v>
      </c>
      <c r="X288" s="88">
        <f t="shared" si="96"/>
        <v>130</v>
      </c>
      <c r="Y288" s="122" t="e">
        <f t="shared" si="97"/>
        <v>#DIV/0!</v>
      </c>
      <c r="Z288" s="116">
        <f t="shared" si="98"/>
        <v>0</v>
      </c>
      <c r="AA288" s="156"/>
    </row>
    <row r="289" spans="1:27" ht="12.75">
      <c r="A289" s="162">
        <v>1200</v>
      </c>
      <c r="B289" s="14"/>
      <c r="C289" s="14"/>
      <c r="D289" s="14"/>
      <c r="E289" s="80" t="s">
        <v>402</v>
      </c>
      <c r="F289" s="118">
        <f>IF(AND($Q$16=A289,$P$32=E289),1,0)</f>
        <v>0</v>
      </c>
      <c r="G289" s="14">
        <v>1</v>
      </c>
      <c r="H289" s="118">
        <f>IF(AND($Q$16=A289,$P$32=E289),$Q$10,0)</f>
        <v>0</v>
      </c>
      <c r="I289" s="16">
        <v>20</v>
      </c>
      <c r="J289" s="16">
        <f t="shared" si="91"/>
        <v>0</v>
      </c>
      <c r="K289" s="16">
        <v>0</v>
      </c>
      <c r="L289" s="16">
        <f t="shared" si="92"/>
        <v>0</v>
      </c>
      <c r="M289" s="118" t="s">
        <v>1</v>
      </c>
      <c r="N289" s="9" t="s">
        <v>55</v>
      </c>
      <c r="O289" s="9"/>
      <c r="P289" s="1" t="s">
        <v>452</v>
      </c>
      <c r="Q289" s="167">
        <v>3.8799999999999994E-2</v>
      </c>
      <c r="R289" s="16">
        <f t="shared" si="93"/>
        <v>0</v>
      </c>
      <c r="S289" s="35">
        <v>0</v>
      </c>
      <c r="T289" s="35">
        <v>1</v>
      </c>
      <c r="U289" s="16">
        <f t="shared" si="99"/>
        <v>0</v>
      </c>
      <c r="V289" s="6">
        <f t="shared" si="100"/>
        <v>0</v>
      </c>
      <c r="W289" s="6">
        <f t="shared" si="95"/>
        <v>0</v>
      </c>
      <c r="X289" s="88">
        <f t="shared" si="96"/>
        <v>130</v>
      </c>
      <c r="Y289" s="122" t="e">
        <f t="shared" si="97"/>
        <v>#DIV/0!</v>
      </c>
      <c r="Z289" s="116">
        <f t="shared" si="98"/>
        <v>0</v>
      </c>
      <c r="AA289" s="156"/>
    </row>
    <row r="290" spans="1:27" ht="12.75">
      <c r="A290" s="162">
        <v>1370</v>
      </c>
      <c r="B290" s="14"/>
      <c r="C290" s="14"/>
      <c r="D290" s="14"/>
      <c r="E290" s="80" t="s">
        <v>402</v>
      </c>
      <c r="F290" s="118">
        <f>IF(AND($P$16=A290,$P$32=E290),1,0)</f>
        <v>0</v>
      </c>
      <c r="G290" s="14">
        <v>1</v>
      </c>
      <c r="H290" s="118">
        <f>IF(AND($P$16=A290,$P$32=E290),$P$69,0)</f>
        <v>0</v>
      </c>
      <c r="I290" s="16">
        <v>25</v>
      </c>
      <c r="J290" s="16">
        <f t="shared" si="91"/>
        <v>0</v>
      </c>
      <c r="K290" s="16">
        <v>0</v>
      </c>
      <c r="L290" s="16">
        <f t="shared" si="92"/>
        <v>0</v>
      </c>
      <c r="M290" s="118" t="s">
        <v>1</v>
      </c>
      <c r="N290" s="9" t="s">
        <v>161</v>
      </c>
      <c r="O290" s="9"/>
      <c r="P290" s="1" t="s">
        <v>452</v>
      </c>
      <c r="Q290" s="167">
        <v>3.8799999999999994E-2</v>
      </c>
      <c r="R290" s="16">
        <f t="shared" si="93"/>
        <v>0</v>
      </c>
      <c r="S290" s="35">
        <v>0</v>
      </c>
      <c r="T290" s="35">
        <v>1</v>
      </c>
      <c r="U290" s="16">
        <f t="shared" si="99"/>
        <v>0</v>
      </c>
      <c r="V290" s="6">
        <f t="shared" si="100"/>
        <v>0</v>
      </c>
      <c r="W290" s="6">
        <f t="shared" si="95"/>
        <v>0</v>
      </c>
      <c r="X290" s="88">
        <f t="shared" si="96"/>
        <v>130</v>
      </c>
      <c r="Y290" s="122" t="e">
        <f t="shared" si="97"/>
        <v>#DIV/0!</v>
      </c>
      <c r="Z290" s="116">
        <f t="shared" si="98"/>
        <v>0</v>
      </c>
      <c r="AA290" s="156"/>
    </row>
    <row r="291" spans="1:27" ht="12.75">
      <c r="A291" s="162">
        <v>1370</v>
      </c>
      <c r="B291" s="14"/>
      <c r="C291" s="14"/>
      <c r="D291" s="14"/>
      <c r="E291" s="80" t="s">
        <v>402</v>
      </c>
      <c r="F291" s="118">
        <f>IF(AND($Q$16=A291,$P$32=E291),1,0)</f>
        <v>0</v>
      </c>
      <c r="G291" s="14">
        <v>1</v>
      </c>
      <c r="H291" s="118">
        <f>IF(AND($Q$16=A291,$P$32=E291),$Q$10,0)</f>
        <v>0</v>
      </c>
      <c r="I291" s="16">
        <v>25</v>
      </c>
      <c r="J291" s="16">
        <f t="shared" si="91"/>
        <v>0</v>
      </c>
      <c r="K291" s="16">
        <v>0</v>
      </c>
      <c r="L291" s="16">
        <f t="shared" si="92"/>
        <v>0</v>
      </c>
      <c r="M291" s="118" t="s">
        <v>1</v>
      </c>
      <c r="N291" s="9" t="s">
        <v>55</v>
      </c>
      <c r="O291" s="9"/>
      <c r="P291" s="1" t="s">
        <v>452</v>
      </c>
      <c r="Q291" s="167">
        <v>3.8799999999999994E-2</v>
      </c>
      <c r="R291" s="16">
        <f t="shared" si="93"/>
        <v>0</v>
      </c>
      <c r="S291" s="35">
        <v>0</v>
      </c>
      <c r="T291" s="35">
        <v>1</v>
      </c>
      <c r="U291" s="16">
        <f t="shared" si="99"/>
        <v>0</v>
      </c>
      <c r="V291" s="6">
        <f t="shared" si="100"/>
        <v>0</v>
      </c>
      <c r="W291" s="6">
        <f t="shared" si="95"/>
        <v>0</v>
      </c>
      <c r="X291" s="88">
        <f t="shared" si="96"/>
        <v>130</v>
      </c>
      <c r="Y291" s="122" t="e">
        <f t="shared" si="97"/>
        <v>#DIV/0!</v>
      </c>
      <c r="Z291" s="116">
        <f t="shared" si="98"/>
        <v>0</v>
      </c>
      <c r="AA291" s="156"/>
    </row>
    <row r="292" spans="1:27" ht="12.75">
      <c r="A292" s="9"/>
      <c r="B292" s="14"/>
      <c r="C292" s="14"/>
      <c r="D292" s="80"/>
      <c r="E292" s="80"/>
      <c r="F292" s="1"/>
      <c r="G292" s="3"/>
      <c r="H292" s="1"/>
      <c r="I292" s="16"/>
      <c r="J292" s="16"/>
      <c r="K292" s="16"/>
      <c r="L292" s="16"/>
      <c r="M292" s="118"/>
      <c r="N292" s="118"/>
      <c r="O292" s="1"/>
      <c r="P292" s="1"/>
      <c r="Q292" s="1"/>
      <c r="R292" s="16"/>
      <c r="S292" s="35"/>
      <c r="T292" s="35"/>
      <c r="U292" s="16"/>
      <c r="V292" s="6"/>
      <c r="W292" s="6"/>
      <c r="X292" s="88"/>
      <c r="Y292" s="122"/>
      <c r="Z292" s="116"/>
      <c r="AA292" s="156"/>
    </row>
    <row r="293" spans="1:27" ht="12.75">
      <c r="A293" s="144" t="s">
        <v>412</v>
      </c>
      <c r="B293" s="145"/>
      <c r="C293" s="145"/>
      <c r="D293" s="145"/>
      <c r="E293" s="145"/>
      <c r="F293" s="146"/>
      <c r="G293" s="147"/>
      <c r="H293" s="148"/>
      <c r="I293" s="148"/>
      <c r="J293" s="148"/>
      <c r="K293" s="148"/>
      <c r="L293" s="148"/>
      <c r="M293" s="149"/>
      <c r="N293" s="149"/>
      <c r="O293" s="149"/>
      <c r="P293" s="150"/>
      <c r="Q293" s="148"/>
      <c r="R293" s="148"/>
      <c r="S293" s="151"/>
      <c r="T293" s="151"/>
      <c r="U293" s="148"/>
      <c r="V293" s="152"/>
      <c r="W293" s="152"/>
      <c r="X293" s="153"/>
      <c r="Y293" s="154"/>
      <c r="Z293" s="155"/>
      <c r="AA293" s="156"/>
    </row>
    <row r="294" spans="1:27" ht="12.75">
      <c r="A294" s="9"/>
      <c r="B294" s="14"/>
      <c r="C294" s="14"/>
      <c r="D294" s="14"/>
      <c r="E294" s="80"/>
      <c r="F294" s="9"/>
      <c r="G294" s="14"/>
      <c r="H294" s="15"/>
      <c r="I294" s="16"/>
      <c r="J294" s="16"/>
      <c r="K294" s="16"/>
      <c r="L294" s="16"/>
      <c r="M294" s="118"/>
      <c r="N294" s="118"/>
      <c r="O294" s="1"/>
      <c r="P294" s="1"/>
      <c r="Q294" s="1"/>
      <c r="R294" s="16"/>
      <c r="S294" s="35"/>
      <c r="T294" s="35"/>
      <c r="U294" s="16"/>
      <c r="V294" s="6"/>
      <c r="W294" s="6"/>
      <c r="X294" s="160"/>
      <c r="Y294" s="122"/>
      <c r="Z294" s="116"/>
      <c r="AA294" s="156"/>
    </row>
    <row r="295" spans="1:27" ht="12.75">
      <c r="A295" s="9">
        <v>100</v>
      </c>
      <c r="B295" s="14"/>
      <c r="C295" s="14"/>
      <c r="D295" s="80" t="s">
        <v>401</v>
      </c>
      <c r="E295" s="80" t="s">
        <v>403</v>
      </c>
      <c r="F295" s="1">
        <f>IF(AND($P$16=A295,$P$32=E295,$P$34=D295),1,0)</f>
        <v>0</v>
      </c>
      <c r="G295" s="3">
        <v>1</v>
      </c>
      <c r="H295" s="1">
        <f>IF(AND($P$16=A295,$P$32=E295,$P$34=D295),$P$46,0)</f>
        <v>0</v>
      </c>
      <c r="I295" s="16">
        <v>2</v>
      </c>
      <c r="J295" s="16">
        <f t="shared" ref="J295:J308" si="101">((H295*I295)*AND(G295=1)*AND(F295=1))</f>
        <v>0</v>
      </c>
      <c r="K295" s="16">
        <v>0</v>
      </c>
      <c r="L295" s="16">
        <f t="shared" ref="L295:L308" si="102">(J295*K295%)+J295</f>
        <v>0</v>
      </c>
      <c r="M295" s="118" t="s">
        <v>28</v>
      </c>
      <c r="N295" s="118" t="s">
        <v>252</v>
      </c>
      <c r="O295" s="1"/>
      <c r="P295" s="1" t="s">
        <v>452</v>
      </c>
      <c r="Q295" s="167">
        <v>2.5000000000000001E-2</v>
      </c>
      <c r="R295" s="16">
        <f t="shared" ref="R295:R308" si="103">(L295*Q295)</f>
        <v>0</v>
      </c>
      <c r="S295" s="35">
        <v>0</v>
      </c>
      <c r="T295" s="35">
        <v>1</v>
      </c>
      <c r="U295" s="16">
        <f t="shared" ref="U295:V302" si="104">(Q295*S295)</f>
        <v>0</v>
      </c>
      <c r="V295" s="6">
        <f t="shared" si="104"/>
        <v>0</v>
      </c>
      <c r="W295" s="6">
        <f t="shared" ref="W295:W308" si="105">SUM(U295:V295)</f>
        <v>0</v>
      </c>
      <c r="X295" s="88">
        <f t="shared" ref="X295:X338" si="106">($O$57)</f>
        <v>130</v>
      </c>
      <c r="Y295" s="122" t="e">
        <f t="shared" ref="Y295:Y308" si="107">100-((W295*100)/Z295)</f>
        <v>#DIV/0!</v>
      </c>
      <c r="Z295" s="116">
        <f t="shared" ref="Z295:Z308" si="108">(W295*X295%)+W295</f>
        <v>0</v>
      </c>
      <c r="AA295" s="156"/>
    </row>
    <row r="296" spans="1:27" ht="12.75">
      <c r="A296" s="9">
        <v>100</v>
      </c>
      <c r="B296" s="14"/>
      <c r="C296" s="14"/>
      <c r="D296" s="80" t="s">
        <v>401</v>
      </c>
      <c r="E296" s="80" t="s">
        <v>403</v>
      </c>
      <c r="F296" s="1">
        <f>IF(AND($Q$16=A296,$P$32=E296,$P$34=D296),1,0)</f>
        <v>0</v>
      </c>
      <c r="G296" s="3">
        <v>1</v>
      </c>
      <c r="H296" s="1">
        <f>IF(AND($Q$16=A296,$P$32=E296,$P$34=D296),$Q$10,0)</f>
        <v>0</v>
      </c>
      <c r="I296" s="16">
        <v>2</v>
      </c>
      <c r="J296" s="16">
        <f t="shared" si="101"/>
        <v>0</v>
      </c>
      <c r="K296" s="16">
        <v>0</v>
      </c>
      <c r="L296" s="16">
        <f t="shared" si="102"/>
        <v>0</v>
      </c>
      <c r="M296" s="118" t="s">
        <v>28</v>
      </c>
      <c r="N296" s="118" t="s">
        <v>448</v>
      </c>
      <c r="O296" s="1"/>
      <c r="P296" s="1" t="s">
        <v>452</v>
      </c>
      <c r="Q296" s="167">
        <v>2.5000000000000001E-2</v>
      </c>
      <c r="R296" s="16">
        <f t="shared" si="103"/>
        <v>0</v>
      </c>
      <c r="S296" s="35">
        <v>0</v>
      </c>
      <c r="T296" s="35">
        <v>1</v>
      </c>
      <c r="U296" s="16">
        <f t="shared" si="104"/>
        <v>0</v>
      </c>
      <c r="V296" s="6">
        <f t="shared" si="104"/>
        <v>0</v>
      </c>
      <c r="W296" s="6">
        <f t="shared" si="105"/>
        <v>0</v>
      </c>
      <c r="X296" s="88">
        <f t="shared" si="106"/>
        <v>130</v>
      </c>
      <c r="Y296" s="122" t="e">
        <f t="shared" si="107"/>
        <v>#DIV/0!</v>
      </c>
      <c r="Z296" s="116">
        <f t="shared" si="108"/>
        <v>0</v>
      </c>
      <c r="AA296" s="156"/>
    </row>
    <row r="297" spans="1:27" ht="12.75">
      <c r="A297" s="9">
        <v>150</v>
      </c>
      <c r="B297" s="14"/>
      <c r="C297" s="14"/>
      <c r="D297" s="80" t="s">
        <v>401</v>
      </c>
      <c r="E297" s="80" t="s">
        <v>403</v>
      </c>
      <c r="F297" s="1">
        <f>IF(AND($P$16=A297,$P$32=E297,$P$34=D297),1,0)</f>
        <v>0</v>
      </c>
      <c r="G297" s="3">
        <v>1</v>
      </c>
      <c r="H297" s="1">
        <f>IF(AND($P$16=A297,$P$32=E297,$P$34=D297),$P$46,0)</f>
        <v>0</v>
      </c>
      <c r="I297" s="16">
        <v>3</v>
      </c>
      <c r="J297" s="16">
        <f t="shared" si="101"/>
        <v>0</v>
      </c>
      <c r="K297" s="16">
        <v>0</v>
      </c>
      <c r="L297" s="16">
        <f t="shared" si="102"/>
        <v>0</v>
      </c>
      <c r="M297" s="118" t="s">
        <v>28</v>
      </c>
      <c r="N297" s="118" t="s">
        <v>252</v>
      </c>
      <c r="O297" s="1"/>
      <c r="P297" s="1" t="s">
        <v>452</v>
      </c>
      <c r="Q297" s="167">
        <v>2.5000000000000001E-2</v>
      </c>
      <c r="R297" s="16">
        <f t="shared" si="103"/>
        <v>0</v>
      </c>
      <c r="S297" s="35">
        <v>0</v>
      </c>
      <c r="T297" s="35">
        <v>1</v>
      </c>
      <c r="U297" s="16">
        <f t="shared" si="104"/>
        <v>0</v>
      </c>
      <c r="V297" s="6">
        <f t="shared" si="104"/>
        <v>0</v>
      </c>
      <c r="W297" s="6">
        <f t="shared" si="105"/>
        <v>0</v>
      </c>
      <c r="X297" s="88">
        <f t="shared" si="106"/>
        <v>130</v>
      </c>
      <c r="Y297" s="122" t="e">
        <f t="shared" si="107"/>
        <v>#DIV/0!</v>
      </c>
      <c r="Z297" s="116">
        <f t="shared" si="108"/>
        <v>0</v>
      </c>
      <c r="AA297" s="156"/>
    </row>
    <row r="298" spans="1:27" ht="12.75">
      <c r="A298" s="9">
        <v>150</v>
      </c>
      <c r="B298" s="14"/>
      <c r="C298" s="14"/>
      <c r="D298" s="80" t="s">
        <v>401</v>
      </c>
      <c r="E298" s="80" t="s">
        <v>403</v>
      </c>
      <c r="F298" s="1">
        <f>IF(AND($Q$16=A298,$P$32=E298,$P$34=D298),1,0)</f>
        <v>0</v>
      </c>
      <c r="G298" s="3">
        <v>1</v>
      </c>
      <c r="H298" s="1">
        <f>IF(AND($Q$16=A298,$P$32=E298,$P$34=D298),$Q$10,0)</f>
        <v>0</v>
      </c>
      <c r="I298" s="16">
        <v>3</v>
      </c>
      <c r="J298" s="16">
        <f t="shared" si="101"/>
        <v>0</v>
      </c>
      <c r="K298" s="16">
        <v>0</v>
      </c>
      <c r="L298" s="16">
        <f t="shared" si="102"/>
        <v>0</v>
      </c>
      <c r="M298" s="118" t="s">
        <v>28</v>
      </c>
      <c r="N298" s="118" t="s">
        <v>448</v>
      </c>
      <c r="O298" s="1"/>
      <c r="P298" s="1" t="s">
        <v>452</v>
      </c>
      <c r="Q298" s="167">
        <v>2.5000000000000001E-2</v>
      </c>
      <c r="R298" s="16">
        <f t="shared" si="103"/>
        <v>0</v>
      </c>
      <c r="S298" s="35">
        <v>0</v>
      </c>
      <c r="T298" s="35">
        <v>1</v>
      </c>
      <c r="U298" s="16">
        <f t="shared" si="104"/>
        <v>0</v>
      </c>
      <c r="V298" s="6">
        <f t="shared" si="104"/>
        <v>0</v>
      </c>
      <c r="W298" s="6">
        <f t="shared" si="105"/>
        <v>0</v>
      </c>
      <c r="X298" s="88">
        <f t="shared" si="106"/>
        <v>130</v>
      </c>
      <c r="Y298" s="122" t="e">
        <f t="shared" si="107"/>
        <v>#DIV/0!</v>
      </c>
      <c r="Z298" s="116">
        <f t="shared" si="108"/>
        <v>0</v>
      </c>
      <c r="AA298" s="156"/>
    </row>
    <row r="299" spans="1:27" ht="12.75">
      <c r="A299" s="9">
        <v>200</v>
      </c>
      <c r="B299" s="14"/>
      <c r="C299" s="14"/>
      <c r="D299" s="80" t="s">
        <v>401</v>
      </c>
      <c r="E299" s="80" t="s">
        <v>403</v>
      </c>
      <c r="F299" s="1">
        <f>IF(AND($P$16=A299,$P$32=E299,$P$34=D299),1,0)</f>
        <v>0</v>
      </c>
      <c r="G299" s="3">
        <v>1</v>
      </c>
      <c r="H299" s="1">
        <f>IF(AND($P$16=A299,$P$32=E299,$P$34=D299),$P$46,0)</f>
        <v>0</v>
      </c>
      <c r="I299" s="16">
        <v>4</v>
      </c>
      <c r="J299" s="16">
        <f t="shared" si="101"/>
        <v>0</v>
      </c>
      <c r="K299" s="16">
        <v>0</v>
      </c>
      <c r="L299" s="16">
        <f t="shared" si="102"/>
        <v>0</v>
      </c>
      <c r="M299" s="118" t="s">
        <v>28</v>
      </c>
      <c r="N299" s="118" t="s">
        <v>252</v>
      </c>
      <c r="O299" s="1"/>
      <c r="P299" s="1" t="s">
        <v>452</v>
      </c>
      <c r="Q299" s="167">
        <v>2.5000000000000001E-2</v>
      </c>
      <c r="R299" s="16">
        <f t="shared" si="103"/>
        <v>0</v>
      </c>
      <c r="S299" s="35">
        <v>0</v>
      </c>
      <c r="T299" s="35">
        <v>1</v>
      </c>
      <c r="U299" s="16">
        <f t="shared" si="104"/>
        <v>0</v>
      </c>
      <c r="V299" s="6">
        <f t="shared" si="104"/>
        <v>0</v>
      </c>
      <c r="W299" s="6">
        <f t="shared" si="105"/>
        <v>0</v>
      </c>
      <c r="X299" s="88">
        <f t="shared" si="106"/>
        <v>130</v>
      </c>
      <c r="Y299" s="122" t="e">
        <f t="shared" si="107"/>
        <v>#DIV/0!</v>
      </c>
      <c r="Z299" s="116">
        <f t="shared" si="108"/>
        <v>0</v>
      </c>
      <c r="AA299" s="156"/>
    </row>
    <row r="300" spans="1:27" ht="12.75">
      <c r="A300" s="9">
        <v>200</v>
      </c>
      <c r="B300" s="14"/>
      <c r="C300" s="14"/>
      <c r="D300" s="80" t="s">
        <v>401</v>
      </c>
      <c r="E300" s="80" t="s">
        <v>403</v>
      </c>
      <c r="F300" s="1">
        <f>IF(AND($Q$16=A300,$P$32=E300,$P$34=D300),1,0)</f>
        <v>0</v>
      </c>
      <c r="G300" s="3">
        <v>1</v>
      </c>
      <c r="H300" s="1">
        <f>IF(AND($Q$16=A300,$P$32=E300,$P$34=D300),$Q$10,0)</f>
        <v>0</v>
      </c>
      <c r="I300" s="16">
        <v>4</v>
      </c>
      <c r="J300" s="16">
        <f t="shared" si="101"/>
        <v>0</v>
      </c>
      <c r="K300" s="16">
        <v>0</v>
      </c>
      <c r="L300" s="16">
        <f t="shared" si="102"/>
        <v>0</v>
      </c>
      <c r="M300" s="118" t="s">
        <v>28</v>
      </c>
      <c r="N300" s="118" t="s">
        <v>448</v>
      </c>
      <c r="O300" s="1"/>
      <c r="P300" s="1" t="s">
        <v>452</v>
      </c>
      <c r="Q300" s="167">
        <v>2.5000000000000001E-2</v>
      </c>
      <c r="R300" s="16">
        <f t="shared" si="103"/>
        <v>0</v>
      </c>
      <c r="S300" s="35">
        <v>0</v>
      </c>
      <c r="T300" s="35">
        <v>1</v>
      </c>
      <c r="U300" s="16">
        <f t="shared" si="104"/>
        <v>0</v>
      </c>
      <c r="V300" s="6">
        <f t="shared" si="104"/>
        <v>0</v>
      </c>
      <c r="W300" s="6">
        <f t="shared" si="105"/>
        <v>0</v>
      </c>
      <c r="X300" s="88">
        <f t="shared" si="106"/>
        <v>130</v>
      </c>
      <c r="Y300" s="122" t="e">
        <f t="shared" si="107"/>
        <v>#DIV/0!</v>
      </c>
      <c r="Z300" s="116">
        <f t="shared" si="108"/>
        <v>0</v>
      </c>
      <c r="AA300" s="156"/>
    </row>
    <row r="301" spans="1:27" ht="12.75">
      <c r="A301" s="9">
        <v>300</v>
      </c>
      <c r="B301" s="14"/>
      <c r="C301" s="14"/>
      <c r="D301" s="80" t="s">
        <v>401</v>
      </c>
      <c r="E301" s="80" t="s">
        <v>403</v>
      </c>
      <c r="F301" s="1">
        <f>IF(AND($P$16=A301,$P$32=E301,$P$34=D301),1,0)</f>
        <v>0</v>
      </c>
      <c r="G301" s="3">
        <v>1</v>
      </c>
      <c r="H301" s="1">
        <f>IF(AND($P$16=A301,$P$32=E301,$P$34=D301),$P$46,0)</f>
        <v>0</v>
      </c>
      <c r="I301" s="16">
        <v>5</v>
      </c>
      <c r="J301" s="16">
        <f t="shared" si="101"/>
        <v>0</v>
      </c>
      <c r="K301" s="16">
        <v>0</v>
      </c>
      <c r="L301" s="16">
        <f t="shared" si="102"/>
        <v>0</v>
      </c>
      <c r="M301" s="118" t="s">
        <v>28</v>
      </c>
      <c r="N301" s="118" t="s">
        <v>252</v>
      </c>
      <c r="O301" s="1"/>
      <c r="P301" s="1" t="s">
        <v>452</v>
      </c>
      <c r="Q301" s="167">
        <v>2.5000000000000001E-2</v>
      </c>
      <c r="R301" s="16">
        <f t="shared" si="103"/>
        <v>0</v>
      </c>
      <c r="S301" s="35">
        <v>0</v>
      </c>
      <c r="T301" s="35">
        <v>1</v>
      </c>
      <c r="U301" s="16">
        <f t="shared" si="104"/>
        <v>0</v>
      </c>
      <c r="V301" s="6">
        <f t="shared" si="104"/>
        <v>0</v>
      </c>
      <c r="W301" s="6">
        <f t="shared" si="105"/>
        <v>0</v>
      </c>
      <c r="X301" s="88">
        <f t="shared" si="106"/>
        <v>130</v>
      </c>
      <c r="Y301" s="122" t="e">
        <f t="shared" si="107"/>
        <v>#DIV/0!</v>
      </c>
      <c r="Z301" s="116">
        <f t="shared" si="108"/>
        <v>0</v>
      </c>
      <c r="AA301" s="156"/>
    </row>
    <row r="302" spans="1:27" ht="12.75">
      <c r="A302" s="9">
        <v>300</v>
      </c>
      <c r="B302" s="14"/>
      <c r="C302" s="14"/>
      <c r="D302" s="80" t="s">
        <v>401</v>
      </c>
      <c r="E302" s="80" t="s">
        <v>403</v>
      </c>
      <c r="F302" s="1">
        <f>IF(AND($Q$16=A302,$P$32=E302,$P$34=D302),1,0)</f>
        <v>0</v>
      </c>
      <c r="G302" s="3">
        <v>1</v>
      </c>
      <c r="H302" s="1">
        <f>IF(AND($Q$16=A302,$P$32=E302,$P$34=D302),$Q$10,0)</f>
        <v>0</v>
      </c>
      <c r="I302" s="16">
        <v>5</v>
      </c>
      <c r="J302" s="16">
        <f t="shared" si="101"/>
        <v>0</v>
      </c>
      <c r="K302" s="16">
        <v>0</v>
      </c>
      <c r="L302" s="16">
        <f t="shared" si="102"/>
        <v>0</v>
      </c>
      <c r="M302" s="118" t="s">
        <v>28</v>
      </c>
      <c r="N302" s="118" t="s">
        <v>448</v>
      </c>
      <c r="O302" s="1"/>
      <c r="P302" s="1" t="s">
        <v>452</v>
      </c>
      <c r="Q302" s="167">
        <v>2.5000000000000001E-2</v>
      </c>
      <c r="R302" s="16">
        <f t="shared" si="103"/>
        <v>0</v>
      </c>
      <c r="S302" s="35">
        <v>0</v>
      </c>
      <c r="T302" s="35">
        <v>1</v>
      </c>
      <c r="U302" s="16">
        <f t="shared" si="104"/>
        <v>0</v>
      </c>
      <c r="V302" s="6">
        <f t="shared" si="104"/>
        <v>0</v>
      </c>
      <c r="W302" s="6">
        <f t="shared" si="105"/>
        <v>0</v>
      </c>
      <c r="X302" s="88">
        <f t="shared" si="106"/>
        <v>130</v>
      </c>
      <c r="Y302" s="122" t="e">
        <f t="shared" si="107"/>
        <v>#DIV/0!</v>
      </c>
      <c r="Z302" s="116">
        <f t="shared" si="108"/>
        <v>0</v>
      </c>
      <c r="AA302" s="156"/>
    </row>
    <row r="303" spans="1:27" ht="12.75">
      <c r="A303" s="9">
        <v>400</v>
      </c>
      <c r="B303" s="14"/>
      <c r="C303" s="14"/>
      <c r="D303" s="80" t="s">
        <v>401</v>
      </c>
      <c r="E303" s="80" t="s">
        <v>403</v>
      </c>
      <c r="F303" s="1">
        <f>IF(AND($P$16=A303,$P$32=E303,$P$34=D303),1,0)</f>
        <v>0</v>
      </c>
      <c r="G303" s="3">
        <v>1</v>
      </c>
      <c r="H303" s="1">
        <f>IF(AND($P$16=A303,$P$32=E303,$P$34=D303),$P$46,0)</f>
        <v>0</v>
      </c>
      <c r="I303" s="16">
        <v>5</v>
      </c>
      <c r="J303" s="16">
        <f t="shared" si="101"/>
        <v>0</v>
      </c>
      <c r="K303" s="16">
        <v>0</v>
      </c>
      <c r="L303" s="16">
        <f t="shared" si="102"/>
        <v>0</v>
      </c>
      <c r="M303" s="118" t="s">
        <v>28</v>
      </c>
      <c r="N303" s="118" t="s">
        <v>252</v>
      </c>
      <c r="O303" s="1"/>
      <c r="P303" s="1" t="s">
        <v>452</v>
      </c>
      <c r="Q303" s="167">
        <v>2.5000000000000001E-2</v>
      </c>
      <c r="R303" s="16">
        <f t="shared" si="103"/>
        <v>0</v>
      </c>
      <c r="S303" s="35">
        <v>0</v>
      </c>
      <c r="T303" s="35">
        <v>1</v>
      </c>
      <c r="U303" s="16">
        <f t="shared" ref="U303:U308" si="109">(Q303*S303)</f>
        <v>0</v>
      </c>
      <c r="V303" s="6">
        <f t="shared" ref="V303:V308" si="110">(R303*T303)</f>
        <v>0</v>
      </c>
      <c r="W303" s="6">
        <f t="shared" si="105"/>
        <v>0</v>
      </c>
      <c r="X303" s="88">
        <f t="shared" si="106"/>
        <v>130</v>
      </c>
      <c r="Y303" s="122" t="e">
        <f t="shared" si="107"/>
        <v>#DIV/0!</v>
      </c>
      <c r="Z303" s="116">
        <f t="shared" si="108"/>
        <v>0</v>
      </c>
      <c r="AA303" s="156"/>
    </row>
    <row r="304" spans="1:27" ht="12.75">
      <c r="A304" s="9">
        <v>400</v>
      </c>
      <c r="B304" s="14"/>
      <c r="C304" s="14"/>
      <c r="D304" s="80" t="s">
        <v>401</v>
      </c>
      <c r="E304" s="80" t="s">
        <v>403</v>
      </c>
      <c r="F304" s="1">
        <f>IF(AND($Q$16=A304,$P$32=E304,$P$34=D304),1,0)</f>
        <v>0</v>
      </c>
      <c r="G304" s="3">
        <v>1</v>
      </c>
      <c r="H304" s="1">
        <f>IF(AND($Q$16=A304,$P$32=E304,$P$34=D304),$Q$10,0)</f>
        <v>0</v>
      </c>
      <c r="I304" s="16">
        <v>5</v>
      </c>
      <c r="J304" s="16">
        <f t="shared" si="101"/>
        <v>0</v>
      </c>
      <c r="K304" s="16">
        <v>0</v>
      </c>
      <c r="L304" s="16">
        <f t="shared" si="102"/>
        <v>0</v>
      </c>
      <c r="M304" s="118" t="s">
        <v>28</v>
      </c>
      <c r="N304" s="118" t="s">
        <v>448</v>
      </c>
      <c r="O304" s="1"/>
      <c r="P304" s="1" t="s">
        <v>452</v>
      </c>
      <c r="Q304" s="167">
        <v>2.5000000000000001E-2</v>
      </c>
      <c r="R304" s="16">
        <f t="shared" si="103"/>
        <v>0</v>
      </c>
      <c r="S304" s="35">
        <v>0</v>
      </c>
      <c r="T304" s="35">
        <v>1</v>
      </c>
      <c r="U304" s="16">
        <f t="shared" si="109"/>
        <v>0</v>
      </c>
      <c r="V304" s="6">
        <f t="shared" si="110"/>
        <v>0</v>
      </c>
      <c r="W304" s="6">
        <f t="shared" si="105"/>
        <v>0</v>
      </c>
      <c r="X304" s="88">
        <f t="shared" si="106"/>
        <v>130</v>
      </c>
      <c r="Y304" s="122" t="e">
        <f t="shared" si="107"/>
        <v>#DIV/0!</v>
      </c>
      <c r="Z304" s="116">
        <f t="shared" si="108"/>
        <v>0</v>
      </c>
      <c r="AA304" s="156"/>
    </row>
    <row r="305" spans="1:27" ht="12.75">
      <c r="A305" s="162">
        <v>1200</v>
      </c>
      <c r="B305" s="14"/>
      <c r="C305" s="14"/>
      <c r="D305" s="80" t="s">
        <v>401</v>
      </c>
      <c r="E305" s="80" t="s">
        <v>403</v>
      </c>
      <c r="F305" s="1">
        <f>IF(AND($P$16=A305,$P$32=E305,$P$34=D305),1,0)</f>
        <v>0</v>
      </c>
      <c r="G305" s="3">
        <v>1</v>
      </c>
      <c r="H305" s="1">
        <f>IF(AND($P$16=A305,$P$32=E305,$P$34=D305),$P$46,0)</f>
        <v>0</v>
      </c>
      <c r="I305" s="16">
        <v>20</v>
      </c>
      <c r="J305" s="16">
        <f t="shared" si="101"/>
        <v>0</v>
      </c>
      <c r="K305" s="16">
        <v>0</v>
      </c>
      <c r="L305" s="16">
        <f t="shared" si="102"/>
        <v>0</v>
      </c>
      <c r="M305" s="118" t="s">
        <v>28</v>
      </c>
      <c r="N305" s="118" t="s">
        <v>252</v>
      </c>
      <c r="O305" s="1"/>
      <c r="P305" s="1" t="s">
        <v>452</v>
      </c>
      <c r="Q305" s="167">
        <v>2.5000000000000001E-2</v>
      </c>
      <c r="R305" s="16">
        <f t="shared" si="103"/>
        <v>0</v>
      </c>
      <c r="S305" s="35">
        <v>0</v>
      </c>
      <c r="T305" s="35">
        <v>1</v>
      </c>
      <c r="U305" s="16">
        <f t="shared" si="109"/>
        <v>0</v>
      </c>
      <c r="V305" s="6">
        <f t="shared" si="110"/>
        <v>0</v>
      </c>
      <c r="W305" s="6">
        <f t="shared" si="105"/>
        <v>0</v>
      </c>
      <c r="X305" s="88">
        <f t="shared" si="106"/>
        <v>130</v>
      </c>
      <c r="Y305" s="122" t="e">
        <f t="shared" si="107"/>
        <v>#DIV/0!</v>
      </c>
      <c r="Z305" s="116">
        <f t="shared" si="108"/>
        <v>0</v>
      </c>
      <c r="AA305" s="156"/>
    </row>
    <row r="306" spans="1:27" ht="12.75">
      <c r="A306" s="162">
        <v>1200</v>
      </c>
      <c r="B306" s="14"/>
      <c r="C306" s="14"/>
      <c r="D306" s="80" t="s">
        <v>401</v>
      </c>
      <c r="E306" s="80" t="s">
        <v>403</v>
      </c>
      <c r="F306" s="1">
        <f>IF(AND($Q$16=A306,$P$32=E306,$P$34=D306),1,0)</f>
        <v>0</v>
      </c>
      <c r="G306" s="3">
        <v>1</v>
      </c>
      <c r="H306" s="1">
        <f>IF(AND($Q$16=A306,$P$32=E306,$P$34=D306),$Q$10,0)</f>
        <v>0</v>
      </c>
      <c r="I306" s="16">
        <v>20</v>
      </c>
      <c r="J306" s="16">
        <f t="shared" si="101"/>
        <v>0</v>
      </c>
      <c r="K306" s="16">
        <v>0</v>
      </c>
      <c r="L306" s="16">
        <f t="shared" si="102"/>
        <v>0</v>
      </c>
      <c r="M306" s="118" t="s">
        <v>28</v>
      </c>
      <c r="N306" s="118" t="s">
        <v>448</v>
      </c>
      <c r="O306" s="1"/>
      <c r="P306" s="1" t="s">
        <v>452</v>
      </c>
      <c r="Q306" s="167">
        <v>2.5000000000000001E-2</v>
      </c>
      <c r="R306" s="16">
        <f t="shared" si="103"/>
        <v>0</v>
      </c>
      <c r="S306" s="35">
        <v>0</v>
      </c>
      <c r="T306" s="35">
        <v>1</v>
      </c>
      <c r="U306" s="16">
        <f t="shared" si="109"/>
        <v>0</v>
      </c>
      <c r="V306" s="6">
        <f t="shared" si="110"/>
        <v>0</v>
      </c>
      <c r="W306" s="6">
        <f t="shared" si="105"/>
        <v>0</v>
      </c>
      <c r="X306" s="88">
        <f t="shared" si="106"/>
        <v>130</v>
      </c>
      <c r="Y306" s="122" t="e">
        <f t="shared" si="107"/>
        <v>#DIV/0!</v>
      </c>
      <c r="Z306" s="116">
        <f t="shared" si="108"/>
        <v>0</v>
      </c>
      <c r="AA306" s="156"/>
    </row>
    <row r="307" spans="1:27" ht="12.75">
      <c r="A307" s="162">
        <v>1370</v>
      </c>
      <c r="B307" s="14"/>
      <c r="C307" s="14"/>
      <c r="D307" s="80" t="s">
        <v>401</v>
      </c>
      <c r="E307" s="80" t="s">
        <v>403</v>
      </c>
      <c r="F307" s="1">
        <f>IF(AND($P$16=A307,$P$32=E307,$P$34=D307),1,0)</f>
        <v>0</v>
      </c>
      <c r="G307" s="3">
        <v>1</v>
      </c>
      <c r="H307" s="1">
        <f>IF(AND($P$16=A307,$P$32=E307,$P$34=D307),$P$46,0)</f>
        <v>0</v>
      </c>
      <c r="I307" s="16">
        <v>25</v>
      </c>
      <c r="J307" s="16">
        <f t="shared" si="101"/>
        <v>0</v>
      </c>
      <c r="K307" s="16">
        <v>0</v>
      </c>
      <c r="L307" s="16">
        <f t="shared" si="102"/>
        <v>0</v>
      </c>
      <c r="M307" s="118" t="s">
        <v>28</v>
      </c>
      <c r="N307" s="118" t="s">
        <v>252</v>
      </c>
      <c r="O307" s="1"/>
      <c r="P307" s="1" t="s">
        <v>452</v>
      </c>
      <c r="Q307" s="167">
        <v>2.5000000000000001E-2</v>
      </c>
      <c r="R307" s="16">
        <f t="shared" si="103"/>
        <v>0</v>
      </c>
      <c r="S307" s="35">
        <v>0</v>
      </c>
      <c r="T307" s="35">
        <v>1</v>
      </c>
      <c r="U307" s="16">
        <f t="shared" si="109"/>
        <v>0</v>
      </c>
      <c r="V307" s="6">
        <f t="shared" si="110"/>
        <v>0</v>
      </c>
      <c r="W307" s="6">
        <f t="shared" si="105"/>
        <v>0</v>
      </c>
      <c r="X307" s="88">
        <f t="shared" si="106"/>
        <v>130</v>
      </c>
      <c r="Y307" s="122" t="e">
        <f t="shared" si="107"/>
        <v>#DIV/0!</v>
      </c>
      <c r="Z307" s="116">
        <f t="shared" si="108"/>
        <v>0</v>
      </c>
      <c r="AA307" s="156"/>
    </row>
    <row r="308" spans="1:27" ht="12.75">
      <c r="A308" s="162">
        <v>1370</v>
      </c>
      <c r="B308" s="14"/>
      <c r="C308" s="14"/>
      <c r="D308" s="80" t="s">
        <v>401</v>
      </c>
      <c r="E308" s="80" t="s">
        <v>403</v>
      </c>
      <c r="F308" s="1">
        <f>IF(AND($Q$16=A308,$P$32=E308,$P$34=D308),1,0)</f>
        <v>0</v>
      </c>
      <c r="G308" s="3">
        <v>1</v>
      </c>
      <c r="H308" s="1">
        <f>IF(AND($Q$16=A308,$P$32=E308,$P$34=D308),$Q$10,0)</f>
        <v>0</v>
      </c>
      <c r="I308" s="16">
        <v>25</v>
      </c>
      <c r="J308" s="16">
        <f t="shared" si="101"/>
        <v>0</v>
      </c>
      <c r="K308" s="16">
        <v>0</v>
      </c>
      <c r="L308" s="16">
        <f t="shared" si="102"/>
        <v>0</v>
      </c>
      <c r="M308" s="118" t="s">
        <v>28</v>
      </c>
      <c r="N308" s="118" t="s">
        <v>448</v>
      </c>
      <c r="O308" s="1"/>
      <c r="P308" s="1" t="s">
        <v>452</v>
      </c>
      <c r="Q308" s="167">
        <v>2.5000000000000001E-2</v>
      </c>
      <c r="R308" s="16">
        <f t="shared" si="103"/>
        <v>0</v>
      </c>
      <c r="S308" s="35">
        <v>0</v>
      </c>
      <c r="T308" s="35">
        <v>1</v>
      </c>
      <c r="U308" s="16">
        <f t="shared" si="109"/>
        <v>0</v>
      </c>
      <c r="V308" s="6">
        <f t="shared" si="110"/>
        <v>0</v>
      </c>
      <c r="W308" s="6">
        <f t="shared" si="105"/>
        <v>0</v>
      </c>
      <c r="X308" s="88">
        <f t="shared" si="106"/>
        <v>130</v>
      </c>
      <c r="Y308" s="122" t="e">
        <f t="shared" si="107"/>
        <v>#DIV/0!</v>
      </c>
      <c r="Z308" s="116">
        <f t="shared" si="108"/>
        <v>0</v>
      </c>
      <c r="AA308" s="156"/>
    </row>
    <row r="309" spans="1:27" ht="12.75">
      <c r="A309" s="9"/>
      <c r="B309" s="14"/>
      <c r="C309" s="14"/>
      <c r="D309" s="14"/>
      <c r="E309" s="80"/>
      <c r="F309" s="9"/>
      <c r="G309" s="14"/>
      <c r="H309" s="16"/>
      <c r="I309" s="16"/>
      <c r="J309" s="16"/>
      <c r="K309" s="16"/>
      <c r="L309" s="16"/>
      <c r="M309" s="118"/>
      <c r="N309" s="118"/>
      <c r="O309" s="1"/>
      <c r="P309" s="1"/>
      <c r="Q309" s="167"/>
      <c r="R309" s="16"/>
      <c r="S309" s="35"/>
      <c r="T309" s="35"/>
      <c r="U309" s="16"/>
      <c r="V309" s="6"/>
      <c r="W309" s="6"/>
      <c r="X309" s="160"/>
      <c r="Y309" s="122"/>
      <c r="Z309" s="116"/>
      <c r="AA309" s="156"/>
    </row>
    <row r="310" spans="1:27" ht="12.75">
      <c r="A310" s="9">
        <v>100</v>
      </c>
      <c r="B310" s="14"/>
      <c r="C310" s="14"/>
      <c r="D310" s="80" t="s">
        <v>401</v>
      </c>
      <c r="E310" s="80" t="s">
        <v>403</v>
      </c>
      <c r="F310" s="1">
        <f>IF(AND($P$16=A310,$P$32=E310,$P$34=D310),1,0)</f>
        <v>0</v>
      </c>
      <c r="G310" s="3">
        <v>1</v>
      </c>
      <c r="H310" s="1">
        <f>IF(AND($P$16=A310,$P$32=E310,$P$34=D310),$P$46,0)</f>
        <v>0</v>
      </c>
      <c r="I310" s="16">
        <v>2</v>
      </c>
      <c r="J310" s="16">
        <f t="shared" ref="J310:J323" si="111">((H310*I310)*AND(G310=1)*AND(F310=1))</f>
        <v>0</v>
      </c>
      <c r="K310" s="16">
        <v>0</v>
      </c>
      <c r="L310" s="16">
        <f t="shared" ref="L310:L323" si="112">(J310*K310%)+J310</f>
        <v>0</v>
      </c>
      <c r="M310" s="118" t="s">
        <v>425</v>
      </c>
      <c r="N310" s="118" t="s">
        <v>449</v>
      </c>
      <c r="O310" s="1"/>
      <c r="P310" s="1" t="s">
        <v>452</v>
      </c>
      <c r="Q310" s="167">
        <v>7.6799999999999993E-2</v>
      </c>
      <c r="R310" s="16">
        <f t="shared" ref="R310:R323" si="113">(L310*Q310)</f>
        <v>0</v>
      </c>
      <c r="S310" s="35">
        <v>0</v>
      </c>
      <c r="T310" s="35">
        <v>1</v>
      </c>
      <c r="U310" s="16">
        <f t="shared" ref="U310:V317" si="114">(Q310*S310)</f>
        <v>0</v>
      </c>
      <c r="V310" s="6">
        <f t="shared" si="114"/>
        <v>0</v>
      </c>
      <c r="W310" s="6">
        <f t="shared" ref="W310:W323" si="115">SUM(U310:V310)</f>
        <v>0</v>
      </c>
      <c r="X310" s="88">
        <f t="shared" si="106"/>
        <v>130</v>
      </c>
      <c r="Y310" s="122" t="e">
        <f t="shared" ref="Y310:Y323" si="116">100-((W310*100)/Z310)</f>
        <v>#DIV/0!</v>
      </c>
      <c r="Z310" s="116">
        <f t="shared" ref="Z310:Z323" si="117">(W310*X310%)+W310</f>
        <v>0</v>
      </c>
      <c r="AA310" s="156"/>
    </row>
    <row r="311" spans="1:27" ht="12.75">
      <c r="A311" s="9">
        <v>100</v>
      </c>
      <c r="B311" s="14"/>
      <c r="C311" s="14"/>
      <c r="D311" s="80" t="s">
        <v>401</v>
      </c>
      <c r="E311" s="80" t="s">
        <v>403</v>
      </c>
      <c r="F311" s="1">
        <f>IF(AND($Q$16=A311,$P$32=E311,$P$34=D311),1,0)</f>
        <v>0</v>
      </c>
      <c r="G311" s="3">
        <v>1</v>
      </c>
      <c r="H311" s="1">
        <f>IF(AND($Q$16=A311,$P$32=E311,$P$34=D311),$Q$10,0)</f>
        <v>0</v>
      </c>
      <c r="I311" s="16">
        <v>2</v>
      </c>
      <c r="J311" s="16">
        <f t="shared" si="111"/>
        <v>0</v>
      </c>
      <c r="K311" s="16">
        <v>0</v>
      </c>
      <c r="L311" s="16">
        <f t="shared" si="112"/>
        <v>0</v>
      </c>
      <c r="M311" s="118" t="s">
        <v>425</v>
      </c>
      <c r="N311" s="118" t="s">
        <v>450</v>
      </c>
      <c r="O311" s="1"/>
      <c r="P311" s="1" t="s">
        <v>452</v>
      </c>
      <c r="Q311" s="167">
        <v>7.6799999999999993E-2</v>
      </c>
      <c r="R311" s="16">
        <f t="shared" si="113"/>
        <v>0</v>
      </c>
      <c r="S311" s="35">
        <v>0</v>
      </c>
      <c r="T311" s="35">
        <v>1</v>
      </c>
      <c r="U311" s="16">
        <f t="shared" si="114"/>
        <v>0</v>
      </c>
      <c r="V311" s="6">
        <f t="shared" si="114"/>
        <v>0</v>
      </c>
      <c r="W311" s="6">
        <f t="shared" si="115"/>
        <v>0</v>
      </c>
      <c r="X311" s="88">
        <f t="shared" si="106"/>
        <v>130</v>
      </c>
      <c r="Y311" s="122" t="e">
        <f t="shared" si="116"/>
        <v>#DIV/0!</v>
      </c>
      <c r="Z311" s="116">
        <f t="shared" si="117"/>
        <v>0</v>
      </c>
      <c r="AA311" s="156"/>
    </row>
    <row r="312" spans="1:27" ht="12.75">
      <c r="A312" s="9">
        <v>150</v>
      </c>
      <c r="B312" s="14"/>
      <c r="C312" s="14"/>
      <c r="D312" s="80" t="s">
        <v>401</v>
      </c>
      <c r="E312" s="80" t="s">
        <v>403</v>
      </c>
      <c r="F312" s="1">
        <f>IF(AND($P$16=A312,$P$32=E312,$P$34=D312),1,0)</f>
        <v>0</v>
      </c>
      <c r="G312" s="3">
        <v>1</v>
      </c>
      <c r="H312" s="1">
        <f>IF(AND($P$16=A312,$P$32=E312,$P$34=D312),$P$46,0)</f>
        <v>0</v>
      </c>
      <c r="I312" s="16">
        <v>3</v>
      </c>
      <c r="J312" s="16">
        <f t="shared" si="111"/>
        <v>0</v>
      </c>
      <c r="K312" s="16">
        <v>0</v>
      </c>
      <c r="L312" s="16">
        <f t="shared" si="112"/>
        <v>0</v>
      </c>
      <c r="M312" s="118" t="s">
        <v>425</v>
      </c>
      <c r="N312" s="118" t="s">
        <v>449</v>
      </c>
      <c r="O312" s="1"/>
      <c r="P312" s="1" t="s">
        <v>452</v>
      </c>
      <c r="Q312" s="167">
        <v>7.6799999999999993E-2</v>
      </c>
      <c r="R312" s="16">
        <f t="shared" si="113"/>
        <v>0</v>
      </c>
      <c r="S312" s="35">
        <v>0</v>
      </c>
      <c r="T312" s="35">
        <v>1</v>
      </c>
      <c r="U312" s="16">
        <f t="shared" si="114"/>
        <v>0</v>
      </c>
      <c r="V312" s="6">
        <f t="shared" si="114"/>
        <v>0</v>
      </c>
      <c r="W312" s="6">
        <f t="shared" si="115"/>
        <v>0</v>
      </c>
      <c r="X312" s="88">
        <f t="shared" si="106"/>
        <v>130</v>
      </c>
      <c r="Y312" s="122" t="e">
        <f t="shared" si="116"/>
        <v>#DIV/0!</v>
      </c>
      <c r="Z312" s="116">
        <f t="shared" si="117"/>
        <v>0</v>
      </c>
      <c r="AA312" s="156"/>
    </row>
    <row r="313" spans="1:27" ht="12.75">
      <c r="A313" s="9">
        <v>150</v>
      </c>
      <c r="B313" s="14"/>
      <c r="C313" s="14"/>
      <c r="D313" s="80" t="s">
        <v>401</v>
      </c>
      <c r="E313" s="80" t="s">
        <v>403</v>
      </c>
      <c r="F313" s="1">
        <f>IF(AND($Q$16=A313,$P$32=E313,$P$34=D313),1,0)</f>
        <v>0</v>
      </c>
      <c r="G313" s="3">
        <v>1</v>
      </c>
      <c r="H313" s="1">
        <f>IF(AND($Q$16=A313,$P$32=E313,$P$34=D313),$Q$10,0)</f>
        <v>0</v>
      </c>
      <c r="I313" s="16">
        <v>3</v>
      </c>
      <c r="J313" s="16">
        <f t="shared" si="111"/>
        <v>0</v>
      </c>
      <c r="K313" s="16">
        <v>0</v>
      </c>
      <c r="L313" s="16">
        <f t="shared" si="112"/>
        <v>0</v>
      </c>
      <c r="M313" s="118" t="s">
        <v>425</v>
      </c>
      <c r="N313" s="118" t="s">
        <v>450</v>
      </c>
      <c r="O313" s="1"/>
      <c r="P313" s="1" t="s">
        <v>452</v>
      </c>
      <c r="Q313" s="167">
        <v>7.6799999999999993E-2</v>
      </c>
      <c r="R313" s="16">
        <f t="shared" si="113"/>
        <v>0</v>
      </c>
      <c r="S313" s="35">
        <v>0</v>
      </c>
      <c r="T313" s="35">
        <v>1</v>
      </c>
      <c r="U313" s="16">
        <f t="shared" si="114"/>
        <v>0</v>
      </c>
      <c r="V313" s="6">
        <f t="shared" si="114"/>
        <v>0</v>
      </c>
      <c r="W313" s="6">
        <f t="shared" si="115"/>
        <v>0</v>
      </c>
      <c r="X313" s="88">
        <f t="shared" si="106"/>
        <v>130</v>
      </c>
      <c r="Y313" s="122" t="e">
        <f t="shared" si="116"/>
        <v>#DIV/0!</v>
      </c>
      <c r="Z313" s="116">
        <f t="shared" si="117"/>
        <v>0</v>
      </c>
      <c r="AA313" s="156"/>
    </row>
    <row r="314" spans="1:27" ht="12.75">
      <c r="A314" s="9">
        <v>200</v>
      </c>
      <c r="B314" s="14"/>
      <c r="C314" s="14"/>
      <c r="D314" s="80" t="s">
        <v>401</v>
      </c>
      <c r="E314" s="80" t="s">
        <v>403</v>
      </c>
      <c r="F314" s="1">
        <f>IF(AND($P$16=A314,$P$32=E314,$P$34=D314),1,0)</f>
        <v>0</v>
      </c>
      <c r="G314" s="3">
        <v>1</v>
      </c>
      <c r="H314" s="1">
        <f>IF(AND($P$16=A314,$P$32=E314,$P$34=D314),$P$46,0)</f>
        <v>0</v>
      </c>
      <c r="I314" s="16">
        <v>4</v>
      </c>
      <c r="J314" s="16">
        <f t="shared" si="111"/>
        <v>0</v>
      </c>
      <c r="K314" s="16">
        <v>0</v>
      </c>
      <c r="L314" s="16">
        <f t="shared" si="112"/>
        <v>0</v>
      </c>
      <c r="M314" s="118" t="s">
        <v>425</v>
      </c>
      <c r="N314" s="118" t="s">
        <v>449</v>
      </c>
      <c r="O314" s="1"/>
      <c r="P314" s="1" t="s">
        <v>452</v>
      </c>
      <c r="Q314" s="167">
        <v>7.6799999999999993E-2</v>
      </c>
      <c r="R314" s="16">
        <f t="shared" si="113"/>
        <v>0</v>
      </c>
      <c r="S314" s="35">
        <v>0</v>
      </c>
      <c r="T314" s="35">
        <v>1</v>
      </c>
      <c r="U314" s="16">
        <f t="shared" si="114"/>
        <v>0</v>
      </c>
      <c r="V314" s="6">
        <f t="shared" si="114"/>
        <v>0</v>
      </c>
      <c r="W314" s="6">
        <f t="shared" si="115"/>
        <v>0</v>
      </c>
      <c r="X314" s="88">
        <f t="shared" si="106"/>
        <v>130</v>
      </c>
      <c r="Y314" s="122" t="e">
        <f t="shared" si="116"/>
        <v>#DIV/0!</v>
      </c>
      <c r="Z314" s="116">
        <f t="shared" si="117"/>
        <v>0</v>
      </c>
      <c r="AA314" s="156"/>
    </row>
    <row r="315" spans="1:27" ht="12.75">
      <c r="A315" s="9">
        <v>200</v>
      </c>
      <c r="B315" s="14"/>
      <c r="C315" s="14"/>
      <c r="D315" s="80" t="s">
        <v>401</v>
      </c>
      <c r="E315" s="80" t="s">
        <v>403</v>
      </c>
      <c r="F315" s="1">
        <f>IF(AND($Q$16=A315,$P$32=E315,$P$34=D315),1,0)</f>
        <v>0</v>
      </c>
      <c r="G315" s="3">
        <v>1</v>
      </c>
      <c r="H315" s="1">
        <f>IF(AND($Q$16=A315,$P$32=E315,$P$34=D315),$Q$10,0)</f>
        <v>0</v>
      </c>
      <c r="I315" s="16">
        <v>4</v>
      </c>
      <c r="J315" s="16">
        <f t="shared" si="111"/>
        <v>0</v>
      </c>
      <c r="K315" s="16">
        <v>0</v>
      </c>
      <c r="L315" s="16">
        <f t="shared" si="112"/>
        <v>0</v>
      </c>
      <c r="M315" s="118" t="s">
        <v>425</v>
      </c>
      <c r="N315" s="118" t="s">
        <v>450</v>
      </c>
      <c r="O315" s="1"/>
      <c r="P315" s="1" t="s">
        <v>452</v>
      </c>
      <c r="Q315" s="167">
        <v>7.6799999999999993E-2</v>
      </c>
      <c r="R315" s="16">
        <f t="shared" si="113"/>
        <v>0</v>
      </c>
      <c r="S315" s="35">
        <v>0</v>
      </c>
      <c r="T315" s="35">
        <v>1</v>
      </c>
      <c r="U315" s="16">
        <f t="shared" si="114"/>
        <v>0</v>
      </c>
      <c r="V315" s="6">
        <f t="shared" si="114"/>
        <v>0</v>
      </c>
      <c r="W315" s="6">
        <f t="shared" si="115"/>
        <v>0</v>
      </c>
      <c r="X315" s="88">
        <f t="shared" si="106"/>
        <v>130</v>
      </c>
      <c r="Y315" s="122" t="e">
        <f t="shared" si="116"/>
        <v>#DIV/0!</v>
      </c>
      <c r="Z315" s="116">
        <f t="shared" si="117"/>
        <v>0</v>
      </c>
      <c r="AA315" s="156"/>
    </row>
    <row r="316" spans="1:27" ht="12.75">
      <c r="A316" s="9">
        <v>300</v>
      </c>
      <c r="B316" s="14"/>
      <c r="C316" s="14"/>
      <c r="D316" s="80" t="s">
        <v>401</v>
      </c>
      <c r="E316" s="80" t="s">
        <v>403</v>
      </c>
      <c r="F316" s="1">
        <f>IF(AND($P$16=A316,$P$32=E316,$P$34=D316),1,0)</f>
        <v>0</v>
      </c>
      <c r="G316" s="3">
        <v>1</v>
      </c>
      <c r="H316" s="1">
        <f>IF(AND($P$16=A316,$P$32=E316,$P$34=D316),$P$46,0)</f>
        <v>0</v>
      </c>
      <c r="I316" s="16">
        <v>5</v>
      </c>
      <c r="J316" s="16">
        <f t="shared" si="111"/>
        <v>0</v>
      </c>
      <c r="K316" s="16">
        <v>0</v>
      </c>
      <c r="L316" s="16">
        <f t="shared" si="112"/>
        <v>0</v>
      </c>
      <c r="M316" s="118" t="s">
        <v>425</v>
      </c>
      <c r="N316" s="118" t="s">
        <v>449</v>
      </c>
      <c r="O316" s="1"/>
      <c r="P316" s="1" t="s">
        <v>452</v>
      </c>
      <c r="Q316" s="167">
        <v>7.6799999999999993E-2</v>
      </c>
      <c r="R316" s="16">
        <f t="shared" si="113"/>
        <v>0</v>
      </c>
      <c r="S316" s="35">
        <v>0</v>
      </c>
      <c r="T316" s="35">
        <v>1</v>
      </c>
      <c r="U316" s="16">
        <f t="shared" si="114"/>
        <v>0</v>
      </c>
      <c r="V316" s="6">
        <f t="shared" si="114"/>
        <v>0</v>
      </c>
      <c r="W316" s="6">
        <f t="shared" si="115"/>
        <v>0</v>
      </c>
      <c r="X316" s="88">
        <f t="shared" si="106"/>
        <v>130</v>
      </c>
      <c r="Y316" s="122" t="e">
        <f t="shared" si="116"/>
        <v>#DIV/0!</v>
      </c>
      <c r="Z316" s="116">
        <f t="shared" si="117"/>
        <v>0</v>
      </c>
      <c r="AA316" s="156"/>
    </row>
    <row r="317" spans="1:27" ht="12.75">
      <c r="A317" s="9">
        <v>300</v>
      </c>
      <c r="B317" s="14"/>
      <c r="C317" s="14"/>
      <c r="D317" s="80" t="s">
        <v>401</v>
      </c>
      <c r="E317" s="80" t="s">
        <v>403</v>
      </c>
      <c r="F317" s="1">
        <f>IF(AND($Q$16=A317,$P$32=E317,$P$34=D317),1,0)</f>
        <v>0</v>
      </c>
      <c r="G317" s="3">
        <v>1</v>
      </c>
      <c r="H317" s="1">
        <f>IF(AND($Q$16=A317,$P$32=E317,$P$34=D317),$Q$10,0)</f>
        <v>0</v>
      </c>
      <c r="I317" s="16">
        <v>5</v>
      </c>
      <c r="J317" s="16">
        <f t="shared" si="111"/>
        <v>0</v>
      </c>
      <c r="K317" s="16">
        <v>0</v>
      </c>
      <c r="L317" s="16">
        <f t="shared" si="112"/>
        <v>0</v>
      </c>
      <c r="M317" s="118" t="s">
        <v>425</v>
      </c>
      <c r="N317" s="118" t="s">
        <v>450</v>
      </c>
      <c r="O317" s="1"/>
      <c r="P317" s="1" t="s">
        <v>452</v>
      </c>
      <c r="Q317" s="167">
        <v>7.6799999999999993E-2</v>
      </c>
      <c r="R317" s="16">
        <f t="shared" si="113"/>
        <v>0</v>
      </c>
      <c r="S317" s="35">
        <v>0</v>
      </c>
      <c r="T317" s="35">
        <v>1</v>
      </c>
      <c r="U317" s="16">
        <f t="shared" si="114"/>
        <v>0</v>
      </c>
      <c r="V317" s="6">
        <f t="shared" si="114"/>
        <v>0</v>
      </c>
      <c r="W317" s="6">
        <f t="shared" si="115"/>
        <v>0</v>
      </c>
      <c r="X317" s="88">
        <f t="shared" si="106"/>
        <v>130</v>
      </c>
      <c r="Y317" s="122" t="e">
        <f t="shared" si="116"/>
        <v>#DIV/0!</v>
      </c>
      <c r="Z317" s="116">
        <f t="shared" si="117"/>
        <v>0</v>
      </c>
      <c r="AA317" s="156"/>
    </row>
    <row r="318" spans="1:27" ht="12.75">
      <c r="A318" s="9">
        <v>400</v>
      </c>
      <c r="B318" s="14"/>
      <c r="C318" s="14"/>
      <c r="D318" s="80" t="s">
        <v>401</v>
      </c>
      <c r="E318" s="80" t="s">
        <v>403</v>
      </c>
      <c r="F318" s="1">
        <f>IF(AND($P$16=A318,$P$32=E318,$P$34=D318),1,0)</f>
        <v>0</v>
      </c>
      <c r="G318" s="3">
        <v>1</v>
      </c>
      <c r="H318" s="1">
        <f>IF(AND($P$16=A318,$P$32=E318,$P$34=D318),$P$46,0)</f>
        <v>0</v>
      </c>
      <c r="I318" s="16">
        <v>5</v>
      </c>
      <c r="J318" s="16">
        <f t="shared" si="111"/>
        <v>0</v>
      </c>
      <c r="K318" s="16">
        <v>0</v>
      </c>
      <c r="L318" s="16">
        <f t="shared" si="112"/>
        <v>0</v>
      </c>
      <c r="M318" s="118" t="s">
        <v>425</v>
      </c>
      <c r="N318" s="118" t="s">
        <v>449</v>
      </c>
      <c r="O318" s="1"/>
      <c r="P318" s="1" t="s">
        <v>452</v>
      </c>
      <c r="Q318" s="167">
        <v>7.6799999999999993E-2</v>
      </c>
      <c r="R318" s="16">
        <f t="shared" si="113"/>
        <v>0</v>
      </c>
      <c r="S318" s="35">
        <v>0</v>
      </c>
      <c r="T318" s="35">
        <v>1</v>
      </c>
      <c r="U318" s="16">
        <f t="shared" ref="U318:U323" si="118">(Q318*S318)</f>
        <v>0</v>
      </c>
      <c r="V318" s="6">
        <f t="shared" ref="V318:V323" si="119">(R318*T318)</f>
        <v>0</v>
      </c>
      <c r="W318" s="6">
        <f t="shared" si="115"/>
        <v>0</v>
      </c>
      <c r="X318" s="88">
        <f t="shared" si="106"/>
        <v>130</v>
      </c>
      <c r="Y318" s="122" t="e">
        <f t="shared" si="116"/>
        <v>#DIV/0!</v>
      </c>
      <c r="Z318" s="116">
        <f t="shared" si="117"/>
        <v>0</v>
      </c>
      <c r="AA318" s="156"/>
    </row>
    <row r="319" spans="1:27" ht="12.75">
      <c r="A319" s="9">
        <v>400</v>
      </c>
      <c r="B319" s="14"/>
      <c r="C319" s="14"/>
      <c r="D319" s="80" t="s">
        <v>401</v>
      </c>
      <c r="E319" s="80" t="s">
        <v>403</v>
      </c>
      <c r="F319" s="1">
        <f>IF(AND($Q$16=A319,$P$32=E319,$P$34=D319),1,0)</f>
        <v>0</v>
      </c>
      <c r="G319" s="3">
        <v>1</v>
      </c>
      <c r="H319" s="1">
        <f>IF(AND($Q$16=A319,$P$32=E319,$P$34=D319),$Q$10,0)</f>
        <v>0</v>
      </c>
      <c r="I319" s="16">
        <v>5</v>
      </c>
      <c r="J319" s="16">
        <f t="shared" si="111"/>
        <v>0</v>
      </c>
      <c r="K319" s="16">
        <v>0</v>
      </c>
      <c r="L319" s="16">
        <f t="shared" si="112"/>
        <v>0</v>
      </c>
      <c r="M319" s="118" t="s">
        <v>425</v>
      </c>
      <c r="N319" s="118" t="s">
        <v>450</v>
      </c>
      <c r="O319" s="1"/>
      <c r="P319" s="1" t="s">
        <v>452</v>
      </c>
      <c r="Q319" s="167">
        <v>7.6799999999999993E-2</v>
      </c>
      <c r="R319" s="16">
        <f t="shared" si="113"/>
        <v>0</v>
      </c>
      <c r="S319" s="35">
        <v>0</v>
      </c>
      <c r="T319" s="35">
        <v>1</v>
      </c>
      <c r="U319" s="16">
        <f t="shared" si="118"/>
        <v>0</v>
      </c>
      <c r="V319" s="6">
        <f t="shared" si="119"/>
        <v>0</v>
      </c>
      <c r="W319" s="6">
        <f t="shared" si="115"/>
        <v>0</v>
      </c>
      <c r="X319" s="88">
        <f t="shared" si="106"/>
        <v>130</v>
      </c>
      <c r="Y319" s="122" t="e">
        <f t="shared" si="116"/>
        <v>#DIV/0!</v>
      </c>
      <c r="Z319" s="116">
        <f t="shared" si="117"/>
        <v>0</v>
      </c>
      <c r="AA319" s="156"/>
    </row>
    <row r="320" spans="1:27" ht="12.75">
      <c r="A320" s="162">
        <v>1200</v>
      </c>
      <c r="B320" s="14"/>
      <c r="C320" s="14"/>
      <c r="D320" s="80" t="s">
        <v>401</v>
      </c>
      <c r="E320" s="80" t="s">
        <v>403</v>
      </c>
      <c r="F320" s="1">
        <f>IF(AND($P$16=A320,$P$32=E320,$P$34=D320),1,0)</f>
        <v>0</v>
      </c>
      <c r="G320" s="3">
        <v>1</v>
      </c>
      <c r="H320" s="1">
        <f>IF(AND($P$16=A320,$P$32=E320,$P$34=D320),$P$46,0)</f>
        <v>0</v>
      </c>
      <c r="I320" s="16">
        <v>20</v>
      </c>
      <c r="J320" s="16">
        <f t="shared" si="111"/>
        <v>0</v>
      </c>
      <c r="K320" s="16">
        <v>0</v>
      </c>
      <c r="L320" s="16">
        <f t="shared" si="112"/>
        <v>0</v>
      </c>
      <c r="M320" s="118" t="s">
        <v>425</v>
      </c>
      <c r="N320" s="118" t="s">
        <v>449</v>
      </c>
      <c r="O320" s="1"/>
      <c r="P320" s="1" t="s">
        <v>452</v>
      </c>
      <c r="Q320" s="167">
        <v>7.6799999999999993E-2</v>
      </c>
      <c r="R320" s="16">
        <f t="shared" si="113"/>
        <v>0</v>
      </c>
      <c r="S320" s="35">
        <v>0</v>
      </c>
      <c r="T320" s="35">
        <v>1</v>
      </c>
      <c r="U320" s="16">
        <f t="shared" si="118"/>
        <v>0</v>
      </c>
      <c r="V320" s="6">
        <f t="shared" si="119"/>
        <v>0</v>
      </c>
      <c r="W320" s="6">
        <f t="shared" si="115"/>
        <v>0</v>
      </c>
      <c r="X320" s="88">
        <f t="shared" si="106"/>
        <v>130</v>
      </c>
      <c r="Y320" s="122" t="e">
        <f t="shared" si="116"/>
        <v>#DIV/0!</v>
      </c>
      <c r="Z320" s="116">
        <f t="shared" si="117"/>
        <v>0</v>
      </c>
      <c r="AA320" s="156"/>
    </row>
    <row r="321" spans="1:27" ht="12.75">
      <c r="A321" s="162">
        <v>1200</v>
      </c>
      <c r="B321" s="14"/>
      <c r="C321" s="14"/>
      <c r="D321" s="80" t="s">
        <v>401</v>
      </c>
      <c r="E321" s="80" t="s">
        <v>403</v>
      </c>
      <c r="F321" s="1">
        <f>IF(AND($Q$16=A321,$P$32=E321,$P$34=D321),1,0)</f>
        <v>0</v>
      </c>
      <c r="G321" s="3">
        <v>1</v>
      </c>
      <c r="H321" s="1">
        <f>IF(AND($Q$16=A321,$P$32=E321,$P$34=D321),$Q$10,0)</f>
        <v>0</v>
      </c>
      <c r="I321" s="16">
        <v>20</v>
      </c>
      <c r="J321" s="16">
        <f t="shared" si="111"/>
        <v>0</v>
      </c>
      <c r="K321" s="16">
        <v>0</v>
      </c>
      <c r="L321" s="16">
        <f t="shared" si="112"/>
        <v>0</v>
      </c>
      <c r="M321" s="118" t="s">
        <v>425</v>
      </c>
      <c r="N321" s="118" t="s">
        <v>450</v>
      </c>
      <c r="O321" s="1"/>
      <c r="P321" s="1" t="s">
        <v>452</v>
      </c>
      <c r="Q321" s="167">
        <v>7.6799999999999993E-2</v>
      </c>
      <c r="R321" s="16">
        <f t="shared" si="113"/>
        <v>0</v>
      </c>
      <c r="S321" s="35">
        <v>0</v>
      </c>
      <c r="T321" s="35">
        <v>1</v>
      </c>
      <c r="U321" s="16">
        <f t="shared" si="118"/>
        <v>0</v>
      </c>
      <c r="V321" s="6">
        <f t="shared" si="119"/>
        <v>0</v>
      </c>
      <c r="W321" s="6">
        <f t="shared" si="115"/>
        <v>0</v>
      </c>
      <c r="X321" s="88">
        <f t="shared" si="106"/>
        <v>130</v>
      </c>
      <c r="Y321" s="122" t="e">
        <f t="shared" si="116"/>
        <v>#DIV/0!</v>
      </c>
      <c r="Z321" s="116">
        <f t="shared" si="117"/>
        <v>0</v>
      </c>
      <c r="AA321" s="156"/>
    </row>
    <row r="322" spans="1:27" ht="12.75">
      <c r="A322" s="162">
        <v>1370</v>
      </c>
      <c r="B322" s="14"/>
      <c r="C322" s="14"/>
      <c r="D322" s="80" t="s">
        <v>401</v>
      </c>
      <c r="E322" s="80" t="s">
        <v>403</v>
      </c>
      <c r="F322" s="1">
        <f>IF(AND($P$16=A322,$P$32=E322,$P$34=D322),1,0)</f>
        <v>0</v>
      </c>
      <c r="G322" s="3">
        <v>1</v>
      </c>
      <c r="H322" s="1">
        <f>IF(AND($P$16=A322,$P$32=E322,$P$34=D322),$P$46,0)</f>
        <v>0</v>
      </c>
      <c r="I322" s="16">
        <v>25</v>
      </c>
      <c r="J322" s="16">
        <f t="shared" si="111"/>
        <v>0</v>
      </c>
      <c r="K322" s="16">
        <v>0</v>
      </c>
      <c r="L322" s="16">
        <f t="shared" si="112"/>
        <v>0</v>
      </c>
      <c r="M322" s="118" t="s">
        <v>425</v>
      </c>
      <c r="N322" s="118" t="s">
        <v>449</v>
      </c>
      <c r="O322" s="1"/>
      <c r="P322" s="1" t="s">
        <v>452</v>
      </c>
      <c r="Q322" s="167">
        <v>7.6799999999999993E-2</v>
      </c>
      <c r="R322" s="16">
        <f t="shared" si="113"/>
        <v>0</v>
      </c>
      <c r="S322" s="35">
        <v>0</v>
      </c>
      <c r="T322" s="35">
        <v>1</v>
      </c>
      <c r="U322" s="16">
        <f t="shared" si="118"/>
        <v>0</v>
      </c>
      <c r="V322" s="6">
        <f t="shared" si="119"/>
        <v>0</v>
      </c>
      <c r="W322" s="6">
        <f t="shared" si="115"/>
        <v>0</v>
      </c>
      <c r="X322" s="88">
        <f t="shared" si="106"/>
        <v>130</v>
      </c>
      <c r="Y322" s="122" t="e">
        <f t="shared" si="116"/>
        <v>#DIV/0!</v>
      </c>
      <c r="Z322" s="116">
        <f t="shared" si="117"/>
        <v>0</v>
      </c>
      <c r="AA322" s="156"/>
    </row>
    <row r="323" spans="1:27" ht="12.75">
      <c r="A323" s="162">
        <v>1370</v>
      </c>
      <c r="B323" s="14"/>
      <c r="C323" s="14"/>
      <c r="D323" s="80" t="s">
        <v>401</v>
      </c>
      <c r="E323" s="80" t="s">
        <v>403</v>
      </c>
      <c r="F323" s="1">
        <f>IF(AND($Q$16=A323,$P$32=E323,$P$34=D323),1,0)</f>
        <v>0</v>
      </c>
      <c r="G323" s="3">
        <v>1</v>
      </c>
      <c r="H323" s="1">
        <f>IF(AND($Q$16=A323,$P$32=E323,$P$34=D323),$Q$10,0)</f>
        <v>0</v>
      </c>
      <c r="I323" s="16">
        <v>25</v>
      </c>
      <c r="J323" s="16">
        <f t="shared" si="111"/>
        <v>0</v>
      </c>
      <c r="K323" s="16">
        <v>0</v>
      </c>
      <c r="L323" s="16">
        <f t="shared" si="112"/>
        <v>0</v>
      </c>
      <c r="M323" s="118" t="s">
        <v>425</v>
      </c>
      <c r="N323" s="118" t="s">
        <v>450</v>
      </c>
      <c r="O323" s="1"/>
      <c r="P323" s="1" t="s">
        <v>452</v>
      </c>
      <c r="Q323" s="167">
        <v>7.6799999999999993E-2</v>
      </c>
      <c r="R323" s="16">
        <f t="shared" si="113"/>
        <v>0</v>
      </c>
      <c r="S323" s="35">
        <v>0</v>
      </c>
      <c r="T323" s="35">
        <v>1</v>
      </c>
      <c r="U323" s="16">
        <f t="shared" si="118"/>
        <v>0</v>
      </c>
      <c r="V323" s="6">
        <f t="shared" si="119"/>
        <v>0</v>
      </c>
      <c r="W323" s="6">
        <f t="shared" si="115"/>
        <v>0</v>
      </c>
      <c r="X323" s="88">
        <f t="shared" si="106"/>
        <v>130</v>
      </c>
      <c r="Y323" s="122" t="e">
        <f t="shared" si="116"/>
        <v>#DIV/0!</v>
      </c>
      <c r="Z323" s="116">
        <f t="shared" si="117"/>
        <v>0</v>
      </c>
      <c r="AA323" s="156"/>
    </row>
    <row r="324" spans="1:27" ht="12.75">
      <c r="A324" s="162"/>
      <c r="B324" s="14"/>
      <c r="C324" s="14"/>
      <c r="D324" s="80"/>
      <c r="E324" s="80"/>
      <c r="F324" s="1"/>
      <c r="G324" s="3"/>
      <c r="H324" s="1"/>
      <c r="I324" s="16"/>
      <c r="J324" s="16"/>
      <c r="K324" s="16"/>
      <c r="L324" s="16"/>
      <c r="M324" s="118"/>
      <c r="N324" s="118"/>
      <c r="O324" s="1"/>
      <c r="P324" s="1"/>
      <c r="Q324" s="167"/>
      <c r="R324" s="16"/>
      <c r="S324" s="35"/>
      <c r="T324" s="35"/>
      <c r="U324" s="16"/>
      <c r="V324" s="6"/>
      <c r="W324" s="6"/>
      <c r="X324" s="82"/>
      <c r="Y324" s="122"/>
      <c r="Z324" s="116"/>
      <c r="AA324" s="156"/>
    </row>
    <row r="325" spans="1:27" ht="12.75">
      <c r="A325" s="9">
        <v>100</v>
      </c>
      <c r="B325" s="14"/>
      <c r="C325" s="14"/>
      <c r="D325" s="80" t="s">
        <v>401</v>
      </c>
      <c r="E325" s="80" t="s">
        <v>403</v>
      </c>
      <c r="F325" s="1">
        <f>IF(AND($P$16=A325,$P$32=E325,$P$34=D325),1,0)</f>
        <v>0</v>
      </c>
      <c r="G325" s="3">
        <v>1</v>
      </c>
      <c r="H325" s="1">
        <f>IF(AND($P$16=A325,$P$32=E325,$P$34=D325),$P$46,0)</f>
        <v>0</v>
      </c>
      <c r="I325" s="16">
        <v>2</v>
      </c>
      <c r="J325" s="16">
        <f t="shared" ref="J325:J338" si="120">((H325*I325)*AND(G325=1)*AND(F325=1))</f>
        <v>0</v>
      </c>
      <c r="K325" s="16">
        <v>0</v>
      </c>
      <c r="L325" s="16">
        <f t="shared" ref="L325:L338" si="121">(J325*K325%)+J325</f>
        <v>0</v>
      </c>
      <c r="M325" s="118" t="s">
        <v>378</v>
      </c>
      <c r="N325" s="118" t="s">
        <v>105</v>
      </c>
      <c r="O325" s="1"/>
      <c r="P325" s="1" t="s">
        <v>452</v>
      </c>
      <c r="Q325" s="1">
        <v>1.49E-2</v>
      </c>
      <c r="R325" s="16">
        <f t="shared" ref="R325:R338" si="122">(L325*Q325)</f>
        <v>0</v>
      </c>
      <c r="S325" s="35">
        <v>0</v>
      </c>
      <c r="T325" s="35">
        <v>1</v>
      </c>
      <c r="U325" s="16">
        <f t="shared" ref="U325:U338" si="123">(Q325*S325)</f>
        <v>0</v>
      </c>
      <c r="V325" s="6">
        <f t="shared" ref="V325:V338" si="124">(R325*T325)</f>
        <v>0</v>
      </c>
      <c r="W325" s="6">
        <f t="shared" ref="W325:W338" si="125">SUM(U325:V325)</f>
        <v>0</v>
      </c>
      <c r="X325" s="88">
        <f t="shared" si="106"/>
        <v>130</v>
      </c>
      <c r="Y325" s="122" t="e">
        <f t="shared" ref="Y325:Y338" si="126">100-((W325*100)/Z325)</f>
        <v>#DIV/0!</v>
      </c>
      <c r="Z325" s="116">
        <f t="shared" ref="Z325:Z338" si="127">(W325*X325%)+W325</f>
        <v>0</v>
      </c>
      <c r="AA325" s="156"/>
    </row>
    <row r="326" spans="1:27" ht="12.75">
      <c r="A326" s="9">
        <v>100</v>
      </c>
      <c r="B326" s="14"/>
      <c r="C326" s="14"/>
      <c r="D326" s="80" t="s">
        <v>401</v>
      </c>
      <c r="E326" s="80" t="s">
        <v>403</v>
      </c>
      <c r="F326" s="1">
        <f>IF(AND($Q$16=A326,$P$32=E326,$P$34=D326),1,0)</f>
        <v>0</v>
      </c>
      <c r="G326" s="3">
        <v>1</v>
      </c>
      <c r="H326" s="1">
        <f>IF(AND($Q$16=A326,$P$32=E326,$P$34=D326),$Q$10,0)</f>
        <v>0</v>
      </c>
      <c r="I326" s="16">
        <v>2</v>
      </c>
      <c r="J326" s="16">
        <f t="shared" si="120"/>
        <v>0</v>
      </c>
      <c r="K326" s="16">
        <v>0</v>
      </c>
      <c r="L326" s="16">
        <f t="shared" si="121"/>
        <v>0</v>
      </c>
      <c r="M326" s="118" t="s">
        <v>378</v>
      </c>
      <c r="N326" s="118" t="s">
        <v>106</v>
      </c>
      <c r="O326" s="1"/>
      <c r="P326" s="1" t="s">
        <v>452</v>
      </c>
      <c r="Q326" s="1">
        <v>1.49E-2</v>
      </c>
      <c r="R326" s="16">
        <f t="shared" si="122"/>
        <v>0</v>
      </c>
      <c r="S326" s="35">
        <v>0</v>
      </c>
      <c r="T326" s="35">
        <v>1</v>
      </c>
      <c r="U326" s="16">
        <f t="shared" si="123"/>
        <v>0</v>
      </c>
      <c r="V326" s="6">
        <f t="shared" si="124"/>
        <v>0</v>
      </c>
      <c r="W326" s="6">
        <f t="shared" si="125"/>
        <v>0</v>
      </c>
      <c r="X326" s="88">
        <f t="shared" si="106"/>
        <v>130</v>
      </c>
      <c r="Y326" s="122" t="e">
        <f t="shared" si="126"/>
        <v>#DIV/0!</v>
      </c>
      <c r="Z326" s="116">
        <f t="shared" si="127"/>
        <v>0</v>
      </c>
      <c r="AA326" s="156"/>
    </row>
    <row r="327" spans="1:27" ht="12.75">
      <c r="A327" s="9">
        <v>150</v>
      </c>
      <c r="B327" s="14"/>
      <c r="C327" s="14"/>
      <c r="D327" s="80" t="s">
        <v>401</v>
      </c>
      <c r="E327" s="80" t="s">
        <v>403</v>
      </c>
      <c r="F327" s="1">
        <f>IF(AND($P$16=A327,$P$32=E327,$P$34=D327),1,0)</f>
        <v>0</v>
      </c>
      <c r="G327" s="3">
        <v>1</v>
      </c>
      <c r="H327" s="1">
        <f>IF(AND($P$16=A327,$P$32=E327,$P$34=D327),$P$46,0)</f>
        <v>0</v>
      </c>
      <c r="I327" s="16">
        <v>3</v>
      </c>
      <c r="J327" s="16">
        <f t="shared" si="120"/>
        <v>0</v>
      </c>
      <c r="K327" s="16">
        <v>0</v>
      </c>
      <c r="L327" s="16">
        <f t="shared" si="121"/>
        <v>0</v>
      </c>
      <c r="M327" s="118" t="s">
        <v>378</v>
      </c>
      <c r="N327" s="118" t="s">
        <v>105</v>
      </c>
      <c r="O327" s="1"/>
      <c r="P327" s="1" t="s">
        <v>452</v>
      </c>
      <c r="Q327" s="1">
        <v>1.49E-2</v>
      </c>
      <c r="R327" s="16">
        <f t="shared" si="122"/>
        <v>0</v>
      </c>
      <c r="S327" s="35">
        <v>0</v>
      </c>
      <c r="T327" s="35">
        <v>1</v>
      </c>
      <c r="U327" s="16">
        <f t="shared" si="123"/>
        <v>0</v>
      </c>
      <c r="V327" s="6">
        <f t="shared" si="124"/>
        <v>0</v>
      </c>
      <c r="W327" s="6">
        <f t="shared" si="125"/>
        <v>0</v>
      </c>
      <c r="X327" s="88">
        <f t="shared" si="106"/>
        <v>130</v>
      </c>
      <c r="Y327" s="122" t="e">
        <f t="shared" si="126"/>
        <v>#DIV/0!</v>
      </c>
      <c r="Z327" s="116">
        <f t="shared" si="127"/>
        <v>0</v>
      </c>
      <c r="AA327" s="156"/>
    </row>
    <row r="328" spans="1:27" ht="12.75">
      <c r="A328" s="9">
        <v>150</v>
      </c>
      <c r="B328" s="14"/>
      <c r="C328" s="14"/>
      <c r="D328" s="80" t="s">
        <v>401</v>
      </c>
      <c r="E328" s="80" t="s">
        <v>403</v>
      </c>
      <c r="F328" s="1">
        <f>IF(AND($Q$16=A328,$P$32=E328,$P$34=D328),1,0)</f>
        <v>0</v>
      </c>
      <c r="G328" s="3">
        <v>1</v>
      </c>
      <c r="H328" s="1">
        <f>IF(AND($Q$16=A328,$P$32=E328,$P$34=D328),$Q$10,0)</f>
        <v>0</v>
      </c>
      <c r="I328" s="16">
        <v>3</v>
      </c>
      <c r="J328" s="16">
        <f t="shared" si="120"/>
        <v>0</v>
      </c>
      <c r="K328" s="16">
        <v>0</v>
      </c>
      <c r="L328" s="16">
        <f t="shared" si="121"/>
        <v>0</v>
      </c>
      <c r="M328" s="118" t="s">
        <v>378</v>
      </c>
      <c r="N328" s="118" t="s">
        <v>106</v>
      </c>
      <c r="O328" s="1"/>
      <c r="P328" s="1" t="s">
        <v>452</v>
      </c>
      <c r="Q328" s="1">
        <v>1.49E-2</v>
      </c>
      <c r="R328" s="16">
        <f t="shared" si="122"/>
        <v>0</v>
      </c>
      <c r="S328" s="35">
        <v>0</v>
      </c>
      <c r="T328" s="35">
        <v>1</v>
      </c>
      <c r="U328" s="16">
        <f t="shared" si="123"/>
        <v>0</v>
      </c>
      <c r="V328" s="6">
        <f t="shared" si="124"/>
        <v>0</v>
      </c>
      <c r="W328" s="6">
        <f t="shared" si="125"/>
        <v>0</v>
      </c>
      <c r="X328" s="88">
        <f t="shared" si="106"/>
        <v>130</v>
      </c>
      <c r="Y328" s="122" t="e">
        <f t="shared" si="126"/>
        <v>#DIV/0!</v>
      </c>
      <c r="Z328" s="116">
        <f t="shared" si="127"/>
        <v>0</v>
      </c>
      <c r="AA328" s="156"/>
    </row>
    <row r="329" spans="1:27" ht="12.75">
      <c r="A329" s="9">
        <v>200</v>
      </c>
      <c r="B329" s="14"/>
      <c r="C329" s="14"/>
      <c r="D329" s="80" t="s">
        <v>401</v>
      </c>
      <c r="E329" s="80" t="s">
        <v>403</v>
      </c>
      <c r="F329" s="1">
        <f>IF(AND($P$16=A329,$P$32=E329,$P$34=D329),1,0)</f>
        <v>0</v>
      </c>
      <c r="G329" s="3">
        <v>1</v>
      </c>
      <c r="H329" s="1">
        <f>IF(AND($P$16=A329,$P$32=E329,$P$34=D329),$P$46,0)</f>
        <v>0</v>
      </c>
      <c r="I329" s="16">
        <v>4</v>
      </c>
      <c r="J329" s="16">
        <f t="shared" si="120"/>
        <v>0</v>
      </c>
      <c r="K329" s="16">
        <v>0</v>
      </c>
      <c r="L329" s="16">
        <f t="shared" si="121"/>
        <v>0</v>
      </c>
      <c r="M329" s="118" t="s">
        <v>378</v>
      </c>
      <c r="N329" s="118" t="s">
        <v>105</v>
      </c>
      <c r="O329" s="1"/>
      <c r="P329" s="1" t="s">
        <v>452</v>
      </c>
      <c r="Q329" s="1">
        <v>1.49E-2</v>
      </c>
      <c r="R329" s="16">
        <f t="shared" si="122"/>
        <v>0</v>
      </c>
      <c r="S329" s="35">
        <v>0</v>
      </c>
      <c r="T329" s="35">
        <v>1</v>
      </c>
      <c r="U329" s="16">
        <f t="shared" si="123"/>
        <v>0</v>
      </c>
      <c r="V329" s="6">
        <f t="shared" si="124"/>
        <v>0</v>
      </c>
      <c r="W329" s="6">
        <f t="shared" si="125"/>
        <v>0</v>
      </c>
      <c r="X329" s="88">
        <f t="shared" si="106"/>
        <v>130</v>
      </c>
      <c r="Y329" s="122" t="e">
        <f t="shared" si="126"/>
        <v>#DIV/0!</v>
      </c>
      <c r="Z329" s="116">
        <f t="shared" si="127"/>
        <v>0</v>
      </c>
      <c r="AA329" s="156"/>
    </row>
    <row r="330" spans="1:27" ht="12.75">
      <c r="A330" s="9">
        <v>200</v>
      </c>
      <c r="B330" s="14"/>
      <c r="C330" s="14"/>
      <c r="D330" s="80" t="s">
        <v>401</v>
      </c>
      <c r="E330" s="80" t="s">
        <v>403</v>
      </c>
      <c r="F330" s="1">
        <f>IF(AND($Q$16=A330,$P$32=E330,$P$34=D330),1,0)</f>
        <v>0</v>
      </c>
      <c r="G330" s="3">
        <v>1</v>
      </c>
      <c r="H330" s="1">
        <f>IF(AND($Q$16=A330,$P$32=E330,$P$34=D330),$Q$10,0)</f>
        <v>0</v>
      </c>
      <c r="I330" s="16">
        <v>4</v>
      </c>
      <c r="J330" s="16">
        <f t="shared" si="120"/>
        <v>0</v>
      </c>
      <c r="K330" s="16">
        <v>0</v>
      </c>
      <c r="L330" s="16">
        <f t="shared" si="121"/>
        <v>0</v>
      </c>
      <c r="M330" s="118" t="s">
        <v>378</v>
      </c>
      <c r="N330" s="118" t="s">
        <v>106</v>
      </c>
      <c r="O330" s="1"/>
      <c r="P330" s="1" t="s">
        <v>452</v>
      </c>
      <c r="Q330" s="1">
        <v>1.49E-2</v>
      </c>
      <c r="R330" s="16">
        <f t="shared" si="122"/>
        <v>0</v>
      </c>
      <c r="S330" s="35">
        <v>0</v>
      </c>
      <c r="T330" s="35">
        <v>1</v>
      </c>
      <c r="U330" s="16">
        <f t="shared" si="123"/>
        <v>0</v>
      </c>
      <c r="V330" s="6">
        <f t="shared" si="124"/>
        <v>0</v>
      </c>
      <c r="W330" s="6">
        <f t="shared" si="125"/>
        <v>0</v>
      </c>
      <c r="X330" s="88">
        <f t="shared" si="106"/>
        <v>130</v>
      </c>
      <c r="Y330" s="122" t="e">
        <f t="shared" si="126"/>
        <v>#DIV/0!</v>
      </c>
      <c r="Z330" s="116">
        <f t="shared" si="127"/>
        <v>0</v>
      </c>
      <c r="AA330" s="156"/>
    </row>
    <row r="331" spans="1:27" ht="12.75">
      <c r="A331" s="9">
        <v>300</v>
      </c>
      <c r="B331" s="14"/>
      <c r="C331" s="14"/>
      <c r="D331" s="80" t="s">
        <v>401</v>
      </c>
      <c r="E331" s="80" t="s">
        <v>403</v>
      </c>
      <c r="F331" s="1">
        <f>IF(AND($P$16=A331,$P$32=E331,$P$34=D331),1,0)</f>
        <v>0</v>
      </c>
      <c r="G331" s="3">
        <v>1</v>
      </c>
      <c r="H331" s="1">
        <f>IF(AND($P$16=A331,$P$32=E331,$P$34=D331),$P$46,0)</f>
        <v>0</v>
      </c>
      <c r="I331" s="16">
        <v>5</v>
      </c>
      <c r="J331" s="16">
        <f t="shared" si="120"/>
        <v>0</v>
      </c>
      <c r="K331" s="16">
        <v>0</v>
      </c>
      <c r="L331" s="16">
        <f t="shared" si="121"/>
        <v>0</v>
      </c>
      <c r="M331" s="118" t="s">
        <v>378</v>
      </c>
      <c r="N331" s="118" t="s">
        <v>105</v>
      </c>
      <c r="O331" s="1"/>
      <c r="P331" s="1" t="s">
        <v>452</v>
      </c>
      <c r="Q331" s="1">
        <v>1.49E-2</v>
      </c>
      <c r="R331" s="16">
        <f t="shared" si="122"/>
        <v>0</v>
      </c>
      <c r="S331" s="35">
        <v>0</v>
      </c>
      <c r="T331" s="35">
        <v>1</v>
      </c>
      <c r="U331" s="16">
        <f t="shared" si="123"/>
        <v>0</v>
      </c>
      <c r="V331" s="6">
        <f t="shared" si="124"/>
        <v>0</v>
      </c>
      <c r="W331" s="6">
        <f t="shared" si="125"/>
        <v>0</v>
      </c>
      <c r="X331" s="88">
        <f t="shared" si="106"/>
        <v>130</v>
      </c>
      <c r="Y331" s="122" t="e">
        <f t="shared" si="126"/>
        <v>#DIV/0!</v>
      </c>
      <c r="Z331" s="116">
        <f t="shared" si="127"/>
        <v>0</v>
      </c>
      <c r="AA331" s="156"/>
    </row>
    <row r="332" spans="1:27" ht="12.75">
      <c r="A332" s="9">
        <v>300</v>
      </c>
      <c r="B332" s="14"/>
      <c r="C332" s="14"/>
      <c r="D332" s="80" t="s">
        <v>401</v>
      </c>
      <c r="E332" s="80" t="s">
        <v>403</v>
      </c>
      <c r="F332" s="1">
        <f>IF(AND($Q$16=A332,$P$32=E332,$P$34=D332),1,0)</f>
        <v>0</v>
      </c>
      <c r="G332" s="3">
        <v>1</v>
      </c>
      <c r="H332" s="1">
        <f>IF(AND($Q$16=A332,$P$32=E332,$P$34=D332),$Q$10,0)</f>
        <v>0</v>
      </c>
      <c r="I332" s="16">
        <v>5</v>
      </c>
      <c r="J332" s="16">
        <f t="shared" si="120"/>
        <v>0</v>
      </c>
      <c r="K332" s="16">
        <v>0</v>
      </c>
      <c r="L332" s="16">
        <f t="shared" si="121"/>
        <v>0</v>
      </c>
      <c r="M332" s="118" t="s">
        <v>378</v>
      </c>
      <c r="N332" s="118" t="s">
        <v>106</v>
      </c>
      <c r="O332" s="1"/>
      <c r="P332" s="1" t="s">
        <v>452</v>
      </c>
      <c r="Q332" s="1">
        <v>1.49E-2</v>
      </c>
      <c r="R332" s="16">
        <f t="shared" si="122"/>
        <v>0</v>
      </c>
      <c r="S332" s="35">
        <v>0</v>
      </c>
      <c r="T332" s="35">
        <v>1</v>
      </c>
      <c r="U332" s="16">
        <f t="shared" si="123"/>
        <v>0</v>
      </c>
      <c r="V332" s="6">
        <f t="shared" si="124"/>
        <v>0</v>
      </c>
      <c r="W332" s="6">
        <f t="shared" si="125"/>
        <v>0</v>
      </c>
      <c r="X332" s="88">
        <f t="shared" si="106"/>
        <v>130</v>
      </c>
      <c r="Y332" s="122" t="e">
        <f t="shared" si="126"/>
        <v>#DIV/0!</v>
      </c>
      <c r="Z332" s="116">
        <f t="shared" si="127"/>
        <v>0</v>
      </c>
      <c r="AA332" s="156"/>
    </row>
    <row r="333" spans="1:27" ht="12.75">
      <c r="A333" s="9">
        <v>400</v>
      </c>
      <c r="B333" s="14"/>
      <c r="C333" s="14"/>
      <c r="D333" s="80" t="s">
        <v>401</v>
      </c>
      <c r="E333" s="80" t="s">
        <v>403</v>
      </c>
      <c r="F333" s="1">
        <f>IF(AND($P$16=A333,$P$32=E333,$P$34=D333),1,0)</f>
        <v>0</v>
      </c>
      <c r="G333" s="3">
        <v>1</v>
      </c>
      <c r="H333" s="1">
        <f>IF(AND($P$16=A333,$P$32=E333,$P$34=D333),$P$46,0)</f>
        <v>0</v>
      </c>
      <c r="I333" s="16">
        <v>5</v>
      </c>
      <c r="J333" s="16">
        <f t="shared" si="120"/>
        <v>0</v>
      </c>
      <c r="K333" s="16">
        <v>0</v>
      </c>
      <c r="L333" s="16">
        <f t="shared" si="121"/>
        <v>0</v>
      </c>
      <c r="M333" s="118" t="s">
        <v>378</v>
      </c>
      <c r="N333" s="118" t="s">
        <v>105</v>
      </c>
      <c r="O333" s="1"/>
      <c r="P333" s="1" t="s">
        <v>452</v>
      </c>
      <c r="Q333" s="1">
        <v>1.49E-2</v>
      </c>
      <c r="R333" s="16">
        <f t="shared" si="122"/>
        <v>0</v>
      </c>
      <c r="S333" s="35">
        <v>0</v>
      </c>
      <c r="T333" s="35">
        <v>1</v>
      </c>
      <c r="U333" s="16">
        <f t="shared" si="123"/>
        <v>0</v>
      </c>
      <c r="V333" s="6">
        <f t="shared" si="124"/>
        <v>0</v>
      </c>
      <c r="W333" s="6">
        <f t="shared" si="125"/>
        <v>0</v>
      </c>
      <c r="X333" s="88">
        <f t="shared" si="106"/>
        <v>130</v>
      </c>
      <c r="Y333" s="122" t="e">
        <f t="shared" si="126"/>
        <v>#DIV/0!</v>
      </c>
      <c r="Z333" s="116">
        <f t="shared" si="127"/>
        <v>0</v>
      </c>
      <c r="AA333" s="156"/>
    </row>
    <row r="334" spans="1:27" ht="12.75">
      <c r="A334" s="9">
        <v>400</v>
      </c>
      <c r="B334" s="14"/>
      <c r="C334" s="14"/>
      <c r="D334" s="80" t="s">
        <v>401</v>
      </c>
      <c r="E334" s="80" t="s">
        <v>403</v>
      </c>
      <c r="F334" s="1">
        <f>IF(AND($Q$16=A334,$P$32=E334,$P$34=D334),1,0)</f>
        <v>0</v>
      </c>
      <c r="G334" s="3">
        <v>1</v>
      </c>
      <c r="H334" s="1">
        <f>IF(AND($Q$16=A334,$P$32=E334,$P$34=D334),$Q$10,0)</f>
        <v>0</v>
      </c>
      <c r="I334" s="16">
        <v>5</v>
      </c>
      <c r="J334" s="16">
        <f t="shared" si="120"/>
        <v>0</v>
      </c>
      <c r="K334" s="16">
        <v>0</v>
      </c>
      <c r="L334" s="16">
        <f t="shared" si="121"/>
        <v>0</v>
      </c>
      <c r="M334" s="118" t="s">
        <v>378</v>
      </c>
      <c r="N334" s="118" t="s">
        <v>106</v>
      </c>
      <c r="O334" s="1"/>
      <c r="P334" s="1" t="s">
        <v>452</v>
      </c>
      <c r="Q334" s="1">
        <v>1.49E-2</v>
      </c>
      <c r="R334" s="16">
        <f t="shared" si="122"/>
        <v>0</v>
      </c>
      <c r="S334" s="35">
        <v>0</v>
      </c>
      <c r="T334" s="35">
        <v>1</v>
      </c>
      <c r="U334" s="16">
        <f t="shared" si="123"/>
        <v>0</v>
      </c>
      <c r="V334" s="6">
        <f t="shared" si="124"/>
        <v>0</v>
      </c>
      <c r="W334" s="6">
        <f t="shared" si="125"/>
        <v>0</v>
      </c>
      <c r="X334" s="88">
        <f t="shared" si="106"/>
        <v>130</v>
      </c>
      <c r="Y334" s="122" t="e">
        <f t="shared" si="126"/>
        <v>#DIV/0!</v>
      </c>
      <c r="Z334" s="116">
        <f t="shared" si="127"/>
        <v>0</v>
      </c>
      <c r="AA334" s="156"/>
    </row>
    <row r="335" spans="1:27" ht="12.75">
      <c r="A335" s="162">
        <v>1200</v>
      </c>
      <c r="B335" s="14"/>
      <c r="C335" s="14"/>
      <c r="D335" s="80" t="s">
        <v>401</v>
      </c>
      <c r="E335" s="80" t="s">
        <v>403</v>
      </c>
      <c r="F335" s="1">
        <f>IF(AND($P$16=A335,$P$32=E335,$P$34=D335),1,0)</f>
        <v>0</v>
      </c>
      <c r="G335" s="3">
        <v>1</v>
      </c>
      <c r="H335" s="1">
        <f>IF(AND($P$16=A335,$P$32=E335,$P$34=D335),$P$46,0)</f>
        <v>0</v>
      </c>
      <c r="I335" s="16">
        <v>20</v>
      </c>
      <c r="J335" s="16">
        <f t="shared" si="120"/>
        <v>0</v>
      </c>
      <c r="K335" s="16">
        <v>0</v>
      </c>
      <c r="L335" s="16">
        <f t="shared" si="121"/>
        <v>0</v>
      </c>
      <c r="M335" s="118" t="s">
        <v>378</v>
      </c>
      <c r="N335" s="118" t="s">
        <v>105</v>
      </c>
      <c r="O335" s="1"/>
      <c r="P335" s="1" t="s">
        <v>452</v>
      </c>
      <c r="Q335" s="1">
        <v>1.49E-2</v>
      </c>
      <c r="R335" s="16">
        <f t="shared" si="122"/>
        <v>0</v>
      </c>
      <c r="S335" s="35">
        <v>0</v>
      </c>
      <c r="T335" s="35">
        <v>1</v>
      </c>
      <c r="U335" s="16">
        <f t="shared" si="123"/>
        <v>0</v>
      </c>
      <c r="V335" s="6">
        <f t="shared" si="124"/>
        <v>0</v>
      </c>
      <c r="W335" s="6">
        <f t="shared" si="125"/>
        <v>0</v>
      </c>
      <c r="X335" s="88">
        <f t="shared" si="106"/>
        <v>130</v>
      </c>
      <c r="Y335" s="122" t="e">
        <f t="shared" si="126"/>
        <v>#DIV/0!</v>
      </c>
      <c r="Z335" s="116">
        <f t="shared" si="127"/>
        <v>0</v>
      </c>
      <c r="AA335" s="156"/>
    </row>
    <row r="336" spans="1:27" ht="12.75">
      <c r="A336" s="162">
        <v>1200</v>
      </c>
      <c r="B336" s="14"/>
      <c r="C336" s="14"/>
      <c r="D336" s="80" t="s">
        <v>401</v>
      </c>
      <c r="E336" s="80" t="s">
        <v>403</v>
      </c>
      <c r="F336" s="1">
        <f>IF(AND($Q$16=A336,$P$32=E336,$P$34=D336),1,0)</f>
        <v>0</v>
      </c>
      <c r="G336" s="3">
        <v>1</v>
      </c>
      <c r="H336" s="1">
        <f>IF(AND($Q$16=A336,$P$32=E336,$P$34=D336),$Q$10,0)</f>
        <v>0</v>
      </c>
      <c r="I336" s="16">
        <v>20</v>
      </c>
      <c r="J336" s="16">
        <f t="shared" si="120"/>
        <v>0</v>
      </c>
      <c r="K336" s="16">
        <v>0</v>
      </c>
      <c r="L336" s="16">
        <f t="shared" si="121"/>
        <v>0</v>
      </c>
      <c r="M336" s="118" t="s">
        <v>378</v>
      </c>
      <c r="N336" s="118" t="s">
        <v>106</v>
      </c>
      <c r="O336" s="1"/>
      <c r="P336" s="1" t="s">
        <v>452</v>
      </c>
      <c r="Q336" s="1">
        <v>1.49E-2</v>
      </c>
      <c r="R336" s="16">
        <f t="shared" si="122"/>
        <v>0</v>
      </c>
      <c r="S336" s="35">
        <v>0</v>
      </c>
      <c r="T336" s="35">
        <v>1</v>
      </c>
      <c r="U336" s="16">
        <f t="shared" si="123"/>
        <v>0</v>
      </c>
      <c r="V336" s="6">
        <f t="shared" si="124"/>
        <v>0</v>
      </c>
      <c r="W336" s="6">
        <f t="shared" si="125"/>
        <v>0</v>
      </c>
      <c r="X336" s="88">
        <f t="shared" si="106"/>
        <v>130</v>
      </c>
      <c r="Y336" s="122" t="e">
        <f t="shared" si="126"/>
        <v>#DIV/0!</v>
      </c>
      <c r="Z336" s="116">
        <f t="shared" si="127"/>
        <v>0</v>
      </c>
      <c r="AA336" s="156"/>
    </row>
    <row r="337" spans="1:28" ht="12.75">
      <c r="A337" s="162">
        <v>1370</v>
      </c>
      <c r="B337" s="14"/>
      <c r="C337" s="14"/>
      <c r="D337" s="80" t="s">
        <v>401</v>
      </c>
      <c r="E337" s="80" t="s">
        <v>403</v>
      </c>
      <c r="F337" s="1">
        <f>IF(AND($P$16=A337,$P$32=E337,$P$34=D337),1,0)</f>
        <v>0</v>
      </c>
      <c r="G337" s="3">
        <v>1</v>
      </c>
      <c r="H337" s="1">
        <f>IF(AND($P$16=A337,$P$32=E337,$P$34=D337),$P$46,0)</f>
        <v>0</v>
      </c>
      <c r="I337" s="16">
        <v>25</v>
      </c>
      <c r="J337" s="16">
        <f t="shared" si="120"/>
        <v>0</v>
      </c>
      <c r="K337" s="16">
        <v>0</v>
      </c>
      <c r="L337" s="16">
        <f t="shared" si="121"/>
        <v>0</v>
      </c>
      <c r="M337" s="118" t="s">
        <v>378</v>
      </c>
      <c r="N337" s="118" t="s">
        <v>105</v>
      </c>
      <c r="O337" s="1"/>
      <c r="P337" s="1" t="s">
        <v>452</v>
      </c>
      <c r="Q337" s="1">
        <v>1.49E-2</v>
      </c>
      <c r="R337" s="16">
        <f t="shared" si="122"/>
        <v>0</v>
      </c>
      <c r="S337" s="35">
        <v>0</v>
      </c>
      <c r="T337" s="35">
        <v>1</v>
      </c>
      <c r="U337" s="16">
        <f t="shared" si="123"/>
        <v>0</v>
      </c>
      <c r="V337" s="6">
        <f t="shared" si="124"/>
        <v>0</v>
      </c>
      <c r="W337" s="6">
        <f t="shared" si="125"/>
        <v>0</v>
      </c>
      <c r="X337" s="88">
        <f t="shared" si="106"/>
        <v>130</v>
      </c>
      <c r="Y337" s="122" t="e">
        <f t="shared" si="126"/>
        <v>#DIV/0!</v>
      </c>
      <c r="Z337" s="116">
        <f t="shared" si="127"/>
        <v>0</v>
      </c>
      <c r="AA337" s="156"/>
    </row>
    <row r="338" spans="1:28" ht="12.75">
      <c r="A338" s="162">
        <v>1370</v>
      </c>
      <c r="B338" s="14"/>
      <c r="C338" s="14"/>
      <c r="D338" s="80" t="s">
        <v>401</v>
      </c>
      <c r="E338" s="80" t="s">
        <v>403</v>
      </c>
      <c r="F338" s="1">
        <f>IF(AND($Q$16=A338,$P$32=E338,$P$34=D338),1,0)</f>
        <v>0</v>
      </c>
      <c r="G338" s="3">
        <v>1</v>
      </c>
      <c r="H338" s="1">
        <f>IF(AND($Q$16=A338,$P$32=E338,$P$34=D338),$Q$10,0)</f>
        <v>0</v>
      </c>
      <c r="I338" s="16">
        <v>25</v>
      </c>
      <c r="J338" s="16">
        <f t="shared" si="120"/>
        <v>0</v>
      </c>
      <c r="K338" s="16">
        <v>0</v>
      </c>
      <c r="L338" s="16">
        <f t="shared" si="121"/>
        <v>0</v>
      </c>
      <c r="M338" s="118" t="s">
        <v>378</v>
      </c>
      <c r="N338" s="118" t="s">
        <v>106</v>
      </c>
      <c r="O338" s="1"/>
      <c r="P338" s="1" t="s">
        <v>452</v>
      </c>
      <c r="Q338" s="1">
        <v>1.49E-2</v>
      </c>
      <c r="R338" s="16">
        <f t="shared" si="122"/>
        <v>0</v>
      </c>
      <c r="S338" s="35">
        <v>0</v>
      </c>
      <c r="T338" s="35">
        <v>1</v>
      </c>
      <c r="U338" s="16">
        <f t="shared" si="123"/>
        <v>0</v>
      </c>
      <c r="V338" s="6">
        <f t="shared" si="124"/>
        <v>0</v>
      </c>
      <c r="W338" s="6">
        <f t="shared" si="125"/>
        <v>0</v>
      </c>
      <c r="X338" s="88">
        <f t="shared" si="106"/>
        <v>130</v>
      </c>
      <c r="Y338" s="122" t="e">
        <f t="shared" si="126"/>
        <v>#DIV/0!</v>
      </c>
      <c r="Z338" s="116">
        <f t="shared" si="127"/>
        <v>0</v>
      </c>
      <c r="AA338" s="156"/>
    </row>
    <row r="339" spans="1:28" ht="12.75">
      <c r="A339" s="9"/>
      <c r="B339" s="14"/>
      <c r="C339" s="14"/>
      <c r="D339" s="80"/>
      <c r="E339" s="80"/>
      <c r="F339" s="118"/>
      <c r="G339" s="14"/>
      <c r="H339" s="118"/>
      <c r="I339" s="16"/>
      <c r="J339" s="16"/>
      <c r="K339" s="16"/>
      <c r="L339" s="16"/>
      <c r="M339" s="118"/>
      <c r="N339" s="118"/>
      <c r="O339" s="1"/>
      <c r="P339" s="1"/>
      <c r="Q339" s="1"/>
      <c r="R339" s="16"/>
      <c r="S339" s="35"/>
      <c r="T339" s="35"/>
      <c r="U339" s="16"/>
      <c r="V339" s="6"/>
      <c r="W339" s="6"/>
      <c r="X339" s="82"/>
      <c r="Y339" s="122"/>
      <c r="Z339" s="116"/>
      <c r="AA339" s="156"/>
    </row>
    <row r="340" spans="1:28" ht="12.75">
      <c r="A340" s="144" t="s">
        <v>412</v>
      </c>
      <c r="B340" s="145"/>
      <c r="C340" s="145"/>
      <c r="D340" s="145"/>
      <c r="E340" s="145"/>
      <c r="F340" s="146"/>
      <c r="G340" s="147"/>
      <c r="H340" s="148"/>
      <c r="I340" s="148"/>
      <c r="J340" s="148"/>
      <c r="K340" s="148"/>
      <c r="L340" s="148"/>
      <c r="M340" s="149"/>
      <c r="N340" s="149"/>
      <c r="O340" s="149"/>
      <c r="P340" s="150"/>
      <c r="Q340" s="148"/>
      <c r="R340" s="148"/>
      <c r="S340" s="151"/>
      <c r="T340" s="151"/>
      <c r="U340" s="148"/>
      <c r="V340" s="152"/>
      <c r="W340" s="152"/>
      <c r="X340" s="153"/>
      <c r="Y340" s="154"/>
      <c r="Z340" s="155"/>
      <c r="AA340" s="156"/>
    </row>
    <row r="341" spans="1:28" ht="12.75">
      <c r="A341" s="9"/>
      <c r="B341" s="14"/>
      <c r="C341" s="14"/>
      <c r="D341" s="14"/>
      <c r="E341" s="80"/>
      <c r="F341" s="9"/>
      <c r="G341" s="14"/>
      <c r="H341" s="16"/>
      <c r="I341" s="16"/>
      <c r="J341" s="16"/>
      <c r="K341" s="16"/>
      <c r="L341" s="16"/>
      <c r="M341" s="118"/>
      <c r="N341" s="118"/>
      <c r="O341" s="1"/>
      <c r="P341" s="1"/>
      <c r="Q341" s="167"/>
      <c r="R341" s="16"/>
      <c r="S341" s="35"/>
      <c r="T341" s="35"/>
      <c r="U341" s="16"/>
      <c r="V341" s="6"/>
      <c r="W341" s="6"/>
      <c r="X341" s="160"/>
      <c r="Y341" s="122"/>
      <c r="Z341" s="116"/>
      <c r="AA341" s="156"/>
    </row>
    <row r="342" spans="1:28" ht="12.75">
      <c r="A342" s="9"/>
      <c r="B342" s="14"/>
      <c r="C342" s="14"/>
      <c r="D342" s="80" t="s">
        <v>401</v>
      </c>
      <c r="E342" s="80" t="s">
        <v>404</v>
      </c>
      <c r="F342" s="118">
        <f>IF(AND($P$32=E342,$P$34=D342),$Z$69,IF(AND($P$32=E342,$P$34=D342),1,0))</f>
        <v>0</v>
      </c>
      <c r="G342" s="14">
        <v>1</v>
      </c>
      <c r="H342" s="118">
        <f>IF(AND($P$32=E342,$P$34=D342),$P$46,0)</f>
        <v>0</v>
      </c>
      <c r="I342" s="16">
        <v>3</v>
      </c>
      <c r="J342" s="16">
        <f>((H342*I342)*AND(G342=1)*AND(F342=1))</f>
        <v>0</v>
      </c>
      <c r="K342" s="16">
        <v>0</v>
      </c>
      <c r="L342" s="16">
        <f>(J342*K342%)+J342</f>
        <v>0</v>
      </c>
      <c r="M342" s="118" t="s">
        <v>378</v>
      </c>
      <c r="N342" s="118" t="s">
        <v>107</v>
      </c>
      <c r="O342" s="1"/>
      <c r="P342" s="1" t="s">
        <v>452</v>
      </c>
      <c r="Q342" s="1">
        <v>1.49E-2</v>
      </c>
      <c r="R342" s="16">
        <f>(L342*Q342)</f>
        <v>0</v>
      </c>
      <c r="S342" s="35">
        <v>0</v>
      </c>
      <c r="T342" s="35">
        <v>1</v>
      </c>
      <c r="U342" s="16">
        <f>(Q342*S342)</f>
        <v>0</v>
      </c>
      <c r="V342" s="6">
        <f>(R342*T342)</f>
        <v>0</v>
      </c>
      <c r="W342" s="6">
        <f>SUM(U342:V342)</f>
        <v>0</v>
      </c>
      <c r="X342" s="88">
        <f>($O$57)</f>
        <v>130</v>
      </c>
      <c r="Y342" s="122" t="e">
        <f>100-((W342*100)/Z342)</f>
        <v>#DIV/0!</v>
      </c>
      <c r="Z342" s="116">
        <f>(W342*X342%)+W342</f>
        <v>0</v>
      </c>
      <c r="AA342" s="156"/>
    </row>
    <row r="343" spans="1:28" ht="12.75">
      <c r="A343" s="9"/>
      <c r="B343" s="14"/>
      <c r="C343" s="14"/>
      <c r="D343" s="80" t="s">
        <v>401</v>
      </c>
      <c r="E343" s="80" t="s">
        <v>404</v>
      </c>
      <c r="F343" s="118">
        <f>IF(AND($P$32=E343,$P$34=D343),$Z$69,IF(AND($P$32=E343,$P$34=D343),1,0))</f>
        <v>0</v>
      </c>
      <c r="G343" s="14">
        <v>1</v>
      </c>
      <c r="H343" s="118">
        <f>IF(AND($P$32=E343,$P$34=D343),$Q$10,0)</f>
        <v>0</v>
      </c>
      <c r="I343" s="16">
        <v>3</v>
      </c>
      <c r="J343" s="16">
        <f>((H343*I343)*AND(G343=1)*AND(F343=1))</f>
        <v>0</v>
      </c>
      <c r="K343" s="16">
        <v>0</v>
      </c>
      <c r="L343" s="16">
        <f>(J343*K343%)+J343</f>
        <v>0</v>
      </c>
      <c r="M343" s="118" t="s">
        <v>378</v>
      </c>
      <c r="N343" s="118" t="s">
        <v>135</v>
      </c>
      <c r="O343" s="1"/>
      <c r="P343" s="1" t="s">
        <v>452</v>
      </c>
      <c r="Q343" s="1">
        <v>1.49E-2</v>
      </c>
      <c r="R343" s="16">
        <f>(L343*Q343)</f>
        <v>0</v>
      </c>
      <c r="S343" s="35">
        <v>0</v>
      </c>
      <c r="T343" s="35">
        <v>1</v>
      </c>
      <c r="U343" s="16">
        <f>(Q343*S343)</f>
        <v>0</v>
      </c>
      <c r="V343" s="6">
        <f>(R343*T343)</f>
        <v>0</v>
      </c>
      <c r="W343" s="6">
        <f>SUM(U343:V343)</f>
        <v>0</v>
      </c>
      <c r="X343" s="88">
        <f>($O$57)</f>
        <v>130</v>
      </c>
      <c r="Y343" s="122" t="e">
        <f>100-((W343*100)/Z343)</f>
        <v>#DIV/0!</v>
      </c>
      <c r="Z343" s="116">
        <f>(W343*X343%)+W343</f>
        <v>0</v>
      </c>
      <c r="AA343" s="156"/>
    </row>
    <row r="344" spans="1:28" ht="12.75">
      <c r="A344" s="9"/>
      <c r="B344" s="14"/>
      <c r="C344" s="14"/>
      <c r="D344" s="14"/>
      <c r="E344" s="80"/>
      <c r="F344" s="9"/>
      <c r="G344" s="14"/>
      <c r="H344" s="16"/>
      <c r="I344" s="16"/>
      <c r="J344" s="16"/>
      <c r="K344" s="16"/>
      <c r="L344" s="16"/>
      <c r="M344" s="118"/>
      <c r="N344" s="118"/>
      <c r="O344" s="1"/>
      <c r="P344" s="1"/>
      <c r="Q344" s="167"/>
      <c r="R344" s="16"/>
      <c r="S344" s="35"/>
      <c r="T344" s="35"/>
      <c r="U344" s="16"/>
      <c r="V344" s="6"/>
      <c r="W344" s="6"/>
      <c r="X344" s="160"/>
      <c r="Y344" s="122"/>
      <c r="Z344" s="116"/>
      <c r="AA344" s="156"/>
    </row>
    <row r="345" spans="1:28" ht="12.75">
      <c r="A345" s="144" t="s">
        <v>172</v>
      </c>
      <c r="B345" s="145"/>
      <c r="C345" s="145"/>
      <c r="D345" s="145"/>
      <c r="E345" s="145"/>
      <c r="F345" s="146"/>
      <c r="G345" s="147"/>
      <c r="H345" s="148"/>
      <c r="I345" s="148"/>
      <c r="J345" s="148"/>
      <c r="K345" s="148"/>
      <c r="L345" s="148"/>
      <c r="M345" s="149"/>
      <c r="N345" s="149"/>
      <c r="O345" s="149"/>
      <c r="P345" s="150"/>
      <c r="Q345" s="148"/>
      <c r="R345" s="148"/>
      <c r="S345" s="151"/>
      <c r="T345" s="151"/>
      <c r="U345" s="148"/>
      <c r="V345" s="152"/>
      <c r="W345" s="152"/>
      <c r="X345" s="153"/>
      <c r="Y345" s="154"/>
      <c r="Z345" s="155"/>
      <c r="AA345" s="156"/>
    </row>
    <row r="346" spans="1:28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1"/>
      <c r="N346" s="1"/>
      <c r="O346" s="1"/>
      <c r="P346" s="1"/>
      <c r="Q346" s="1"/>
      <c r="R346" s="1"/>
      <c r="S346" s="56"/>
      <c r="T346" s="8"/>
      <c r="U346" s="16"/>
      <c r="V346" s="6"/>
      <c r="W346" s="6"/>
      <c r="X346" s="3"/>
      <c r="Y346" s="56"/>
      <c r="Z346" s="128"/>
      <c r="AA346" s="168"/>
    </row>
    <row r="347" spans="1:28" ht="12.75">
      <c r="A347" s="1"/>
      <c r="B347" s="14"/>
      <c r="C347" s="14"/>
      <c r="D347" s="14"/>
      <c r="E347" s="14"/>
      <c r="F347" s="9">
        <v>1</v>
      </c>
      <c r="G347" s="14">
        <v>1</v>
      </c>
      <c r="H347" s="16">
        <v>1</v>
      </c>
      <c r="I347" s="16">
        <v>1</v>
      </c>
      <c r="J347" s="16">
        <f>((H347*I347)*AND(G347=1)*AND(F347=1))</f>
        <v>1</v>
      </c>
      <c r="K347" s="16">
        <v>0</v>
      </c>
      <c r="L347" s="16">
        <f>(J347*K347%)+J347</f>
        <v>1</v>
      </c>
      <c r="M347" s="118" t="s">
        <v>155</v>
      </c>
      <c r="N347" s="118" t="s">
        <v>189</v>
      </c>
      <c r="O347" s="1"/>
      <c r="P347" s="1" t="s">
        <v>113</v>
      </c>
      <c r="Q347" s="6">
        <v>3.81</v>
      </c>
      <c r="R347" s="16">
        <f>(L347*Q347)</f>
        <v>3.81</v>
      </c>
      <c r="S347" s="35">
        <v>0</v>
      </c>
      <c r="T347" s="35">
        <v>1</v>
      </c>
      <c r="U347" s="16">
        <f>(Q347*S347)</f>
        <v>0</v>
      </c>
      <c r="V347" s="6">
        <f>(R347*T347)</f>
        <v>3.81</v>
      </c>
      <c r="W347" s="6">
        <f>SUM(U347:V347)</f>
        <v>3.81</v>
      </c>
      <c r="X347" s="88">
        <f>($O$57)</f>
        <v>130</v>
      </c>
      <c r="Y347" s="122">
        <f>100-((W347*100)/Z347)</f>
        <v>56.521739130434781</v>
      </c>
      <c r="Z347" s="116">
        <f>(W347*X347%)+W347</f>
        <v>8.7629999999999999</v>
      </c>
      <c r="AA347" s="158">
        <v>0.5</v>
      </c>
      <c r="AB347" s="159">
        <f>(F347*(H347*AA347))</f>
        <v>0.5</v>
      </c>
    </row>
    <row r="348" spans="1:28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1"/>
      <c r="N348" s="1"/>
      <c r="O348" s="1"/>
      <c r="P348" s="1"/>
      <c r="Q348" s="6"/>
      <c r="R348" s="16"/>
      <c r="S348" s="56"/>
      <c r="T348" s="8"/>
      <c r="U348" s="16"/>
      <c r="V348" s="6"/>
      <c r="W348" s="6"/>
      <c r="X348" s="3"/>
      <c r="Y348" s="56"/>
      <c r="Z348" s="128"/>
      <c r="AA348" s="168"/>
    </row>
    <row r="349" spans="1:28" ht="12.75">
      <c r="A349" s="144" t="s">
        <v>250</v>
      </c>
      <c r="B349" s="145"/>
      <c r="C349" s="145"/>
      <c r="D349" s="145"/>
      <c r="E349" s="145"/>
      <c r="F349" s="146"/>
      <c r="G349" s="147"/>
      <c r="H349" s="148"/>
      <c r="I349" s="148"/>
      <c r="J349" s="148"/>
      <c r="K349" s="148"/>
      <c r="L349" s="148"/>
      <c r="M349" s="149"/>
      <c r="N349" s="149"/>
      <c r="O349" s="149"/>
      <c r="P349" s="150"/>
      <c r="Q349" s="148"/>
      <c r="R349" s="148"/>
      <c r="S349" s="151"/>
      <c r="T349" s="151"/>
      <c r="U349" s="148"/>
      <c r="V349" s="152"/>
      <c r="W349" s="152"/>
      <c r="X349" s="153"/>
      <c r="Y349" s="154"/>
      <c r="Z349" s="155"/>
      <c r="AA349" s="156"/>
    </row>
    <row r="350" spans="1:28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1"/>
      <c r="N350" s="1"/>
      <c r="O350" s="1"/>
      <c r="P350" s="1"/>
      <c r="Q350" s="6"/>
      <c r="R350" s="16"/>
      <c r="S350" s="56"/>
      <c r="T350" s="8"/>
      <c r="U350" s="16"/>
      <c r="V350" s="6"/>
      <c r="W350" s="6"/>
      <c r="X350" s="3"/>
      <c r="Y350" s="56"/>
      <c r="Z350" s="128"/>
      <c r="AA350" s="168"/>
    </row>
    <row r="351" spans="1:28" ht="12.75">
      <c r="A351" s="1"/>
      <c r="B351" s="14"/>
      <c r="C351" s="14"/>
      <c r="D351" s="14"/>
      <c r="E351" s="80" t="s">
        <v>400</v>
      </c>
      <c r="F351" s="118">
        <f>IF(AND($P$32=E351),1,0)</f>
        <v>0</v>
      </c>
      <c r="G351" s="14">
        <v>1</v>
      </c>
      <c r="H351" s="169">
        <f>IF(AND($P$32=E351),$P$83,0)</f>
        <v>0</v>
      </c>
      <c r="I351" s="16">
        <v>1</v>
      </c>
      <c r="J351" s="16">
        <f>((H351*I351)*AND(G351=1)*AND(F351=1))</f>
        <v>0</v>
      </c>
      <c r="K351" s="16">
        <v>0</v>
      </c>
      <c r="L351" s="16">
        <f>(J351*K351%)+J351</f>
        <v>0</v>
      </c>
      <c r="M351" s="118" t="s">
        <v>339</v>
      </c>
      <c r="N351" s="118" t="s">
        <v>228</v>
      </c>
      <c r="O351" s="1"/>
      <c r="P351" s="1" t="s">
        <v>104</v>
      </c>
      <c r="Q351" s="6">
        <v>30</v>
      </c>
      <c r="R351" s="16">
        <f>(L351*Q351)</f>
        <v>0</v>
      </c>
      <c r="S351" s="35">
        <v>0</v>
      </c>
      <c r="T351" s="35">
        <v>1</v>
      </c>
      <c r="U351" s="16">
        <f t="shared" ref="U351:V353" si="128">(Q351*S351)</f>
        <v>0</v>
      </c>
      <c r="V351" s="6">
        <f t="shared" si="128"/>
        <v>0</v>
      </c>
      <c r="W351" s="6">
        <f>SUM(U351:V351)</f>
        <v>0</v>
      </c>
      <c r="X351" s="88">
        <f>($O$57)</f>
        <v>130</v>
      </c>
      <c r="Y351" s="122" t="e">
        <f>100-((W351*100)/Z351)</f>
        <v>#DIV/0!</v>
      </c>
      <c r="Z351" s="116">
        <f>(W351*X351%)+W351</f>
        <v>0</v>
      </c>
      <c r="AA351" s="156"/>
    </row>
    <row r="352" spans="1:28" ht="12.75">
      <c r="A352" s="1"/>
      <c r="B352" s="14"/>
      <c r="C352" s="14"/>
      <c r="D352" s="14"/>
      <c r="E352" s="80" t="s">
        <v>400</v>
      </c>
      <c r="F352" s="118">
        <f>IF(AND($P$32=E352),1,0)</f>
        <v>0</v>
      </c>
      <c r="G352" s="14">
        <v>1</v>
      </c>
      <c r="H352" s="169">
        <f>IF(AND($P$32=E352),$P$84,0)</f>
        <v>0</v>
      </c>
      <c r="I352" s="16">
        <v>1</v>
      </c>
      <c r="J352" s="16">
        <f>((H352*I352)*AND(G352=1)*AND(F352=1))</f>
        <v>0</v>
      </c>
      <c r="K352" s="16">
        <v>0</v>
      </c>
      <c r="L352" s="16">
        <f>(J352*K352%)+J352</f>
        <v>0</v>
      </c>
      <c r="M352" s="118" t="s">
        <v>339</v>
      </c>
      <c r="N352" s="118" t="s">
        <v>433</v>
      </c>
      <c r="O352" s="1"/>
      <c r="P352" s="1" t="s">
        <v>104</v>
      </c>
      <c r="Q352" s="6">
        <v>30</v>
      </c>
      <c r="R352" s="16">
        <f>(L352*Q352)</f>
        <v>0</v>
      </c>
      <c r="S352" s="35">
        <v>0</v>
      </c>
      <c r="T352" s="35">
        <v>1</v>
      </c>
      <c r="U352" s="16">
        <f t="shared" si="128"/>
        <v>0</v>
      </c>
      <c r="V352" s="6">
        <f t="shared" si="128"/>
        <v>0</v>
      </c>
      <c r="W352" s="6">
        <f>SUM(U352:V352)</f>
        <v>0</v>
      </c>
      <c r="X352" s="88">
        <f>($O$57)</f>
        <v>130</v>
      </c>
      <c r="Y352" s="122" t="e">
        <f>100-((W352*100)/Z352)</f>
        <v>#DIV/0!</v>
      </c>
      <c r="Z352" s="116">
        <f>(W352*X352%)+W352</f>
        <v>0</v>
      </c>
      <c r="AA352" s="156"/>
    </row>
    <row r="353" spans="1:68" ht="12.75">
      <c r="A353" s="1"/>
      <c r="B353" s="14"/>
      <c r="C353" s="14"/>
      <c r="D353" s="80" t="s">
        <v>401</v>
      </c>
      <c r="E353" s="80" t="s">
        <v>400</v>
      </c>
      <c r="F353" s="118">
        <f>IF(AND($P$32=E353,$P$34=D353),1,0)</f>
        <v>0</v>
      </c>
      <c r="G353" s="14">
        <v>1</v>
      </c>
      <c r="H353" s="169">
        <f>IF(AND($P$32=E353,$P$34=D353),$P$99,0)</f>
        <v>0</v>
      </c>
      <c r="I353" s="16">
        <v>1</v>
      </c>
      <c r="J353" s="16">
        <f>((H353*I353)*AND(G353=1)*AND(F353=1))</f>
        <v>0</v>
      </c>
      <c r="K353" s="16">
        <v>0</v>
      </c>
      <c r="L353" s="16">
        <f>(J353*K353%)+J353</f>
        <v>0</v>
      </c>
      <c r="M353" s="118" t="s">
        <v>339</v>
      </c>
      <c r="N353" s="118" t="s">
        <v>284</v>
      </c>
      <c r="O353" s="1"/>
      <c r="P353" s="1" t="s">
        <v>104</v>
      </c>
      <c r="Q353" s="6">
        <v>30</v>
      </c>
      <c r="R353" s="16">
        <f>(L353*Q353)</f>
        <v>0</v>
      </c>
      <c r="S353" s="35">
        <v>0</v>
      </c>
      <c r="T353" s="35">
        <v>1</v>
      </c>
      <c r="U353" s="16">
        <f t="shared" si="128"/>
        <v>0</v>
      </c>
      <c r="V353" s="6">
        <f t="shared" si="128"/>
        <v>0</v>
      </c>
      <c r="W353" s="6">
        <f>SUM(U353:V353)</f>
        <v>0</v>
      </c>
      <c r="X353" s="88">
        <f>($O$57)</f>
        <v>130</v>
      </c>
      <c r="Y353" s="122" t="e">
        <f>100-((W353*100)/Z353)</f>
        <v>#DIV/0!</v>
      </c>
      <c r="Z353" s="116">
        <f>(W353*X353%)+W353</f>
        <v>0</v>
      </c>
      <c r="AA353" s="156"/>
    </row>
    <row r="354" spans="1:68" ht="12.75">
      <c r="A354" s="1"/>
      <c r="B354" s="14"/>
      <c r="C354" s="14"/>
      <c r="D354" s="80"/>
      <c r="E354" s="80"/>
      <c r="F354" s="118"/>
      <c r="G354" s="14"/>
      <c r="H354" s="169"/>
      <c r="I354" s="16"/>
      <c r="J354" s="16"/>
      <c r="K354" s="16"/>
      <c r="L354" s="16"/>
      <c r="M354" s="118"/>
      <c r="N354" s="118"/>
      <c r="O354" s="1"/>
      <c r="P354" s="1"/>
      <c r="Q354" s="6"/>
      <c r="R354" s="16"/>
      <c r="S354" s="35"/>
      <c r="T354" s="35"/>
      <c r="U354" s="16"/>
      <c r="V354" s="6"/>
      <c r="W354" s="6"/>
      <c r="X354" s="82"/>
      <c r="Y354" s="122"/>
      <c r="Z354" s="116"/>
      <c r="AA354" s="156"/>
    </row>
    <row r="355" spans="1:68" ht="12.75">
      <c r="A355" s="1"/>
      <c r="B355" s="14"/>
      <c r="C355" s="14"/>
      <c r="D355" s="14"/>
      <c r="E355" s="80" t="s">
        <v>402</v>
      </c>
      <c r="F355" s="118">
        <f>IF(AND($P$32=E355),1,0)</f>
        <v>1</v>
      </c>
      <c r="G355" s="14">
        <v>1</v>
      </c>
      <c r="H355" s="169">
        <f>IF(AND($P$32=E355),$P$85,0)</f>
        <v>0.6333333333333333</v>
      </c>
      <c r="I355" s="16">
        <v>1</v>
      </c>
      <c r="J355" s="16">
        <f>((H355*I355)*AND(G355=1)*AND(F355=1))</f>
        <v>0.6333333333333333</v>
      </c>
      <c r="K355" s="16">
        <v>0</v>
      </c>
      <c r="L355" s="16">
        <f>(J355*K355%)+J355</f>
        <v>0.6333333333333333</v>
      </c>
      <c r="M355" s="118" t="s">
        <v>339</v>
      </c>
      <c r="N355" s="118" t="s">
        <v>434</v>
      </c>
      <c r="O355" s="1"/>
      <c r="P355" s="1" t="s">
        <v>104</v>
      </c>
      <c r="Q355" s="6">
        <v>30</v>
      </c>
      <c r="R355" s="16">
        <f>(L355*Q355)</f>
        <v>19</v>
      </c>
      <c r="S355" s="35">
        <v>0</v>
      </c>
      <c r="T355" s="35">
        <v>1</v>
      </c>
      <c r="U355" s="16">
        <f t="shared" ref="U355:V357" si="129">(Q355*S355)</f>
        <v>0</v>
      </c>
      <c r="V355" s="6">
        <f t="shared" si="129"/>
        <v>19</v>
      </c>
      <c r="W355" s="6">
        <f>SUM(U355:V355)</f>
        <v>19</v>
      </c>
      <c r="X355" s="88">
        <f>($O$57)</f>
        <v>130</v>
      </c>
      <c r="Y355" s="122">
        <f>100-((W355*100)/Z355)</f>
        <v>56.521739130434788</v>
      </c>
      <c r="Z355" s="116">
        <f>(W355*X355%)+W355</f>
        <v>43.7</v>
      </c>
      <c r="AA355" s="156"/>
    </row>
    <row r="356" spans="1:68" ht="12.75">
      <c r="A356" s="1"/>
      <c r="B356" s="14"/>
      <c r="C356" s="14"/>
      <c r="D356" s="14"/>
      <c r="E356" s="80" t="s">
        <v>402</v>
      </c>
      <c r="F356" s="118">
        <f>IF(AND($P$32=E356),1,0)</f>
        <v>1</v>
      </c>
      <c r="G356" s="14">
        <v>1</v>
      </c>
      <c r="H356" s="169">
        <f>IF(AND($P$32=E356),$P$86,0)</f>
        <v>0</v>
      </c>
      <c r="I356" s="16">
        <v>1</v>
      </c>
      <c r="J356" s="16">
        <f>((H356*I356)*AND(G356=1)*AND(F356=1))</f>
        <v>0</v>
      </c>
      <c r="K356" s="16">
        <v>0</v>
      </c>
      <c r="L356" s="16">
        <f>(J356*K356%)+J356</f>
        <v>0</v>
      </c>
      <c r="M356" s="118" t="s">
        <v>339</v>
      </c>
      <c r="N356" s="118" t="s">
        <v>435</v>
      </c>
      <c r="O356" s="1"/>
      <c r="P356" s="1" t="s">
        <v>104</v>
      </c>
      <c r="Q356" s="6">
        <v>30</v>
      </c>
      <c r="R356" s="16">
        <f>(L356*Q356)</f>
        <v>0</v>
      </c>
      <c r="S356" s="35">
        <v>0</v>
      </c>
      <c r="T356" s="35">
        <v>1</v>
      </c>
      <c r="U356" s="16">
        <f t="shared" si="129"/>
        <v>0</v>
      </c>
      <c r="V356" s="6">
        <f t="shared" si="129"/>
        <v>0</v>
      </c>
      <c r="W356" s="6">
        <f>SUM(U356:V356)</f>
        <v>0</v>
      </c>
      <c r="X356" s="88">
        <f>($O$57)</f>
        <v>130</v>
      </c>
      <c r="Y356" s="122" t="e">
        <f>100-((W356*100)/Z356)</f>
        <v>#DIV/0!</v>
      </c>
      <c r="Z356" s="116">
        <f>(W356*X356%)+W356</f>
        <v>0</v>
      </c>
      <c r="AA356" s="156"/>
    </row>
    <row r="357" spans="1:68" ht="12.75">
      <c r="A357" s="1"/>
      <c r="B357" s="14"/>
      <c r="C357" s="14"/>
      <c r="D357" s="80" t="s">
        <v>401</v>
      </c>
      <c r="E357" s="80" t="s">
        <v>402</v>
      </c>
      <c r="F357" s="118">
        <f>IF(AND($P$32=E357,$P$34=D357),1,0)</f>
        <v>1</v>
      </c>
      <c r="G357" s="14">
        <v>1</v>
      </c>
      <c r="H357" s="169">
        <f>IF(AND($P$32=E357,$P$34=D357),$P$100,0)</f>
        <v>0.20833333333333334</v>
      </c>
      <c r="I357" s="16">
        <v>1</v>
      </c>
      <c r="J357" s="16">
        <f>((H357*I357)*AND(G357=1)*AND(F357=1))</f>
        <v>0.20833333333333334</v>
      </c>
      <c r="K357" s="16">
        <v>0</v>
      </c>
      <c r="L357" s="16">
        <f>(J357*K357%)+J357</f>
        <v>0.20833333333333334</v>
      </c>
      <c r="M357" s="118" t="s">
        <v>339</v>
      </c>
      <c r="N357" s="118" t="s">
        <v>285</v>
      </c>
      <c r="O357" s="1"/>
      <c r="P357" s="1" t="s">
        <v>104</v>
      </c>
      <c r="Q357" s="6">
        <v>30</v>
      </c>
      <c r="R357" s="16">
        <f>(L357*Q357)</f>
        <v>6.25</v>
      </c>
      <c r="S357" s="35">
        <v>0</v>
      </c>
      <c r="T357" s="35">
        <v>1</v>
      </c>
      <c r="U357" s="16">
        <f t="shared" si="129"/>
        <v>0</v>
      </c>
      <c r="V357" s="6">
        <f t="shared" si="129"/>
        <v>6.25</v>
      </c>
      <c r="W357" s="6">
        <f>SUM(U357:V357)</f>
        <v>6.25</v>
      </c>
      <c r="X357" s="88">
        <f>($O$57)</f>
        <v>130</v>
      </c>
      <c r="Y357" s="122">
        <f>100-((W357*100)/Z357)</f>
        <v>56.521739130434781</v>
      </c>
      <c r="Z357" s="116">
        <f>(W357*X357%)+W357</f>
        <v>14.375</v>
      </c>
      <c r="AA357" s="156"/>
      <c r="BG357" s="39">
        <v>2</v>
      </c>
      <c r="BH357" s="39">
        <v>5</v>
      </c>
      <c r="BI357" s="39">
        <v>3</v>
      </c>
      <c r="BJ357" s="39">
        <v>3</v>
      </c>
      <c r="BK357" s="164">
        <v>4</v>
      </c>
      <c r="BL357" s="78">
        <v>4</v>
      </c>
      <c r="BM357" s="78">
        <v>5</v>
      </c>
      <c r="BN357" s="78">
        <v>5</v>
      </c>
      <c r="BP357" s="165" t="str">
        <f>IF(AND(BG357=BH357,BI357=BJ357),"aaa",IF(AND(BK357=BL357,BM357=BN357),"bbb"))</f>
        <v>bbb</v>
      </c>
    </row>
    <row r="358" spans="1:68" ht="12.75">
      <c r="A358" s="1"/>
      <c r="B358" s="14"/>
      <c r="C358" s="14"/>
      <c r="D358" s="14"/>
      <c r="E358" s="80"/>
      <c r="F358" s="9"/>
      <c r="G358" s="14"/>
      <c r="H358" s="16"/>
      <c r="I358" s="16"/>
      <c r="J358" s="16"/>
      <c r="K358" s="16"/>
      <c r="L358" s="16"/>
      <c r="M358" s="118"/>
      <c r="N358" s="118"/>
      <c r="O358" s="1"/>
      <c r="P358" s="1"/>
      <c r="Q358" s="6"/>
      <c r="R358" s="16"/>
      <c r="S358" s="35"/>
      <c r="T358" s="35"/>
      <c r="U358" s="16"/>
      <c r="V358" s="6"/>
      <c r="W358" s="6"/>
      <c r="X358" s="160"/>
      <c r="Y358" s="122"/>
      <c r="Z358" s="116"/>
      <c r="AA358" s="156"/>
    </row>
    <row r="359" spans="1:68" ht="12.75">
      <c r="A359" s="1"/>
      <c r="B359" s="14"/>
      <c r="C359" s="14"/>
      <c r="D359" s="14"/>
      <c r="E359" s="80" t="s">
        <v>403</v>
      </c>
      <c r="F359" s="118">
        <f>IF(AND($P$32=E359),1,0)</f>
        <v>0</v>
      </c>
      <c r="G359" s="14">
        <v>1</v>
      </c>
      <c r="H359" s="169">
        <f>IF(AND($P$32=E359),$P$87,0)</f>
        <v>0</v>
      </c>
      <c r="I359" s="16">
        <v>1</v>
      </c>
      <c r="J359" s="16">
        <f>((H359*I359)*AND(G359=1)*AND(F359=1))</f>
        <v>0</v>
      </c>
      <c r="K359" s="16">
        <v>0</v>
      </c>
      <c r="L359" s="16">
        <f>(J359*K359%)+J359</f>
        <v>0</v>
      </c>
      <c r="M359" s="118" t="s">
        <v>339</v>
      </c>
      <c r="N359" s="118" t="s">
        <v>187</v>
      </c>
      <c r="O359" s="1"/>
      <c r="P359" s="1" t="s">
        <v>104</v>
      </c>
      <c r="Q359" s="6">
        <v>30</v>
      </c>
      <c r="R359" s="16">
        <f>(L359*Q359)</f>
        <v>0</v>
      </c>
      <c r="S359" s="35">
        <v>0</v>
      </c>
      <c r="T359" s="35">
        <v>1</v>
      </c>
      <c r="U359" s="16">
        <f t="shared" ref="U359:V361" si="130">(Q359*S359)</f>
        <v>0</v>
      </c>
      <c r="V359" s="6">
        <f t="shared" si="130"/>
        <v>0</v>
      </c>
      <c r="W359" s="6">
        <f>SUM(U359:V359)</f>
        <v>0</v>
      </c>
      <c r="X359" s="88">
        <f>($O$57)</f>
        <v>130</v>
      </c>
      <c r="Y359" s="122" t="e">
        <f>100-((W359*100)/Z359)</f>
        <v>#DIV/0!</v>
      </c>
      <c r="Z359" s="116">
        <f>(W359*X359%)+W359</f>
        <v>0</v>
      </c>
      <c r="AA359" s="156"/>
    </row>
    <row r="360" spans="1:68" ht="12.75">
      <c r="A360" s="1"/>
      <c r="B360" s="14"/>
      <c r="C360" s="14"/>
      <c r="D360" s="14"/>
      <c r="E360" s="80" t="s">
        <v>403</v>
      </c>
      <c r="F360" s="118">
        <f>IF(AND($P$32=E360),1,0)</f>
        <v>0</v>
      </c>
      <c r="G360" s="14">
        <v>1</v>
      </c>
      <c r="H360" s="169">
        <f>IF(AND($P$32=E360),$P$88,0)</f>
        <v>0</v>
      </c>
      <c r="I360" s="16">
        <v>1</v>
      </c>
      <c r="J360" s="16">
        <f>((H360*I360)*AND(G360=1)*AND(F360=1))</f>
        <v>0</v>
      </c>
      <c r="K360" s="16">
        <v>0</v>
      </c>
      <c r="L360" s="16">
        <f>(J360*K360%)+J360</f>
        <v>0</v>
      </c>
      <c r="M360" s="118" t="s">
        <v>339</v>
      </c>
      <c r="N360" s="118" t="s">
        <v>408</v>
      </c>
      <c r="O360" s="1"/>
      <c r="P360" s="1" t="s">
        <v>104</v>
      </c>
      <c r="Q360" s="6">
        <v>30</v>
      </c>
      <c r="R360" s="16">
        <f>(L360*Q360)</f>
        <v>0</v>
      </c>
      <c r="S360" s="35">
        <v>0</v>
      </c>
      <c r="T360" s="35">
        <v>1</v>
      </c>
      <c r="U360" s="16">
        <f t="shared" si="130"/>
        <v>0</v>
      </c>
      <c r="V360" s="6">
        <f t="shared" si="130"/>
        <v>0</v>
      </c>
      <c r="W360" s="6">
        <f>SUM(U360:V360)</f>
        <v>0</v>
      </c>
      <c r="X360" s="88">
        <f>($O$57)</f>
        <v>130</v>
      </c>
      <c r="Y360" s="122" t="e">
        <f>100-((W360*100)/Z360)</f>
        <v>#DIV/0!</v>
      </c>
      <c r="Z360" s="116">
        <f>(W360*X360%)+W360</f>
        <v>0</v>
      </c>
      <c r="AA360" s="156"/>
    </row>
    <row r="361" spans="1:68" ht="12.75">
      <c r="A361" s="1"/>
      <c r="B361" s="14"/>
      <c r="C361" s="14"/>
      <c r="D361" s="80" t="s">
        <v>401</v>
      </c>
      <c r="E361" s="80" t="s">
        <v>403</v>
      </c>
      <c r="F361" s="118">
        <f>IF(AND($P$32=E361,$P$34=D361),1,0)</f>
        <v>0</v>
      </c>
      <c r="G361" s="14">
        <v>1</v>
      </c>
      <c r="H361" s="169">
        <f>IF(AND($P$32=E361,$P$34=D361),$P$101,0)</f>
        <v>0</v>
      </c>
      <c r="I361" s="16">
        <v>1</v>
      </c>
      <c r="J361" s="16">
        <f>((H361*I361)*AND(G361=1)*AND(F361=1))</f>
        <v>0</v>
      </c>
      <c r="K361" s="16">
        <v>0</v>
      </c>
      <c r="L361" s="16">
        <f>(J361*K361%)+J361</f>
        <v>0</v>
      </c>
      <c r="M361" s="118" t="s">
        <v>339</v>
      </c>
      <c r="N361" s="118" t="s">
        <v>222</v>
      </c>
      <c r="O361" s="1"/>
      <c r="P361" s="1" t="s">
        <v>104</v>
      </c>
      <c r="Q361" s="6">
        <v>30</v>
      </c>
      <c r="R361" s="16">
        <f>(L361*Q361)</f>
        <v>0</v>
      </c>
      <c r="S361" s="35">
        <v>0</v>
      </c>
      <c r="T361" s="35">
        <v>1</v>
      </c>
      <c r="U361" s="16">
        <f t="shared" si="130"/>
        <v>0</v>
      </c>
      <c r="V361" s="6">
        <f t="shared" si="130"/>
        <v>0</v>
      </c>
      <c r="W361" s="6">
        <f>SUM(U361:V361)</f>
        <v>0</v>
      </c>
      <c r="X361" s="88">
        <f>($O$57)</f>
        <v>130</v>
      </c>
      <c r="Y361" s="122" t="e">
        <f>100-((W361*100)/Z361)</f>
        <v>#DIV/0!</v>
      </c>
      <c r="Z361" s="116">
        <f>(W361*X361%)+W361</f>
        <v>0</v>
      </c>
      <c r="AA361" s="156"/>
    </row>
    <row r="362" spans="1:68">
      <c r="A362" s="1"/>
      <c r="B362" s="1"/>
      <c r="C362" s="1"/>
      <c r="D362" s="1"/>
      <c r="E362" s="1"/>
      <c r="F362" s="1"/>
      <c r="G362" s="1"/>
      <c r="H362" s="16"/>
      <c r="I362" s="16"/>
      <c r="J362" s="16"/>
      <c r="K362" s="16"/>
      <c r="L362" s="16"/>
      <c r="M362" s="118"/>
      <c r="N362" s="118"/>
      <c r="O362" s="1"/>
      <c r="P362" s="1"/>
      <c r="Q362" s="6"/>
      <c r="R362" s="16"/>
      <c r="S362" s="8"/>
      <c r="T362" s="8"/>
      <c r="U362" s="16"/>
      <c r="V362" s="6"/>
      <c r="W362" s="6"/>
      <c r="X362" s="56"/>
      <c r="Y362" s="56"/>
      <c r="Z362" s="128"/>
      <c r="AA362" s="168"/>
    </row>
    <row r="363" spans="1:68" ht="12.75">
      <c r="A363" s="1"/>
      <c r="B363" s="14"/>
      <c r="C363" s="14"/>
      <c r="D363" s="14"/>
      <c r="E363" s="80" t="s">
        <v>404</v>
      </c>
      <c r="F363" s="118">
        <f>IF(AND($P$32=E363),1,0)</f>
        <v>0</v>
      </c>
      <c r="G363" s="14">
        <v>1</v>
      </c>
      <c r="H363" s="169">
        <f>IF(AND($P$32=E363),$P$89,0)</f>
        <v>0</v>
      </c>
      <c r="I363" s="16">
        <v>1</v>
      </c>
      <c r="J363" s="16">
        <f>((H363*I363)*AND(G363=1)*AND(F363=1))</f>
        <v>0</v>
      </c>
      <c r="K363" s="16">
        <v>0</v>
      </c>
      <c r="L363" s="16">
        <f>(J363*K363%)+J363</f>
        <v>0</v>
      </c>
      <c r="M363" s="118" t="s">
        <v>339</v>
      </c>
      <c r="N363" s="118" t="s">
        <v>236</v>
      </c>
      <c r="O363" s="1"/>
      <c r="P363" s="1" t="s">
        <v>104</v>
      </c>
      <c r="Q363" s="6">
        <v>30</v>
      </c>
      <c r="R363" s="16">
        <f>(L363*Q363)</f>
        <v>0</v>
      </c>
      <c r="S363" s="35">
        <v>0</v>
      </c>
      <c r="T363" s="35">
        <v>1</v>
      </c>
      <c r="U363" s="16">
        <f t="shared" ref="U363:V365" si="131">(Q363*S363)</f>
        <v>0</v>
      </c>
      <c r="V363" s="6">
        <f t="shared" si="131"/>
        <v>0</v>
      </c>
      <c r="W363" s="6">
        <f>SUM(U363:V363)</f>
        <v>0</v>
      </c>
      <c r="X363" s="88">
        <f>($O$57)</f>
        <v>130</v>
      </c>
      <c r="Y363" s="122" t="e">
        <f>100-((W363*100)/Z363)</f>
        <v>#DIV/0!</v>
      </c>
      <c r="Z363" s="116">
        <f>(W363*X363%)+W363</f>
        <v>0</v>
      </c>
      <c r="AA363" s="156"/>
    </row>
    <row r="364" spans="1:68" ht="12.75">
      <c r="A364" s="1"/>
      <c r="B364" s="14"/>
      <c r="C364" s="14"/>
      <c r="D364" s="14"/>
      <c r="E364" s="80" t="s">
        <v>404</v>
      </c>
      <c r="F364" s="118">
        <f>IF(AND($P$32=E364),1,0)</f>
        <v>0</v>
      </c>
      <c r="G364" s="14">
        <v>1</v>
      </c>
      <c r="H364" s="169">
        <f>IF(AND($P$32=E364),$P$90,0)</f>
        <v>0</v>
      </c>
      <c r="I364" s="16">
        <v>1</v>
      </c>
      <c r="J364" s="16">
        <f>((H364*I364)*AND(G364=1)*AND(F364=1))</f>
        <v>0</v>
      </c>
      <c r="K364" s="16">
        <v>0</v>
      </c>
      <c r="L364" s="16">
        <f>(J364*K364%)+J364</f>
        <v>0</v>
      </c>
      <c r="M364" s="118" t="s">
        <v>339</v>
      </c>
      <c r="N364" s="118" t="s">
        <v>24</v>
      </c>
      <c r="O364" s="1"/>
      <c r="P364" s="1" t="s">
        <v>104</v>
      </c>
      <c r="Q364" s="6">
        <v>30</v>
      </c>
      <c r="R364" s="16">
        <f>(L364*Q364)</f>
        <v>0</v>
      </c>
      <c r="S364" s="35">
        <v>0</v>
      </c>
      <c r="T364" s="35">
        <v>1</v>
      </c>
      <c r="U364" s="16">
        <f t="shared" si="131"/>
        <v>0</v>
      </c>
      <c r="V364" s="6">
        <f t="shared" si="131"/>
        <v>0</v>
      </c>
      <c r="W364" s="6">
        <f>SUM(U364:V364)</f>
        <v>0</v>
      </c>
      <c r="X364" s="88">
        <f>($O$57)</f>
        <v>130</v>
      </c>
      <c r="Y364" s="122" t="e">
        <f>100-((W364*100)/Z364)</f>
        <v>#DIV/0!</v>
      </c>
      <c r="Z364" s="116">
        <f>(W364*X364%)+W364</f>
        <v>0</v>
      </c>
      <c r="AA364" s="156"/>
    </row>
    <row r="365" spans="1:68" ht="12.75">
      <c r="A365" s="1"/>
      <c r="B365" s="14"/>
      <c r="C365" s="14"/>
      <c r="D365" s="80" t="s">
        <v>401</v>
      </c>
      <c r="E365" s="80" t="s">
        <v>404</v>
      </c>
      <c r="F365" s="118">
        <f>IF(AND($P$32=E365,$P$34=D365),1,0)</f>
        <v>0</v>
      </c>
      <c r="G365" s="14">
        <v>1</v>
      </c>
      <c r="H365" s="169">
        <f>IF(AND($P$32=E365,$P$34=D365),$P$102,0)</f>
        <v>0</v>
      </c>
      <c r="I365" s="16">
        <v>1</v>
      </c>
      <c r="J365" s="16">
        <f>((H365*I365)*AND(G365=1)*AND(F365=1))</f>
        <v>0</v>
      </c>
      <c r="K365" s="16">
        <v>0</v>
      </c>
      <c r="L365" s="16">
        <f>(J365*K365%)+J365</f>
        <v>0</v>
      </c>
      <c r="M365" s="118" t="s">
        <v>339</v>
      </c>
      <c r="N365" s="118" t="s">
        <v>329</v>
      </c>
      <c r="O365" s="1"/>
      <c r="P365" s="1" t="s">
        <v>104</v>
      </c>
      <c r="Q365" s="6">
        <v>30</v>
      </c>
      <c r="R365" s="16">
        <f>(L365*Q365)</f>
        <v>0</v>
      </c>
      <c r="S365" s="35">
        <v>0</v>
      </c>
      <c r="T365" s="35">
        <v>1</v>
      </c>
      <c r="U365" s="16">
        <f t="shared" si="131"/>
        <v>0</v>
      </c>
      <c r="V365" s="6">
        <f t="shared" si="131"/>
        <v>0</v>
      </c>
      <c r="W365" s="6">
        <f>SUM(U365:V365)</f>
        <v>0</v>
      </c>
      <c r="X365" s="88">
        <f>($O$57)</f>
        <v>130</v>
      </c>
      <c r="Y365" s="122" t="e">
        <f>100-((W365*100)/Z365)</f>
        <v>#DIV/0!</v>
      </c>
      <c r="Z365" s="116">
        <f>(W365*X365%)+W365</f>
        <v>0</v>
      </c>
      <c r="AA365" s="156"/>
    </row>
    <row r="366" spans="1:68" ht="12.75">
      <c r="A366" s="1"/>
      <c r="B366" s="14"/>
      <c r="C366" s="14"/>
      <c r="D366" s="14"/>
      <c r="E366" s="80"/>
      <c r="F366" s="9"/>
      <c r="G366" s="14"/>
      <c r="H366" s="15"/>
      <c r="I366" s="16"/>
      <c r="J366" s="16"/>
      <c r="K366" s="16"/>
      <c r="L366" s="16"/>
      <c r="M366" s="118"/>
      <c r="N366" s="118"/>
      <c r="O366" s="1"/>
      <c r="P366" s="1"/>
      <c r="Q366" s="6"/>
      <c r="R366" s="16"/>
      <c r="S366" s="35"/>
      <c r="T366" s="35"/>
      <c r="U366" s="16"/>
      <c r="V366" s="6"/>
      <c r="W366" s="6"/>
      <c r="X366" s="160"/>
      <c r="Y366" s="122"/>
      <c r="Z366" s="116"/>
      <c r="AA366" s="156"/>
    </row>
    <row r="367" spans="1:68" ht="12.75">
      <c r="A367" s="80"/>
      <c r="B367" s="14"/>
      <c r="C367" s="14"/>
      <c r="D367" s="14"/>
      <c r="E367" s="80" t="s">
        <v>394</v>
      </c>
      <c r="F367" s="118">
        <f>IF(AND($P$28=E367),1,0)</f>
        <v>1</v>
      </c>
      <c r="G367" s="14">
        <v>1</v>
      </c>
      <c r="H367" s="169">
        <f>IF(AND($P$28=E367),$P$91,0)</f>
        <v>0.31666666666666665</v>
      </c>
      <c r="I367" s="16">
        <v>1</v>
      </c>
      <c r="J367" s="16">
        <f>((H367*I367)*AND(G367=1)*AND(F367=1))</f>
        <v>0.31666666666666665</v>
      </c>
      <c r="K367" s="16">
        <v>0</v>
      </c>
      <c r="L367" s="16">
        <f>(J367*K367%)+J367</f>
        <v>0.31666666666666665</v>
      </c>
      <c r="M367" s="118" t="s">
        <v>339</v>
      </c>
      <c r="N367" s="9" t="s">
        <v>441</v>
      </c>
      <c r="O367" s="1"/>
      <c r="P367" s="1" t="s">
        <v>104</v>
      </c>
      <c r="Q367" s="6">
        <v>30</v>
      </c>
      <c r="R367" s="16">
        <f>(L367*Q367)</f>
        <v>9.5</v>
      </c>
      <c r="S367" s="35">
        <v>0</v>
      </c>
      <c r="T367" s="35">
        <v>1</v>
      </c>
      <c r="U367" s="16">
        <f>(Q367*S367)</f>
        <v>0</v>
      </c>
      <c r="V367" s="6">
        <f>(R367*T367)</f>
        <v>9.5</v>
      </c>
      <c r="W367" s="6">
        <f>SUM(U367:V367)</f>
        <v>9.5</v>
      </c>
      <c r="X367" s="88">
        <f>($O$57)</f>
        <v>130</v>
      </c>
      <c r="Y367" s="122">
        <f>100-((W367*100)/Z367)</f>
        <v>56.521739130434788</v>
      </c>
      <c r="Z367" s="116">
        <f>(W367*X367%)+W367</f>
        <v>21.85</v>
      </c>
      <c r="AA367" s="156"/>
    </row>
    <row r="368" spans="1:68" ht="12.75">
      <c r="A368" s="80"/>
      <c r="B368" s="14"/>
      <c r="C368" s="14"/>
      <c r="D368" s="14"/>
      <c r="E368" s="80" t="s">
        <v>394</v>
      </c>
      <c r="F368" s="118">
        <f>IF(AND($Q$28=E368),1,0)</f>
        <v>0</v>
      </c>
      <c r="G368" s="14">
        <v>1</v>
      </c>
      <c r="H368" s="169">
        <f>IF(AND($Q$28=E368),$P$92,0)</f>
        <v>0</v>
      </c>
      <c r="I368" s="16">
        <v>1</v>
      </c>
      <c r="J368" s="16">
        <f>((H368*I368)*AND(G368=1)*AND(F368=1))</f>
        <v>0</v>
      </c>
      <c r="K368" s="16">
        <v>0</v>
      </c>
      <c r="L368" s="16">
        <f>(J368*K368%)+J368</f>
        <v>0</v>
      </c>
      <c r="M368" s="118" t="s">
        <v>339</v>
      </c>
      <c r="N368" s="9" t="s">
        <v>36</v>
      </c>
      <c r="O368" s="1"/>
      <c r="P368" s="1" t="s">
        <v>104</v>
      </c>
      <c r="Q368" s="6">
        <v>30</v>
      </c>
      <c r="R368" s="16">
        <f>(L368*Q368)</f>
        <v>0</v>
      </c>
      <c r="S368" s="35">
        <v>0</v>
      </c>
      <c r="T368" s="35">
        <v>1</v>
      </c>
      <c r="U368" s="16">
        <f>(Q368*S368)</f>
        <v>0</v>
      </c>
      <c r="V368" s="6">
        <f>(R368*T368)</f>
        <v>0</v>
      </c>
      <c r="W368" s="6">
        <f>SUM(U368:V368)</f>
        <v>0</v>
      </c>
      <c r="X368" s="88">
        <f>($O$57)</f>
        <v>130</v>
      </c>
      <c r="Y368" s="122" t="e">
        <f>100-((W368*100)/Z368)</f>
        <v>#DIV/0!</v>
      </c>
      <c r="Z368" s="116">
        <f>(W368*X368%)+W368</f>
        <v>0</v>
      </c>
      <c r="AA368" s="156"/>
    </row>
    <row r="369" spans="1:28" ht="12.75">
      <c r="A369" s="80"/>
      <c r="B369" s="14"/>
      <c r="C369" s="14"/>
      <c r="D369" s="14"/>
      <c r="E369" s="80"/>
      <c r="F369" s="118"/>
      <c r="G369" s="14"/>
      <c r="H369" s="169"/>
      <c r="I369" s="16"/>
      <c r="J369" s="16"/>
      <c r="K369" s="16"/>
      <c r="L369" s="16"/>
      <c r="M369" s="118"/>
      <c r="N369" s="9"/>
      <c r="O369" s="1"/>
      <c r="P369" s="1"/>
      <c r="Q369" s="6"/>
      <c r="R369" s="16"/>
      <c r="S369" s="35"/>
      <c r="T369" s="35"/>
      <c r="U369" s="16"/>
      <c r="V369" s="6"/>
      <c r="W369" s="6"/>
      <c r="X369" s="84"/>
      <c r="Y369" s="122"/>
      <c r="Z369" s="116"/>
      <c r="AA369" s="156"/>
    </row>
    <row r="370" spans="1:28" ht="12.75">
      <c r="A370" s="1"/>
      <c r="B370" s="14"/>
      <c r="C370" s="14"/>
      <c r="D370" s="14"/>
      <c r="E370" s="80" t="s">
        <v>335</v>
      </c>
      <c r="F370" s="118">
        <f>IF(AND($P$28=E370),1,0)</f>
        <v>0</v>
      </c>
      <c r="G370" s="14">
        <v>1</v>
      </c>
      <c r="H370" s="169">
        <f>IF(AND($P$28=E370),$P$93,0)</f>
        <v>0</v>
      </c>
      <c r="I370" s="16">
        <v>1</v>
      </c>
      <c r="J370" s="16">
        <f>((H370*I370)*AND(G370=1)*AND(F370=1))</f>
        <v>0</v>
      </c>
      <c r="K370" s="16">
        <v>0</v>
      </c>
      <c r="L370" s="16">
        <f>(J370*K370%)+J370</f>
        <v>0</v>
      </c>
      <c r="M370" s="118" t="s">
        <v>339</v>
      </c>
      <c r="N370" s="118" t="s">
        <v>295</v>
      </c>
      <c r="O370" s="1"/>
      <c r="P370" s="1" t="s">
        <v>104</v>
      </c>
      <c r="Q370" s="6">
        <v>30</v>
      </c>
      <c r="R370" s="16">
        <f>(L370*Q370)</f>
        <v>0</v>
      </c>
      <c r="S370" s="35">
        <v>0</v>
      </c>
      <c r="T370" s="35">
        <v>1</v>
      </c>
      <c r="U370" s="16">
        <f t="shared" ref="U370:V372" si="132">(Q370*S370)</f>
        <v>0</v>
      </c>
      <c r="V370" s="6">
        <f t="shared" si="132"/>
        <v>0</v>
      </c>
      <c r="W370" s="6">
        <f>SUM(U370:V370)</f>
        <v>0</v>
      </c>
      <c r="X370" s="88">
        <f>($O$57)</f>
        <v>130</v>
      </c>
      <c r="Y370" s="122" t="e">
        <f>100-((W370*100)/Z370)</f>
        <v>#DIV/0!</v>
      </c>
      <c r="Z370" s="116">
        <f>(W370*X370%)+W370</f>
        <v>0</v>
      </c>
      <c r="AA370" s="156"/>
    </row>
    <row r="371" spans="1:28" ht="12.75">
      <c r="A371" s="1"/>
      <c r="B371" s="14"/>
      <c r="C371" s="14"/>
      <c r="D371" s="14"/>
      <c r="E371" s="80" t="s">
        <v>335</v>
      </c>
      <c r="F371" s="118">
        <f>IF(AND($Q$28=E371),1,0)</f>
        <v>0</v>
      </c>
      <c r="G371" s="14">
        <v>1</v>
      </c>
      <c r="H371" s="169">
        <f>IF(AND($Q$28=E371),$P$94,0)</f>
        <v>0</v>
      </c>
      <c r="I371" s="16">
        <v>1</v>
      </c>
      <c r="J371" s="16">
        <f>((H371*I371)*AND(G371=1)*AND(F371=1))</f>
        <v>0</v>
      </c>
      <c r="K371" s="16">
        <v>0</v>
      </c>
      <c r="L371" s="16">
        <f>(J371*K371%)+J371</f>
        <v>0</v>
      </c>
      <c r="M371" s="118" t="s">
        <v>339</v>
      </c>
      <c r="N371" s="118" t="s">
        <v>137</v>
      </c>
      <c r="O371" s="1"/>
      <c r="P371" s="1" t="s">
        <v>104</v>
      </c>
      <c r="Q371" s="6">
        <v>30</v>
      </c>
      <c r="R371" s="16">
        <f>(L371*Q371)</f>
        <v>0</v>
      </c>
      <c r="S371" s="35">
        <v>0</v>
      </c>
      <c r="T371" s="35">
        <v>1</v>
      </c>
      <c r="U371" s="16">
        <f t="shared" si="132"/>
        <v>0</v>
      </c>
      <c r="V371" s="6">
        <f t="shared" si="132"/>
        <v>0</v>
      </c>
      <c r="W371" s="6">
        <f>SUM(U371:V371)</f>
        <v>0</v>
      </c>
      <c r="X371" s="88">
        <f>($O$57)</f>
        <v>130</v>
      </c>
      <c r="Y371" s="122" t="e">
        <f>100-((W371*100)/Z371)</f>
        <v>#DIV/0!</v>
      </c>
      <c r="Z371" s="116">
        <f>(W371*X371%)+W371</f>
        <v>0</v>
      </c>
      <c r="AA371" s="156"/>
    </row>
    <row r="372" spans="1:28" ht="12.75">
      <c r="A372" s="1"/>
      <c r="B372" s="14"/>
      <c r="C372" s="14"/>
      <c r="D372" s="80" t="s">
        <v>401</v>
      </c>
      <c r="E372" s="80" t="s">
        <v>335</v>
      </c>
      <c r="F372" s="118">
        <f>IF(AND($P$28=E372,$P$34=D372),1,0)</f>
        <v>0</v>
      </c>
      <c r="G372" s="14">
        <v>1</v>
      </c>
      <c r="H372" s="169">
        <f>IF(AND($P$28=E372,$P$34=D372),$P$99,0)</f>
        <v>0</v>
      </c>
      <c r="I372" s="16">
        <v>1</v>
      </c>
      <c r="J372" s="16">
        <f>((H372*I372)*AND(G372=1)*AND(F372=1))</f>
        <v>0</v>
      </c>
      <c r="K372" s="16">
        <v>0</v>
      </c>
      <c r="L372" s="16">
        <f>(J372*K372%)+J372</f>
        <v>0</v>
      </c>
      <c r="M372" s="118" t="s">
        <v>339</v>
      </c>
      <c r="N372" s="118" t="s">
        <v>69</v>
      </c>
      <c r="O372" s="1"/>
      <c r="P372" s="1" t="s">
        <v>104</v>
      </c>
      <c r="Q372" s="6">
        <v>30</v>
      </c>
      <c r="R372" s="16">
        <f>(L372*Q372)</f>
        <v>0</v>
      </c>
      <c r="S372" s="35">
        <v>0</v>
      </c>
      <c r="T372" s="35">
        <v>1</v>
      </c>
      <c r="U372" s="16">
        <f t="shared" si="132"/>
        <v>0</v>
      </c>
      <c r="V372" s="6">
        <f t="shared" si="132"/>
        <v>0</v>
      </c>
      <c r="W372" s="6">
        <f>SUM(U372:V372)</f>
        <v>0</v>
      </c>
      <c r="X372" s="88">
        <f>($O$57)</f>
        <v>130</v>
      </c>
      <c r="Y372" s="122" t="e">
        <f>100-((W372*100)/Z372)</f>
        <v>#DIV/0!</v>
      </c>
      <c r="Z372" s="116">
        <f>(W372*X372%)+W372</f>
        <v>0</v>
      </c>
      <c r="AA372" s="156"/>
    </row>
    <row r="373" spans="1:28">
      <c r="A373" s="1"/>
      <c r="B373" s="1"/>
      <c r="C373" s="1"/>
      <c r="D373" s="1"/>
      <c r="E373" s="1"/>
      <c r="F373" s="1"/>
      <c r="G373" s="1"/>
      <c r="H373" s="16"/>
      <c r="I373" s="16"/>
      <c r="J373" s="16"/>
      <c r="K373" s="16"/>
      <c r="L373" s="16"/>
      <c r="M373" s="118"/>
      <c r="N373" s="118"/>
      <c r="O373" s="1"/>
      <c r="P373" s="1"/>
      <c r="Q373" s="6"/>
      <c r="R373" s="16"/>
      <c r="S373" s="3"/>
      <c r="T373" s="8"/>
      <c r="U373" s="6"/>
      <c r="V373" s="6"/>
      <c r="W373" s="6"/>
      <c r="X373" s="56"/>
      <c r="Y373" s="56"/>
      <c r="Z373" s="1"/>
    </row>
    <row r="374" spans="1:28" s="113" customFormat="1" ht="17.25">
      <c r="A374" s="176" t="s">
        <v>292</v>
      </c>
      <c r="B374" s="20"/>
      <c r="C374" s="20"/>
      <c r="D374" s="20"/>
      <c r="E374" s="20"/>
      <c r="F374" s="20"/>
      <c r="G374" s="20"/>
      <c r="H374" s="20"/>
      <c r="I374" s="20"/>
      <c r="J374" s="107"/>
      <c r="K374" s="20"/>
      <c r="L374" s="20"/>
      <c r="M374" s="20"/>
      <c r="N374" s="107"/>
      <c r="O374" s="107"/>
      <c r="P374" s="20"/>
      <c r="Q374" s="20"/>
      <c r="R374" s="108"/>
      <c r="S374" s="108"/>
      <c r="T374" s="108"/>
      <c r="U374" s="108"/>
      <c r="V374" s="109"/>
      <c r="W374" s="20"/>
      <c r="X374" s="20"/>
      <c r="Y374" s="20"/>
      <c r="Z374" s="20"/>
    </row>
    <row r="375" spans="1:28" ht="12.7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1"/>
      <c r="N375" s="1"/>
      <c r="O375" s="1"/>
      <c r="P375" s="1"/>
      <c r="Q375" s="1"/>
      <c r="R375" s="6"/>
      <c r="S375" s="35"/>
      <c r="T375" s="35"/>
      <c r="U375" s="16"/>
      <c r="V375" s="6"/>
      <c r="W375" s="6"/>
      <c r="X375" s="160"/>
      <c r="Y375" s="122"/>
      <c r="Z375" s="116"/>
      <c r="AA375" s="156"/>
    </row>
    <row r="376" spans="1:28" s="26" customFormat="1" ht="12.75">
      <c r="A376" s="95"/>
      <c r="B376" s="95"/>
      <c r="C376" s="95"/>
      <c r="D376" s="95"/>
      <c r="E376" s="95"/>
      <c r="F376" s="95"/>
      <c r="G376" s="95"/>
      <c r="H376" s="96"/>
      <c r="I376" s="96"/>
      <c r="J376" s="96"/>
      <c r="K376" s="96"/>
      <c r="L376" s="96"/>
      <c r="M376" s="95"/>
      <c r="N376" s="4" t="s">
        <v>300</v>
      </c>
      <c r="O376" s="4"/>
      <c r="P376" s="4"/>
      <c r="Q376" s="4"/>
      <c r="R376" s="116">
        <f>SUM(R111:R375)</f>
        <v>626.40891999999997</v>
      </c>
      <c r="S376" s="8"/>
      <c r="T376" s="8"/>
      <c r="U376" s="6"/>
      <c r="V376" s="6"/>
      <c r="W376" s="94">
        <f>SUM(W111:W375)</f>
        <v>626.40891999999997</v>
      </c>
      <c r="X376" s="56"/>
      <c r="Y376" s="56"/>
      <c r="Z376" s="95"/>
      <c r="AB376" s="7">
        <f>SUM(AB111:AB375)</f>
        <v>87.27600000000001</v>
      </c>
    </row>
    <row r="377" spans="1:28" ht="12.7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1"/>
      <c r="N377" s="118"/>
      <c r="O377" s="118"/>
      <c r="P377" s="80" t="s">
        <v>320</v>
      </c>
      <c r="Q377" s="80" t="s">
        <v>302</v>
      </c>
      <c r="R377" s="94"/>
      <c r="S377" s="35"/>
      <c r="T377" s="35"/>
      <c r="U377" s="16"/>
      <c r="V377" s="6"/>
      <c r="W377" s="6"/>
      <c r="X377" s="160"/>
      <c r="Y377" s="122"/>
      <c r="Z377" s="116"/>
      <c r="AA377" s="156"/>
    </row>
    <row r="378" spans="1:28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1"/>
      <c r="N378" s="118"/>
      <c r="O378" s="118"/>
      <c r="P378" s="80" t="s">
        <v>150</v>
      </c>
      <c r="Q378" s="80" t="s">
        <v>150</v>
      </c>
      <c r="R378" s="9"/>
      <c r="S378" s="8"/>
      <c r="T378" s="8"/>
      <c r="U378" s="6"/>
      <c r="V378" s="6"/>
      <c r="W378" s="6"/>
      <c r="X378" s="56"/>
      <c r="Y378" s="56"/>
      <c r="Z378" s="1"/>
    </row>
    <row r="379" spans="1:28" ht="12.7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1"/>
      <c r="N379" s="118"/>
      <c r="O379" s="118"/>
      <c r="P379" s="80"/>
      <c r="Q379" s="80"/>
      <c r="R379" s="9"/>
      <c r="S379" s="35"/>
      <c r="T379" s="35"/>
      <c r="U379" s="16"/>
      <c r="V379" s="6"/>
      <c r="W379" s="6"/>
      <c r="X379" s="160"/>
      <c r="Y379" s="122"/>
      <c r="Z379" s="116"/>
      <c r="AA379" s="156"/>
    </row>
    <row r="380" spans="1:28" s="26" customFormat="1" ht="12.75">
      <c r="A380" s="95"/>
      <c r="B380" s="95"/>
      <c r="C380" s="95"/>
      <c r="D380" s="95"/>
      <c r="E380" s="95"/>
      <c r="F380" s="95"/>
      <c r="G380" s="95"/>
      <c r="H380" s="96"/>
      <c r="I380" s="96"/>
      <c r="J380" s="96"/>
      <c r="K380" s="96"/>
      <c r="L380" s="96"/>
      <c r="M380" s="95"/>
      <c r="N380" s="4" t="s">
        <v>249</v>
      </c>
      <c r="O380" s="4"/>
      <c r="P380" s="139">
        <f>($O$57)</f>
        <v>130</v>
      </c>
      <c r="Q380" s="123">
        <f>100-((R376*100)/R380)</f>
        <v>56.521739130434781</v>
      </c>
      <c r="R380" s="124">
        <f>(R376*P380%)+R376</f>
        <v>1440.7405159999998</v>
      </c>
      <c r="S380" s="3"/>
      <c r="T380" s="8"/>
      <c r="U380" s="6"/>
      <c r="V380" s="6"/>
      <c r="W380" s="6"/>
      <c r="X380" s="6"/>
      <c r="Y380" s="6"/>
      <c r="Z380" s="86">
        <f>SUM(Z111:Z373)</f>
        <v>1440.7405159999998</v>
      </c>
      <c r="AA380" s="170"/>
    </row>
    <row r="381" spans="1:28" s="26" customFormat="1" ht="12.75">
      <c r="A381" s="95"/>
      <c r="B381" s="95"/>
      <c r="C381" s="95"/>
      <c r="D381" s="95"/>
      <c r="E381" s="95"/>
      <c r="F381" s="95"/>
      <c r="G381" s="95"/>
      <c r="H381" s="96"/>
      <c r="I381" s="96"/>
      <c r="J381" s="96"/>
      <c r="K381" s="96"/>
      <c r="L381" s="96"/>
      <c r="M381" s="95"/>
      <c r="N381" s="4"/>
      <c r="O381" s="4"/>
      <c r="P381" s="64"/>
      <c r="Q381" s="4"/>
      <c r="R381" s="171"/>
      <c r="S381" s="3"/>
      <c r="T381" s="8"/>
      <c r="U381" s="6"/>
      <c r="V381" s="6"/>
      <c r="W381" s="6"/>
      <c r="X381" s="6"/>
      <c r="Y381" s="6"/>
      <c r="Z381" s="1"/>
      <c r="AA381" s="7"/>
    </row>
    <row r="382" spans="1:28" s="26" customFormat="1" ht="12.75">
      <c r="A382" s="95"/>
      <c r="B382" s="95"/>
      <c r="C382" s="95"/>
      <c r="D382" s="95"/>
      <c r="E382" s="95"/>
      <c r="F382" s="95"/>
      <c r="G382" s="95"/>
      <c r="H382" s="96"/>
      <c r="I382" s="96"/>
      <c r="J382" s="96"/>
      <c r="K382" s="96"/>
      <c r="L382" s="96"/>
      <c r="M382" s="95"/>
      <c r="N382" s="4" t="s">
        <v>451</v>
      </c>
      <c r="O382" s="4"/>
      <c r="P382" s="139">
        <v>0</v>
      </c>
      <c r="Q382" s="123">
        <f>100-((R380*100)/R382)</f>
        <v>0</v>
      </c>
      <c r="R382" s="124">
        <f>(R380*P382%)+R380</f>
        <v>1440.7405159999998</v>
      </c>
      <c r="S382" s="38"/>
      <c r="T382" s="64"/>
      <c r="U382" s="6"/>
      <c r="V382" s="6"/>
      <c r="W382" s="94"/>
      <c r="X382" s="97"/>
      <c r="Y382" s="97"/>
      <c r="Z382" s="95"/>
    </row>
    <row r="383" spans="1:28" s="26" customFormat="1" ht="12.75">
      <c r="A383" s="95"/>
      <c r="B383" s="95"/>
      <c r="C383" s="95"/>
      <c r="D383" s="95"/>
      <c r="E383" s="95"/>
      <c r="F383" s="95"/>
      <c r="G383" s="95"/>
      <c r="H383" s="96"/>
      <c r="I383" s="96"/>
      <c r="J383" s="96"/>
      <c r="K383" s="96"/>
      <c r="L383" s="96"/>
      <c r="M383" s="95"/>
      <c r="N383" s="4"/>
      <c r="O383" s="4"/>
      <c r="P383" s="64"/>
      <c r="Q383" s="4"/>
      <c r="R383" s="171"/>
      <c r="S383" s="3"/>
      <c r="T383" s="8"/>
      <c r="U383" s="6"/>
      <c r="V383" s="6"/>
      <c r="W383" s="6"/>
      <c r="X383" s="6"/>
      <c r="Y383" s="6"/>
      <c r="Z383" s="1"/>
      <c r="AA383" s="7"/>
    </row>
    <row r="384" spans="1:28" s="26" customFormat="1" ht="12.75">
      <c r="A384" s="95"/>
      <c r="B384" s="95"/>
      <c r="C384" s="95"/>
      <c r="D384" s="95"/>
      <c r="E384" s="95"/>
      <c r="F384" s="95"/>
      <c r="G384" s="95"/>
      <c r="H384" s="96"/>
      <c r="I384" s="96"/>
      <c r="J384" s="96"/>
      <c r="K384" s="96"/>
      <c r="L384" s="96"/>
      <c r="M384" s="95"/>
      <c r="N384" s="4" t="s">
        <v>244</v>
      </c>
      <c r="O384" s="4"/>
      <c r="P384" s="139">
        <v>0</v>
      </c>
      <c r="Q384" s="123">
        <f>100-((R382*100)/R384)</f>
        <v>0</v>
      </c>
      <c r="R384" s="124">
        <f>(R382*P384%)+R382</f>
        <v>1440.7405159999998</v>
      </c>
      <c r="S384" s="3"/>
      <c r="T384" s="8"/>
      <c r="U384" s="6"/>
      <c r="V384" s="6"/>
      <c r="W384" s="6"/>
      <c r="X384" s="6"/>
      <c r="Y384" s="6"/>
      <c r="Z384" s="1"/>
      <c r="AA384" s="7"/>
    </row>
    <row r="385" spans="1:27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1"/>
      <c r="N385" s="118"/>
      <c r="O385" s="118"/>
      <c r="P385" s="118"/>
      <c r="Q385" s="118"/>
      <c r="R385" s="118"/>
      <c r="S385" s="3"/>
      <c r="T385" s="8"/>
      <c r="U385" s="6"/>
      <c r="V385" s="6"/>
      <c r="W385" s="6"/>
      <c r="X385" s="6"/>
      <c r="Y385" s="6"/>
      <c r="Z385" s="1"/>
    </row>
    <row r="386" spans="1:27" ht="12.7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1"/>
      <c r="N386" s="118"/>
      <c r="O386" s="118"/>
      <c r="P386" s="118"/>
      <c r="Q386" s="118"/>
      <c r="R386" s="118"/>
      <c r="S386" s="38"/>
      <c r="T386" s="64"/>
      <c r="U386" s="97"/>
      <c r="V386" s="97"/>
      <c r="W386" s="97"/>
      <c r="X386" s="97"/>
      <c r="Y386" s="97"/>
      <c r="Z386" s="124"/>
      <c r="AA386" s="170"/>
    </row>
    <row r="387" spans="1:27" ht="12.7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1"/>
      <c r="N387" s="118"/>
      <c r="O387" s="118"/>
      <c r="P387" s="118"/>
      <c r="Q387" s="118"/>
      <c r="R387" s="118"/>
      <c r="S387" s="38"/>
      <c r="T387" s="64"/>
      <c r="U387" s="97"/>
      <c r="V387" s="97"/>
      <c r="W387" s="97"/>
      <c r="X387" s="97"/>
      <c r="Y387" s="97"/>
      <c r="Z387" s="95"/>
      <c r="AA387" s="26"/>
    </row>
    <row r="388" spans="1:27" ht="12.7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1"/>
      <c r="N388" s="118" t="s">
        <v>212</v>
      </c>
      <c r="O388" s="118"/>
      <c r="P388" s="118"/>
      <c r="Q388" s="118"/>
      <c r="R388" s="118"/>
      <c r="S388" s="38"/>
      <c r="T388" s="64"/>
      <c r="U388" s="97"/>
      <c r="V388" s="97"/>
      <c r="W388" s="97"/>
      <c r="X388" s="97"/>
      <c r="Y388" s="97"/>
      <c r="Z388" s="95"/>
      <c r="AA388" s="26"/>
    </row>
    <row r="389" spans="1:27" ht="12.7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1"/>
      <c r="N389" s="118"/>
      <c r="O389" s="118"/>
      <c r="P389" s="118"/>
      <c r="Q389" s="118"/>
      <c r="R389" s="118"/>
      <c r="S389" s="38"/>
      <c r="T389" s="64"/>
      <c r="U389" s="97"/>
      <c r="V389" s="97"/>
      <c r="W389" s="97"/>
      <c r="X389" s="97"/>
      <c r="Y389" s="97"/>
      <c r="Z389" s="95"/>
      <c r="AA389" s="26"/>
    </row>
    <row r="390" spans="1:27" ht="12.7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1"/>
      <c r="N390" s="118" t="s">
        <v>198</v>
      </c>
      <c r="O390" s="118"/>
      <c r="P390" s="80" t="s">
        <v>245</v>
      </c>
      <c r="Q390" s="80" t="s">
        <v>246</v>
      </c>
      <c r="R390" s="80" t="s">
        <v>138</v>
      </c>
      <c r="S390" s="38"/>
      <c r="T390" s="64"/>
      <c r="U390" s="97"/>
      <c r="V390" s="97"/>
      <c r="W390" s="97"/>
      <c r="X390" s="97"/>
      <c r="Y390" s="97"/>
      <c r="Z390" s="95"/>
      <c r="AA390" s="26"/>
    </row>
    <row r="391" spans="1:27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1"/>
      <c r="N391" s="118"/>
      <c r="O391" s="118"/>
      <c r="P391" s="80" t="s">
        <v>246</v>
      </c>
      <c r="Q391" s="80" t="s">
        <v>139</v>
      </c>
      <c r="R391" s="80"/>
      <c r="S391" s="3"/>
      <c r="T391" s="8"/>
      <c r="U391" s="6"/>
      <c r="V391" s="6"/>
      <c r="W391" s="6"/>
      <c r="X391" s="6"/>
      <c r="Y391" s="6"/>
      <c r="Z391" s="1"/>
    </row>
    <row r="392" spans="1:27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1"/>
      <c r="N392" s="118"/>
      <c r="O392" s="118"/>
      <c r="P392" s="118"/>
      <c r="Q392" s="118"/>
      <c r="R392" s="118"/>
      <c r="S392" s="3"/>
      <c r="T392" s="8"/>
      <c r="U392" s="6"/>
      <c r="V392" s="6"/>
      <c r="W392" s="6"/>
      <c r="X392" s="6"/>
      <c r="Y392" s="6"/>
      <c r="Z392" s="1"/>
    </row>
    <row r="393" spans="1:27" s="26" customFormat="1" ht="12.75">
      <c r="A393" s="95"/>
      <c r="B393" s="95"/>
      <c r="C393" s="95"/>
      <c r="D393" s="95"/>
      <c r="E393" s="95"/>
      <c r="F393" s="95"/>
      <c r="G393" s="95"/>
      <c r="H393" s="96"/>
      <c r="I393" s="96"/>
      <c r="J393" s="96"/>
      <c r="K393" s="96"/>
      <c r="L393" s="96"/>
      <c r="M393" s="95"/>
      <c r="N393" s="4" t="s">
        <v>89</v>
      </c>
      <c r="O393" s="4"/>
      <c r="P393" s="71">
        <v>6990</v>
      </c>
      <c r="Q393" s="123">
        <f>(R376)</f>
        <v>626.40891999999997</v>
      </c>
      <c r="R393" s="4">
        <f>((Q393*100)/P393)-100</f>
        <v>-91.038498998569381</v>
      </c>
      <c r="S393" s="3"/>
      <c r="T393" s="8"/>
      <c r="U393" s="6"/>
      <c r="V393" s="6"/>
      <c r="W393" s="6"/>
      <c r="X393" s="6"/>
      <c r="Y393" s="6"/>
      <c r="Z393" s="1"/>
      <c r="AA393" s="7"/>
    </row>
    <row r="394" spans="1:27" s="26" customFormat="1" ht="12.75">
      <c r="A394" s="95"/>
      <c r="B394" s="95"/>
      <c r="C394" s="95"/>
      <c r="D394" s="95"/>
      <c r="E394" s="95"/>
      <c r="F394" s="95"/>
      <c r="G394" s="95"/>
      <c r="H394" s="96"/>
      <c r="I394" s="96"/>
      <c r="J394" s="96"/>
      <c r="K394" s="96"/>
      <c r="L394" s="96"/>
      <c r="M394" s="95"/>
      <c r="N394" s="4"/>
      <c r="O394" s="4"/>
      <c r="P394" s="172"/>
      <c r="Q394" s="4"/>
      <c r="R394" s="4"/>
      <c r="S394" s="3"/>
      <c r="T394" s="8"/>
      <c r="U394" s="6"/>
      <c r="V394" s="6"/>
      <c r="W394" s="6"/>
      <c r="X394" s="6"/>
      <c r="Y394" s="6"/>
      <c r="Z394" s="1"/>
      <c r="AA394" s="7"/>
    </row>
    <row r="395" spans="1:27" s="26" customFormat="1" ht="12.75">
      <c r="A395" s="95"/>
      <c r="B395" s="95"/>
      <c r="C395" s="95"/>
      <c r="D395" s="95"/>
      <c r="E395" s="95"/>
      <c r="F395" s="95"/>
      <c r="G395" s="95"/>
      <c r="H395" s="96"/>
      <c r="I395" s="96"/>
      <c r="J395" s="96"/>
      <c r="K395" s="96"/>
      <c r="L395" s="96"/>
      <c r="M395" s="95"/>
      <c r="N395" s="4" t="s">
        <v>328</v>
      </c>
      <c r="O395" s="4"/>
      <c r="P395" s="71">
        <v>6990</v>
      </c>
      <c r="Q395" s="123">
        <f>(R380)</f>
        <v>1440.7405159999998</v>
      </c>
      <c r="R395" s="4">
        <f>((Q395*100)/P395)-100</f>
        <v>-79.388547696709594</v>
      </c>
      <c r="S395" s="3"/>
      <c r="T395" s="8"/>
      <c r="U395" s="6"/>
      <c r="V395" s="6"/>
      <c r="W395" s="6"/>
      <c r="X395" s="6"/>
      <c r="Y395" s="6"/>
      <c r="Z395" s="1"/>
      <c r="AA395" s="7"/>
    </row>
    <row r="396" spans="1:27" s="26" customFormat="1" ht="12.75">
      <c r="A396" s="95"/>
      <c r="B396" s="95"/>
      <c r="C396" s="95"/>
      <c r="D396" s="95"/>
      <c r="E396" s="95"/>
      <c r="F396" s="95"/>
      <c r="G396" s="95"/>
      <c r="H396" s="96"/>
      <c r="I396" s="96"/>
      <c r="J396" s="96"/>
      <c r="K396" s="96"/>
      <c r="L396" s="96"/>
      <c r="M396" s="95"/>
      <c r="N396" s="4"/>
      <c r="O396" s="4"/>
      <c r="P396" s="172"/>
      <c r="Q396" s="4"/>
      <c r="R396" s="4"/>
      <c r="S396" s="3"/>
      <c r="T396" s="8"/>
      <c r="U396" s="6"/>
      <c r="V396" s="6"/>
      <c r="W396" s="6"/>
      <c r="X396" s="6"/>
      <c r="Y396" s="6"/>
      <c r="Z396" s="1"/>
      <c r="AA396" s="7"/>
    </row>
    <row r="397" spans="1:27" s="26" customFormat="1" ht="12.75">
      <c r="A397" s="95"/>
      <c r="B397" s="95"/>
      <c r="C397" s="95"/>
      <c r="D397" s="95"/>
      <c r="E397" s="95"/>
      <c r="F397" s="95"/>
      <c r="G397" s="95"/>
      <c r="H397" s="96"/>
      <c r="I397" s="96"/>
      <c r="J397" s="96"/>
      <c r="K397" s="96"/>
      <c r="L397" s="96"/>
      <c r="M397" s="95"/>
      <c r="N397" s="4" t="s">
        <v>293</v>
      </c>
      <c r="O397" s="4"/>
      <c r="P397" s="71">
        <v>6990</v>
      </c>
      <c r="Q397" s="123">
        <f>(R384)</f>
        <v>1440.7405159999998</v>
      </c>
      <c r="R397" s="4">
        <f>((Q397*100)/P397)-100</f>
        <v>-79.388547696709594</v>
      </c>
      <c r="S397" s="3"/>
      <c r="T397" s="8"/>
      <c r="U397" s="6"/>
      <c r="V397" s="6"/>
      <c r="W397" s="6"/>
      <c r="X397" s="6"/>
      <c r="Y397" s="6"/>
      <c r="Z397" s="1"/>
      <c r="AA397" s="7"/>
    </row>
    <row r="398" spans="1:27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118"/>
      <c r="N398" s="118"/>
      <c r="O398" s="173"/>
      <c r="P398" s="118"/>
      <c r="Q398" s="118"/>
      <c r="R398" s="118"/>
      <c r="S398" s="3"/>
      <c r="T398" s="8"/>
      <c r="U398" s="6"/>
      <c r="V398" s="6"/>
      <c r="W398" s="6"/>
      <c r="X398" s="6"/>
      <c r="Y398" s="6"/>
      <c r="Z398" s="1"/>
    </row>
    <row r="399" spans="1:27" ht="12.75">
      <c r="S399" s="46"/>
      <c r="T399" s="65"/>
      <c r="U399" s="98"/>
      <c r="V399" s="98"/>
      <c r="W399" s="98"/>
      <c r="X399" s="98"/>
      <c r="Y399" s="98"/>
      <c r="Z399" s="26"/>
      <c r="AA399" s="26"/>
    </row>
    <row r="400" spans="1:27" ht="12.75">
      <c r="S400" s="46"/>
      <c r="T400" s="65"/>
      <c r="U400" s="98"/>
      <c r="V400" s="98"/>
      <c r="W400" s="98"/>
      <c r="X400" s="98"/>
      <c r="Y400" s="98"/>
      <c r="Z400" s="26"/>
      <c r="AA400" s="26"/>
    </row>
    <row r="401" spans="8:27" ht="12.75">
      <c r="S401" s="46"/>
      <c r="T401" s="65"/>
      <c r="U401" s="98"/>
      <c r="V401" s="98"/>
      <c r="W401" s="98"/>
      <c r="X401" s="98"/>
      <c r="Y401" s="98"/>
      <c r="Z401" s="26"/>
      <c r="AA401" s="26"/>
    </row>
    <row r="402" spans="8:27">
      <c r="S402" s="19"/>
      <c r="T402" s="174"/>
      <c r="U402" s="44"/>
      <c r="V402" s="44"/>
      <c r="W402" s="44"/>
      <c r="X402" s="44"/>
      <c r="Y402" s="44"/>
    </row>
    <row r="403" spans="8:27">
      <c r="S403" s="19"/>
      <c r="T403" s="174"/>
      <c r="U403" s="44"/>
      <c r="V403" s="44"/>
      <c r="W403" s="44"/>
      <c r="X403" s="44"/>
      <c r="Y403" s="44"/>
    </row>
    <row r="405" spans="8:27">
      <c r="H405"/>
    </row>
    <row r="406" spans="8:27" ht="12.75">
      <c r="H406" s="228" t="s">
        <v>455</v>
      </c>
      <c r="I406" s="26"/>
      <c r="J406" s="26"/>
      <c r="K406" s="26"/>
      <c r="L406" s="26"/>
    </row>
    <row r="407" spans="8:27" ht="12.75">
      <c r="H407" s="228" t="s">
        <v>456</v>
      </c>
      <c r="I407" s="26"/>
      <c r="J407" s="26"/>
      <c r="K407" s="26"/>
      <c r="L407" s="26"/>
    </row>
    <row r="408" spans="8:27" ht="12.75">
      <c r="H408" s="229" t="s">
        <v>454</v>
      </c>
      <c r="I408" s="26"/>
      <c r="J408" s="26"/>
      <c r="K408" s="26"/>
      <c r="L408" s="26"/>
    </row>
  </sheetData>
  <mergeCells count="39">
    <mergeCell ref="N256:O256"/>
    <mergeCell ref="N250:O250"/>
    <mergeCell ref="N251:O251"/>
    <mergeCell ref="N252:O252"/>
    <mergeCell ref="N253:O253"/>
    <mergeCell ref="N247:O247"/>
    <mergeCell ref="N248:O248"/>
    <mergeCell ref="N249:O249"/>
    <mergeCell ref="N254:O254"/>
    <mergeCell ref="N255:O255"/>
    <mergeCell ref="A241:E241"/>
    <mergeCell ref="N243:O243"/>
    <mergeCell ref="N244:O244"/>
    <mergeCell ref="N245:O245"/>
    <mergeCell ref="N246:O246"/>
    <mergeCell ref="N108:O108"/>
    <mergeCell ref="I17:J17"/>
    <mergeCell ref="P12:Q12"/>
    <mergeCell ref="P15:Q15"/>
    <mergeCell ref="P21:Q21"/>
    <mergeCell ref="P24:Q24"/>
    <mergeCell ref="P27:Q27"/>
    <mergeCell ref="N107:O107"/>
    <mergeCell ref="P18:Q18"/>
    <mergeCell ref="C66:D66"/>
    <mergeCell ref="C61:D61"/>
    <mergeCell ref="C62:D62"/>
    <mergeCell ref="F61:G61"/>
    <mergeCell ref="F62:G62"/>
    <mergeCell ref="AV3:BB3"/>
    <mergeCell ref="AH3:AN3"/>
    <mergeCell ref="AK4:AN4"/>
    <mergeCell ref="S21:T21"/>
    <mergeCell ref="F64:G64"/>
    <mergeCell ref="AK5:AN5"/>
    <mergeCell ref="AK6:AL6"/>
    <mergeCell ref="AY4:BB4"/>
    <mergeCell ref="AY5:BB5"/>
    <mergeCell ref="AY6:AZ6"/>
  </mergeCells>
  <phoneticPr fontId="2"/>
  <printOptions horizontalCentered="1"/>
  <pageMargins left="0.38976377952755908" right="0.38976377952755908" top="0.38976377952755908" bottom="0.38976377952755908" header="0.38976377952755908" footer="0.38976377952755908"/>
  <pageSetup paperSize="9" scale="98" pageOrder="overThenDown" orientation="portrait" horizontalDpi="4294967292" verticalDpi="4294967292"/>
  <headerFooter alignWithMargins="0"/>
  <rowBreaks count="1" manualBreakCount="1">
    <brk id="59" max="16383" man="1"/>
  </rowBreaks>
  <colBreaks count="3" manualBreakCount="3">
    <brk id="27" max="1048575" man="1"/>
    <brk id="41" max="1048575" man="1"/>
    <brk id="5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1</vt:lpstr>
    </vt:vector>
  </TitlesOfParts>
  <Company>Newton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Newton</dc:creator>
  <cp:lastModifiedBy>Prasanna kumar Mechineni</cp:lastModifiedBy>
  <cp:lastPrinted>2014-04-24T02:06:07Z</cp:lastPrinted>
  <dcterms:created xsi:type="dcterms:W3CDTF">1998-07-28T02:16:38Z</dcterms:created>
  <dcterms:modified xsi:type="dcterms:W3CDTF">2026-04-29T05:46:29Z</dcterms:modified>
</cp:coreProperties>
</file>