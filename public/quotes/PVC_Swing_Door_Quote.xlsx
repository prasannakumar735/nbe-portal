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nbe-portal\public\quotes\"/>
    </mc:Choice>
  </mc:AlternateContent>
  <xr:revisionPtr revIDLastSave="0" documentId="8_{0C0F19B1-B9A5-400D-9D0E-AB76028509B4}" xr6:coauthVersionLast="47" xr6:coauthVersionMax="47" xr10:uidLastSave="{00000000-0000-0000-0000-000000000000}"/>
  <bookViews>
    <workbookView xWindow="-98" yWindow="-98" windowWidth="19396" windowHeight="11475" xr2:uid="{C547204A-7209-4882-BB5F-21E73B946338}"/>
  </bookViews>
  <sheets>
    <sheet name="20251030_QUOTE_IFS (1)" sheetId="1" r:id="rId1"/>
  </sheets>
  <definedNames>
    <definedName name="_xlnm.Print_Area" localSheetId="0">'20251030_QUOTE_IFS (1)'!$C$3:$J$46</definedName>
    <definedName name="valuevx">42.314159</definedName>
    <definedName name="vertex42_copyright" hidden="1">"© 2008-2019 Vertex42 LLC"</definedName>
    <definedName name="vertex42_id" hidden="1">"purchase-order.xlsx"</definedName>
    <definedName name="vertex42_title" hidden="1">"Purchase Order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0" i="1" l="1"/>
  <c r="J41" i="1" s="1"/>
  <c r="J42" i="1" s="1"/>
  <c r="C16" i="1"/>
  <c r="C15" i="1"/>
  <c r="J11" i="1"/>
  <c r="J1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<sst xmlns="http://schemas.openxmlformats.org/spreadsheetml/2006/main" count="35" uniqueCount="34">
  <si>
    <t>Quote</t>
  </si>
  <si>
    <t>ABN:  17 007 048 008</t>
  </si>
  <si>
    <t>SWD-0403-01</t>
  </si>
  <si>
    <t>NBE AUSTRALIA</t>
  </si>
  <si>
    <t>Quote Date</t>
  </si>
  <si>
    <t>22A Humeside Dr.</t>
  </si>
  <si>
    <t>Campbellfield VIC 3061, Australia</t>
  </si>
  <si>
    <t>accountsreceivable@nbeaustralia.com.au</t>
  </si>
  <si>
    <t>Valid Until</t>
  </si>
  <si>
    <t>Andrew Newton</t>
  </si>
  <si>
    <t>CUSTOMER</t>
  </si>
  <si>
    <t>Attn: Mr. DarrenCrook</t>
  </si>
  <si>
    <t>Operations Services Manager</t>
  </si>
  <si>
    <t>+61 409 801 773</t>
  </si>
  <si>
    <t>dcrook@qic.com</t>
  </si>
  <si>
    <t>S. No.</t>
  </si>
  <si>
    <t xml:space="preserve">ITEM </t>
  </si>
  <si>
    <t>DESCRIPTION</t>
  </si>
  <si>
    <t>WIDTH</t>
  </si>
  <si>
    <t>HEIGHT</t>
  </si>
  <si>
    <t>QTY</t>
  </si>
  <si>
    <t>UNIT PRICE</t>
  </si>
  <si>
    <t>TOTAL</t>
  </si>
  <si>
    <t>1.</t>
  </si>
  <si>
    <t>SWD-2400WD
PVC Swingdoor, 2400WD Pair
Mounting: Mounting Plate
Panel Specification: Clear
Sprint Type: Standard
MDF Crate: 2420 x 1220mm</t>
  </si>
  <si>
    <t>Installation</t>
  </si>
  <si>
    <t>Demolising existing Door</t>
  </si>
  <si>
    <t>Optional</t>
  </si>
  <si>
    <t>Client Signature</t>
  </si>
  <si>
    <t>Printed Name</t>
  </si>
  <si>
    <t>Date</t>
  </si>
  <si>
    <t>Subtotal</t>
  </si>
  <si>
    <t>GST (10%)</t>
  </si>
  <si>
    <t>Should you require any further information or clarification about this quotation, please do not hesitate to contact us at your earliest convenience.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</si>
</sst>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C09]dd\-mmm\-yy;@"/>
    <numFmt numFmtId="165" formatCode="&quot;VIC&quot;\ 0"/>
    <numFmt numFmtId="166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sz val="10"/>
      <name val="Roboto"/>
    </font>
    <font>
      <sz val="28"/>
      <name val="Posterama"/>
      <family val="2"/>
    </font>
    <font>
      <b/>
      <sz val="28"/>
      <name val="Posterama"/>
      <family val="2"/>
    </font>
    <font>
      <b/>
      <sz val="12"/>
      <name val="Roboto"/>
    </font>
    <font>
      <b/>
      <sz val="10"/>
      <name val="Roboto"/>
    </font>
    <font>
      <b/>
      <sz val="10"/>
      <color theme="0"/>
      <name val="Roboto"/>
    </font>
    <font>
      <i/>
      <sz val="10"/>
      <name val="Roboto"/>
    </font>
    <font>
      <sz val="10"/>
      <color theme="0"/>
      <name val="Roboto"/>
    </font>
    <font>
      <sz val="2"/>
      <name val="Roboto"/>
    </font>
    <font>
      <i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right" vertical="center"/>
    </xf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2" xfId="1" applyFont="1" applyBorder="1"/>
    <xf numFmtId="0" fontId="2" fillId="0" borderId="2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164" fontId="2" fillId="0" borderId="0" xfId="1" applyNumberFormat="1" applyFont="1" applyAlignment="1">
      <alignment horizontal="right"/>
    </xf>
    <xf numFmtId="0" fontId="2" fillId="0" borderId="0" xfId="1" applyFont="1" applyAlignment="1">
      <alignment horizontal="right"/>
    </xf>
    <xf numFmtId="0" fontId="2" fillId="0" borderId="0" xfId="1" quotePrefix="1" applyFont="1" applyAlignment="1">
      <alignment vertical="center"/>
    </xf>
    <xf numFmtId="0" fontId="6" fillId="0" borderId="0" xfId="1" applyFont="1" applyAlignment="1">
      <alignment vertical="center" wrapText="1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0" fontId="6" fillId="0" borderId="0" xfId="1" applyFont="1" applyAlignment="1">
      <alignment horizontal="center" vertical="center"/>
    </xf>
    <xf numFmtId="0" fontId="2" fillId="0" borderId="0" xfId="1" applyFont="1" applyAlignment="1">
      <alignment vertical="top"/>
    </xf>
    <xf numFmtId="0" fontId="2" fillId="0" borderId="0" xfId="1" applyFont="1" applyAlignment="1">
      <alignment horizontal="center" vertical="top"/>
    </xf>
    <xf numFmtId="0" fontId="2" fillId="0" borderId="0" xfId="1" quotePrefix="1" applyFont="1"/>
    <xf numFmtId="0" fontId="6" fillId="0" borderId="0" xfId="1" applyFont="1" applyAlignment="1">
      <alignment vertical="top"/>
    </xf>
    <xf numFmtId="0" fontId="2" fillId="0" borderId="0" xfId="1" applyFont="1" applyAlignment="1">
      <alignment horizontal="left" vertical="top" indent="1"/>
    </xf>
    <xf numFmtId="165" fontId="2" fillId="0" borderId="0" xfId="1" applyNumberFormat="1" applyFont="1" applyAlignment="1">
      <alignment horizontal="left" vertical="top"/>
    </xf>
    <xf numFmtId="10" fontId="7" fillId="2" borderId="3" xfId="1" applyNumberFormat="1" applyFont="1" applyFill="1" applyBorder="1" applyAlignment="1">
      <alignment horizontal="center" vertical="center" shrinkToFit="1"/>
    </xf>
    <xf numFmtId="10" fontId="7" fillId="2" borderId="4" xfId="1" applyNumberFormat="1" applyFont="1" applyFill="1" applyBorder="1" applyAlignment="1">
      <alignment horizontal="left" vertical="center" shrinkToFit="1"/>
    </xf>
    <xf numFmtId="10" fontId="7" fillId="2" borderId="4" xfId="1" applyNumberFormat="1" applyFont="1" applyFill="1" applyBorder="1" applyAlignment="1">
      <alignment horizontal="center" vertical="center" wrapText="1" shrinkToFit="1"/>
    </xf>
    <xf numFmtId="0" fontId="7" fillId="2" borderId="4" xfId="1" applyFont="1" applyFill="1" applyBorder="1" applyAlignment="1">
      <alignment horizontal="center" vertical="center" shrinkToFit="1"/>
    </xf>
    <xf numFmtId="10" fontId="7" fillId="2" borderId="4" xfId="1" applyNumberFormat="1" applyFont="1" applyFill="1" applyBorder="1" applyAlignment="1">
      <alignment horizontal="center" vertical="center" shrinkToFit="1"/>
    </xf>
    <xf numFmtId="10" fontId="7" fillId="2" borderId="5" xfId="1" applyNumberFormat="1" applyFont="1" applyFill="1" applyBorder="1" applyAlignment="1">
      <alignment horizontal="center" vertical="center" shrinkToFit="1"/>
    </xf>
    <xf numFmtId="0" fontId="2" fillId="0" borderId="0" xfId="1" quotePrefix="1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166" fontId="2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0" fontId="2" fillId="0" borderId="0" xfId="1" applyFont="1" applyAlignment="1">
      <alignment horizontal="left"/>
    </xf>
    <xf numFmtId="166" fontId="8" fillId="0" borderId="0" xfId="1" applyNumberFormat="1" applyFont="1" applyAlignment="1">
      <alignment horizontal="right" vertical="center"/>
    </xf>
    <xf numFmtId="49" fontId="2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right" vertical="center"/>
    </xf>
    <xf numFmtId="43" fontId="2" fillId="0" borderId="0" xfId="1" applyNumberFormat="1" applyFont="1" applyAlignment="1">
      <alignment vertical="center"/>
    </xf>
    <xf numFmtId="0" fontId="9" fillId="2" borderId="4" xfId="1" applyFont="1" applyFill="1" applyBorder="1" applyAlignment="1">
      <alignment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vertical="center"/>
    </xf>
    <xf numFmtId="166" fontId="2" fillId="0" borderId="6" xfId="1" applyNumberFormat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0" fillId="0" borderId="0" xfId="1" applyFont="1" applyAlignment="1">
      <alignment vertical="center"/>
    </xf>
    <xf numFmtId="0" fontId="2" fillId="0" borderId="7" xfId="1" applyFont="1" applyBorder="1" applyAlignment="1">
      <alignment vertical="center"/>
    </xf>
    <xf numFmtId="166" fontId="2" fillId="0" borderId="7" xfId="1" applyNumberFormat="1" applyFont="1" applyBorder="1" applyAlignment="1">
      <alignment vertical="center"/>
    </xf>
    <xf numFmtId="0" fontId="8" fillId="0" borderId="0" xfId="0" applyFont="1" applyAlignment="1">
      <alignment horizontal="left" wrapText="1"/>
    </xf>
    <xf numFmtId="0" fontId="7" fillId="2" borderId="8" xfId="1" applyFont="1" applyFill="1" applyBorder="1" applyAlignment="1">
      <alignment vertical="center"/>
    </xf>
    <xf numFmtId="44" fontId="7" fillId="2" borderId="9" xfId="2" applyFont="1" applyFill="1" applyBorder="1" applyAlignment="1">
      <alignment vertical="center"/>
    </xf>
    <xf numFmtId="0" fontId="7" fillId="0" borderId="0" xfId="1" applyFont="1" applyAlignment="1">
      <alignment vertical="center"/>
    </xf>
    <xf numFmtId="44" fontId="7" fillId="0" borderId="0" xfId="2" applyFont="1" applyFill="1" applyBorder="1" applyAlignment="1">
      <alignment vertical="center"/>
    </xf>
    <xf numFmtId="0" fontId="11" fillId="0" borderId="0" xfId="1" applyFont="1" applyAlignment="1">
      <alignment wrapText="1"/>
    </xf>
    <xf numFmtId="0" fontId="8" fillId="0" borderId="0" xfId="1" applyFont="1" applyAlignment="1">
      <alignment wrapText="1"/>
    </xf>
  </cellXfs>
  <cellStyles count="3">
    <cellStyle name="Currency 2" xfId="2" xr:uid="{41ECE2EC-04FC-465B-9A4C-D225B45A2144}"/>
    <cellStyle name="Normal" xfId="0" builtinId="0"/>
    <cellStyle name="Normal 3" xfId="1" xr:uid="{173FEFCC-A759-49A0-A9FC-883064DFF8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ewton@nbeaustralia.com.au" TargetMode="External"/><Relationship Id="rId1" Type="http://schemas.openxmlformats.org/officeDocument/2006/relationships/hyperlink" Target="mailto:accountsreceivable@nbeaustralia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41C0-47F4-49B6-B2D3-A374578E5189}">
  <dimension ref="B2:K51"/>
  <sheetViews>
    <sheetView tabSelected="1" zoomScaleNormal="100" zoomScaleSheetLayoutView="130" workbookViewId="0">
      <selection activeCell="E12" sqref="E12:E13"/>
    </sheetView>
  </sheetViews>
  <sheetFormatPr defaultColWidth="8.06640625" defaultRowHeight="13.15" x14ac:dyDescent="0.4"/>
  <cols>
    <col min="1" max="1" width="8.06640625" style="1"/>
    <col min="2" max="2" width="2.46484375" style="1" customWidth="1"/>
    <col min="3" max="3" width="4.796875" style="1" customWidth="1"/>
    <col min="4" max="4" width="24.3984375" style="1" customWidth="1"/>
    <col min="5" max="5" width="15" style="1" customWidth="1"/>
    <col min="6" max="6" width="11.73046875" style="2" customWidth="1"/>
    <col min="7" max="7" width="7.1328125" style="2" bestFit="1" customWidth="1"/>
    <col min="8" max="8" width="5.19921875" style="1" customWidth="1"/>
    <col min="9" max="9" width="11.53125" style="1" customWidth="1"/>
    <col min="10" max="10" width="13.33203125" style="1" customWidth="1"/>
    <col min="11" max="11" width="5.59765625" style="1" customWidth="1"/>
    <col min="12" max="16384" width="8.06640625" style="1"/>
  </cols>
  <sheetData>
    <row r="2" spans="3:10" ht="13.05" customHeight="1" x14ac:dyDescent="0.4"/>
    <row r="3" spans="3:10" ht="13.05" customHeight="1" x14ac:dyDescent="0.4">
      <c r="C3" s="3" t="e" vm="1">
        <v>#VALUE!</v>
      </c>
      <c r="D3" s="3"/>
      <c r="E3" s="4"/>
      <c r="F3" s="5"/>
      <c r="H3" s="6"/>
      <c r="I3" s="7" t="s">
        <v>0</v>
      </c>
      <c r="J3" s="7"/>
    </row>
    <row r="4" spans="3:10" ht="13.05" customHeight="1" x14ac:dyDescent="0.4">
      <c r="C4" s="3"/>
      <c r="D4" s="3"/>
      <c r="E4" s="4"/>
      <c r="F4" s="5"/>
      <c r="G4" s="6"/>
      <c r="H4" s="6"/>
      <c r="I4" s="7"/>
      <c r="J4" s="7"/>
    </row>
    <row r="5" spans="3:10" ht="13.05" customHeight="1" x14ac:dyDescent="0.4">
      <c r="C5" s="3"/>
      <c r="D5" s="3"/>
      <c r="E5" s="4"/>
      <c r="F5" s="5"/>
      <c r="G5" s="6"/>
      <c r="H5" s="6"/>
      <c r="I5" s="7"/>
      <c r="J5" s="7"/>
    </row>
    <row r="6" spans="3:10" ht="13.05" customHeight="1" x14ac:dyDescent="0.4">
      <c r="C6" s="3"/>
      <c r="D6" s="3"/>
      <c r="E6" s="4"/>
      <c r="F6" s="5"/>
      <c r="G6" s="6"/>
      <c r="H6" s="6"/>
      <c r="I6" s="7"/>
      <c r="J6" s="7"/>
    </row>
    <row r="7" spans="3:10" ht="13.05" customHeight="1" x14ac:dyDescent="0.4">
      <c r="C7" s="8" t="s">
        <v>1</v>
      </c>
      <c r="D7" s="8"/>
      <c r="G7" s="9"/>
      <c r="H7" s="9"/>
      <c r="I7" s="9"/>
      <c r="J7" s="10" t="s">
        <v>2</v>
      </c>
    </row>
    <row r="8" spans="3:10" ht="13.05" customHeight="1" thickBot="1" x14ac:dyDescent="0.45">
      <c r="C8" s="11"/>
      <c r="D8" s="11"/>
      <c r="E8" s="11"/>
      <c r="F8" s="12"/>
      <c r="G8" s="13"/>
      <c r="H8" s="14"/>
      <c r="I8" s="14"/>
      <c r="J8" s="15"/>
    </row>
    <row r="9" spans="3:10" ht="13.05" customHeight="1" thickTop="1" x14ac:dyDescent="0.4">
      <c r="C9" s="16"/>
      <c r="D9" s="16"/>
      <c r="E9" s="16"/>
      <c r="F9" s="17"/>
      <c r="G9" s="18"/>
      <c r="H9" s="19"/>
      <c r="I9" s="16"/>
      <c r="J9" s="16"/>
    </row>
    <row r="10" spans="3:10" ht="13.05" customHeight="1" x14ac:dyDescent="0.4">
      <c r="C10" s="20" t="s">
        <v>3</v>
      </c>
      <c r="D10" s="4"/>
      <c r="E10" s="4"/>
      <c r="F10" s="21"/>
      <c r="G10" s="21"/>
      <c r="H10" s="22"/>
      <c r="J10" s="23" t="s">
        <v>4</v>
      </c>
    </row>
    <row r="11" spans="3:10" ht="13.05" customHeight="1" x14ac:dyDescent="0.4">
      <c r="C11" s="4" t="s">
        <v>5</v>
      </c>
      <c r="D11" s="4"/>
      <c r="E11" s="4"/>
      <c r="F11" s="21"/>
      <c r="G11" s="21"/>
      <c r="H11" s="22"/>
      <c r="J11" s="24">
        <f ca="1">TODAY()</f>
        <v>46152</v>
      </c>
    </row>
    <row r="12" spans="3:10" ht="13.05" customHeight="1" x14ac:dyDescent="0.4">
      <c r="C12" s="4" t="s">
        <v>6</v>
      </c>
      <c r="D12" s="4"/>
      <c r="E12" s="4"/>
      <c r="F12" s="21"/>
      <c r="G12" s="21"/>
      <c r="H12" s="22"/>
      <c r="I12" s="22"/>
      <c r="J12" s="25"/>
    </row>
    <row r="13" spans="3:10" ht="13.05" customHeight="1" x14ac:dyDescent="0.4">
      <c r="C13" s="4" t="s">
        <v>7</v>
      </c>
      <c r="D13" s="22"/>
      <c r="E13" s="22"/>
      <c r="F13" s="21"/>
      <c r="G13" s="21"/>
      <c r="H13" s="22"/>
      <c r="J13" s="23" t="s">
        <v>8</v>
      </c>
    </row>
    <row r="14" spans="3:10" ht="13.05" customHeight="1" x14ac:dyDescent="0.4">
      <c r="C14" s="4" t="s">
        <v>9</v>
      </c>
      <c r="D14" s="22"/>
      <c r="E14" s="22"/>
      <c r="F14" s="21"/>
      <c r="G14" s="21"/>
      <c r="H14" s="4"/>
      <c r="I14" s="4"/>
      <c r="J14" s="24">
        <f ca="1">J11+30</f>
        <v>46182</v>
      </c>
    </row>
    <row r="15" spans="3:10" ht="13.05" customHeight="1" x14ac:dyDescent="0.4">
      <c r="C15" s="26" t="str">
        <f>IF(C14="Robert Newton","(04) 2795 1981",
IF(C14="Andrew Newton","(04) 2705 5556",
IF(C14="Sonny Mallia","(04) 1258 3069","")))</f>
        <v>(04) 2705 5556</v>
      </c>
      <c r="D15" s="4"/>
      <c r="E15" s="4"/>
      <c r="F15" s="21"/>
      <c r="G15" s="21"/>
      <c r="H15" s="4"/>
      <c r="I15" s="4"/>
      <c r="J15" s="4"/>
    </row>
    <row r="16" spans="3:10" ht="13.05" customHeight="1" x14ac:dyDescent="0.4">
      <c r="C16" s="26" t="str">
        <f>IF(C14="Robert Newton","rnewton@nbeaustralia.com.au",
IF(C14="Andrew Newton","anewton@nbeaustralia.com.au",
IF(C14="Sonny Mallia","smallia@nbeaustralia.com.au","")))</f>
        <v>anewton@nbeaustralia.com.au</v>
      </c>
      <c r="F16" s="1"/>
      <c r="G16" s="27"/>
      <c r="H16" s="27"/>
      <c r="I16" s="27"/>
      <c r="J16" s="27"/>
    </row>
    <row r="17" spans="2:11" ht="13.05" customHeight="1" x14ac:dyDescent="0.4">
      <c r="F17" s="1"/>
      <c r="G17" s="27"/>
      <c r="H17" s="27"/>
      <c r="I17" s="27"/>
      <c r="J17" s="27"/>
    </row>
    <row r="18" spans="2:11" ht="13.05" customHeight="1" x14ac:dyDescent="0.4">
      <c r="C18" s="28" t="s">
        <v>10</v>
      </c>
      <c r="D18" s="29"/>
      <c r="F18" s="27"/>
      <c r="G18" s="27"/>
      <c r="H18" s="27"/>
      <c r="I18" s="27"/>
      <c r="J18" s="27"/>
    </row>
    <row r="19" spans="2:11" ht="13.05" customHeight="1" x14ac:dyDescent="0.4">
      <c r="D19" s="20"/>
      <c r="E19" s="20"/>
      <c r="F19" s="30"/>
      <c r="G19" s="27"/>
      <c r="H19" s="27"/>
      <c r="I19" s="27"/>
      <c r="J19" s="27"/>
    </row>
    <row r="20" spans="2:11" ht="13.05" customHeight="1" x14ac:dyDescent="0.4">
      <c r="C20" s="20" t="s">
        <v>11</v>
      </c>
      <c r="D20" s="31"/>
      <c r="E20" s="31"/>
      <c r="F20" s="32"/>
      <c r="G20" s="27"/>
      <c r="H20" s="27"/>
      <c r="I20" s="27"/>
      <c r="J20" s="27"/>
    </row>
    <row r="21" spans="2:11" ht="13.05" customHeight="1" x14ac:dyDescent="0.4">
      <c r="C21" s="1" t="s">
        <v>12</v>
      </c>
      <c r="G21" s="27"/>
      <c r="H21" s="27"/>
      <c r="I21" s="27"/>
      <c r="J21" s="27"/>
    </row>
    <row r="22" spans="2:11" ht="13.05" customHeight="1" x14ac:dyDescent="0.4">
      <c r="C22" s="33" t="s">
        <v>13</v>
      </c>
      <c r="D22" s="34"/>
      <c r="E22" s="34"/>
      <c r="F22" s="32"/>
      <c r="G22" s="27"/>
      <c r="H22" s="27"/>
      <c r="I22" s="27"/>
      <c r="J22" s="27"/>
    </row>
    <row r="23" spans="2:11" ht="13.05" customHeight="1" x14ac:dyDescent="0.4">
      <c r="C23" s="1" t="s">
        <v>14</v>
      </c>
      <c r="D23" s="35"/>
      <c r="E23" s="35"/>
      <c r="F23" s="36"/>
      <c r="G23" s="27"/>
      <c r="H23" s="27"/>
      <c r="I23" s="27"/>
      <c r="J23" s="27"/>
    </row>
    <row r="24" spans="2:11" ht="13.05" customHeight="1" x14ac:dyDescent="0.4">
      <c r="C24" s="4"/>
      <c r="D24" s="4"/>
      <c r="E24" s="4"/>
      <c r="F24" s="21"/>
      <c r="G24" s="27"/>
      <c r="H24" s="27"/>
      <c r="I24" s="27"/>
      <c r="J24" s="27"/>
    </row>
    <row r="25" spans="2:11" ht="13.05" customHeight="1" x14ac:dyDescent="0.4">
      <c r="C25" s="37" t="s">
        <v>15</v>
      </c>
      <c r="D25" s="38" t="s">
        <v>16</v>
      </c>
      <c r="E25" s="39" t="s">
        <v>17</v>
      </c>
      <c r="F25" s="38" t="s">
        <v>18</v>
      </c>
      <c r="G25" s="38" t="s">
        <v>19</v>
      </c>
      <c r="H25" s="40" t="s">
        <v>20</v>
      </c>
      <c r="I25" s="41" t="s">
        <v>21</v>
      </c>
      <c r="J25" s="42" t="s">
        <v>22</v>
      </c>
    </row>
    <row r="26" spans="2:11" ht="108.4" customHeight="1" x14ac:dyDescent="0.4">
      <c r="C26" s="43" t="s">
        <v>23</v>
      </c>
      <c r="D26" s="44" t="s">
        <v>24</v>
      </c>
      <c r="E26" s="4"/>
      <c r="F26" s="21">
        <v>1680</v>
      </c>
      <c r="G26" s="21">
        <v>2020</v>
      </c>
      <c r="H26" s="21">
        <v>1</v>
      </c>
      <c r="I26" s="45"/>
      <c r="J26" s="45">
        <v>2843.1</v>
      </c>
    </row>
    <row r="27" spans="2:11" ht="20.25" customHeight="1" x14ac:dyDescent="0.4">
      <c r="C27" s="43">
        <v>2</v>
      </c>
      <c r="D27" s="22" t="s">
        <v>25</v>
      </c>
      <c r="E27" s="4"/>
      <c r="F27" s="22"/>
      <c r="G27" s="21"/>
      <c r="H27" s="4"/>
      <c r="I27" s="46"/>
      <c r="J27" s="46">
        <v>400</v>
      </c>
    </row>
    <row r="28" spans="2:11" ht="18.75" customHeight="1" x14ac:dyDescent="0.4">
      <c r="C28" s="47">
        <v>3</v>
      </c>
      <c r="D28" s="1" t="s">
        <v>26</v>
      </c>
      <c r="E28" s="1" t="s">
        <v>27</v>
      </c>
      <c r="J28" s="46">
        <v>300</v>
      </c>
    </row>
    <row r="29" spans="2:11" ht="13.05" customHeight="1" x14ac:dyDescent="0.4">
      <c r="C29" s="43"/>
      <c r="D29" s="22"/>
      <c r="E29" s="4"/>
      <c r="F29" s="22"/>
      <c r="G29" s="21"/>
      <c r="H29" s="4"/>
      <c r="I29" s="46"/>
      <c r="J29" s="46"/>
    </row>
    <row r="30" spans="2:11" ht="13.05" customHeight="1" x14ac:dyDescent="0.4">
      <c r="C30" s="43"/>
      <c r="D30" s="22"/>
      <c r="E30" s="4"/>
      <c r="F30" s="22"/>
      <c r="G30" s="21"/>
      <c r="H30" s="4"/>
      <c r="I30" s="46"/>
      <c r="J30" s="46"/>
    </row>
    <row r="31" spans="2:11" ht="13.05" customHeight="1" x14ac:dyDescent="0.4">
      <c r="C31" s="43"/>
      <c r="D31" s="22"/>
      <c r="E31" s="4"/>
      <c r="F31" s="22"/>
      <c r="G31" s="21"/>
      <c r="H31" s="4"/>
      <c r="I31" s="46"/>
      <c r="J31" s="46"/>
    </row>
    <row r="32" spans="2:11" ht="13.05" customHeight="1" x14ac:dyDescent="0.4">
      <c r="B32" s="4"/>
      <c r="C32" s="43"/>
      <c r="D32" s="22"/>
      <c r="E32" s="4"/>
      <c r="F32" s="22"/>
      <c r="G32" s="21"/>
      <c r="H32" s="21"/>
      <c r="I32" s="48"/>
      <c r="J32" s="46"/>
      <c r="K32" s="4"/>
    </row>
    <row r="33" spans="2:11" ht="13.05" customHeight="1" x14ac:dyDescent="0.4">
      <c r="B33" s="4"/>
      <c r="C33" s="43"/>
      <c r="D33" s="22"/>
      <c r="E33" s="4"/>
      <c r="F33" s="22"/>
      <c r="G33" s="21"/>
      <c r="H33" s="21"/>
      <c r="I33" s="48"/>
      <c r="J33" s="45"/>
      <c r="K33" s="4"/>
    </row>
    <row r="34" spans="2:11" ht="13.05" customHeight="1" x14ac:dyDescent="0.4">
      <c r="B34" s="4"/>
      <c r="C34" s="43"/>
      <c r="D34" s="4"/>
      <c r="E34" s="49"/>
      <c r="F34" s="22"/>
      <c r="G34" s="21"/>
      <c r="H34" s="21"/>
      <c r="I34" s="48"/>
      <c r="J34" s="46"/>
      <c r="K34" s="4"/>
    </row>
    <row r="35" spans="2:11" ht="13.05" customHeight="1" x14ac:dyDescent="0.4">
      <c r="B35" s="4"/>
      <c r="C35" s="22"/>
      <c r="D35" s="4"/>
      <c r="E35" s="49"/>
      <c r="F35" s="22"/>
      <c r="G35" s="21"/>
      <c r="H35" s="21"/>
      <c r="I35" s="50"/>
      <c r="J35" s="46"/>
      <c r="K35" s="4"/>
    </row>
    <row r="36" spans="2:11" ht="13.05" customHeight="1" x14ac:dyDescent="0.4">
      <c r="B36" s="4"/>
      <c r="C36" s="22"/>
      <c r="D36" s="4"/>
      <c r="E36" s="49"/>
      <c r="F36" s="22"/>
      <c r="G36" s="21"/>
      <c r="H36" s="21"/>
      <c r="I36" s="50"/>
      <c r="J36" s="46"/>
      <c r="K36" s="4"/>
    </row>
    <row r="37" spans="2:11" ht="13.05" customHeight="1" x14ac:dyDescent="0.4">
      <c r="B37" s="4"/>
      <c r="C37" s="22"/>
      <c r="D37" s="4"/>
      <c r="E37" s="49"/>
      <c r="F37" s="22"/>
      <c r="G37" s="21"/>
      <c r="H37" s="21"/>
      <c r="I37" s="50"/>
      <c r="J37" s="46"/>
      <c r="K37" s="4"/>
    </row>
    <row r="38" spans="2:11" ht="13.05" customHeight="1" x14ac:dyDescent="0.4">
      <c r="B38" s="4"/>
      <c r="C38" s="22"/>
      <c r="D38" s="4"/>
      <c r="E38" s="49"/>
      <c r="F38" s="22"/>
      <c r="G38" s="21"/>
      <c r="H38" s="21"/>
      <c r="I38" s="50"/>
      <c r="J38" s="46"/>
      <c r="K38" s="4"/>
    </row>
    <row r="39" spans="2:11" ht="13.05" customHeight="1" x14ac:dyDescent="0.4">
      <c r="B39" s="4"/>
      <c r="C39" s="43"/>
      <c r="D39" s="4"/>
      <c r="E39" s="4"/>
      <c r="F39" s="21"/>
      <c r="G39" s="21"/>
      <c r="H39" s="21"/>
      <c r="I39" s="48"/>
      <c r="J39" s="51"/>
      <c r="K39" s="4"/>
    </row>
    <row r="40" spans="2:11" ht="13.05" customHeight="1" x14ac:dyDescent="0.4">
      <c r="B40" s="4"/>
      <c r="C40" s="52" t="s">
        <v>28</v>
      </c>
      <c r="D40" s="52"/>
      <c r="E40" s="52"/>
      <c r="F40" s="53" t="s">
        <v>29</v>
      </c>
      <c r="G40" s="54" t="s">
        <v>30</v>
      </c>
      <c r="H40" s="55"/>
      <c r="I40" s="56" t="s">
        <v>31</v>
      </c>
      <c r="J40" s="57">
        <f>SUM(J26:J39)</f>
        <v>3543.1</v>
      </c>
      <c r="K40" s="4"/>
    </row>
    <row r="41" spans="2:11" ht="13.05" customHeight="1" x14ac:dyDescent="0.4">
      <c r="B41" s="4"/>
      <c r="C41" s="58"/>
      <c r="D41" s="58"/>
      <c r="E41" s="58"/>
      <c r="F41" s="59"/>
      <c r="G41" s="60"/>
      <c r="H41" s="61"/>
      <c r="I41" s="62" t="s">
        <v>32</v>
      </c>
      <c r="J41" s="63">
        <f>J40*10%</f>
        <v>354.31</v>
      </c>
      <c r="K41" s="4"/>
    </row>
    <row r="42" spans="2:11" ht="13.05" customHeight="1" x14ac:dyDescent="0.4">
      <c r="B42" s="4"/>
      <c r="C42" s="64" t="s">
        <v>33</v>
      </c>
      <c r="D42" s="64"/>
      <c r="E42" s="64"/>
      <c r="F42" s="64"/>
      <c r="G42" s="64"/>
      <c r="H42" s="61"/>
      <c r="I42" s="65" t="s">
        <v>22</v>
      </c>
      <c r="J42" s="66">
        <f>SUM(J40:J41)</f>
        <v>3897.41</v>
      </c>
      <c r="K42" s="4"/>
    </row>
    <row r="43" spans="2:11" ht="13.05" customHeight="1" x14ac:dyDescent="0.4">
      <c r="B43" s="4"/>
      <c r="C43" s="64"/>
      <c r="D43" s="64"/>
      <c r="E43" s="64"/>
      <c r="F43" s="64"/>
      <c r="G43" s="64"/>
      <c r="H43" s="4"/>
      <c r="K43" s="4"/>
    </row>
    <row r="44" spans="2:11" ht="7.5" customHeight="1" x14ac:dyDescent="0.4">
      <c r="B44" s="4"/>
      <c r="H44" s="4"/>
      <c r="I44" s="67"/>
      <c r="J44" s="68"/>
      <c r="K44" s="4"/>
    </row>
    <row r="45" spans="2:11" ht="13.05" customHeight="1" x14ac:dyDescent="0.4">
      <c r="B45" s="4"/>
      <c r="H45" s="69"/>
      <c r="I45" s="69"/>
      <c r="J45" s="69"/>
      <c r="K45" s="4"/>
    </row>
    <row r="46" spans="2:11" ht="13.05" customHeight="1" x14ac:dyDescent="0.4">
      <c r="B46" s="4"/>
      <c r="H46" s="69"/>
      <c r="I46" s="69"/>
      <c r="J46" s="69"/>
      <c r="K46" s="4"/>
    </row>
    <row r="51" spans="3:7" x14ac:dyDescent="0.4">
      <c r="C51" s="70"/>
      <c r="D51" s="70"/>
      <c r="E51" s="70"/>
      <c r="F51" s="70"/>
      <c r="G51" s="70"/>
    </row>
  </sheetData>
  <mergeCells count="4">
    <mergeCell ref="C3:D6"/>
    <mergeCell ref="I3:J6"/>
    <mergeCell ref="C7:D7"/>
    <mergeCell ref="C42:G43"/>
  </mergeCells>
  <hyperlinks>
    <hyperlink ref="C13" r:id="rId1" xr:uid="{9AEEAF87-2DFE-4918-903D-B719E8F84882}"/>
    <hyperlink ref="C16" r:id="rId2" display="anewton@nbeaustralia.com.au" xr:uid="{2D6162B1-2340-44B5-AACE-E765A2A87551}"/>
  </hyperlinks>
  <printOptions horizontalCentered="1"/>
  <pageMargins left="0.23622047244094491" right="0.23622047244094491" top="0.55118110236220474" bottom="0.35433070866141736" header="0.31496062992125984" footer="0.31496062992125984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20251030_QUOTE_IFS (1)</vt:lpstr>
      <vt:lpstr>'20251030_QUOTE_IFS 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kumar Mechineni</dc:creator>
  <cp:lastModifiedBy>Prasanna kumar Mechineni</cp:lastModifiedBy>
  <dcterms:created xsi:type="dcterms:W3CDTF">2026-05-10T00:53:58Z</dcterms:created>
  <dcterms:modified xsi:type="dcterms:W3CDTF">2026-05-10T00:54:35Z</dcterms:modified>
</cp:coreProperties>
</file>