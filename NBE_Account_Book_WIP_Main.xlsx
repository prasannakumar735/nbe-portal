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ch\Desktop\NBE_Portal_Data\"/>
    </mc:Choice>
  </mc:AlternateContent>
  <xr:revisionPtr revIDLastSave="0" documentId="13_ncr:1_{D5B8A013-A84D-4BC1-A640-82717E070AE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20250213_WP" sheetId="2" r:id="rId1"/>
    <sheet name="20250930_STIFFENER" sheetId="4" r:id="rId2"/>
    <sheet name="ORIG_DELETE" sheetId="1" r:id="rId3"/>
    <sheet name="Sheet1" sheetId="3" r:id="rId4"/>
  </sheets>
  <definedNames>
    <definedName name="_xlnm._FilterDatabase" localSheetId="0" hidden="1">'20250213_WP'!$A$3:$AC$958</definedName>
    <definedName name="_xlnm._FilterDatabase" localSheetId="1" hidden="1">'20250930_STIFFENER'!$A$3:$M$3</definedName>
    <definedName name="_xlnm._FilterDatabase" localSheetId="2" hidden="1">ORIG_DELETE!$A$2:$J$2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58" i="2" l="1"/>
  <c r="N764" i="2"/>
  <c r="N567" i="2"/>
  <c r="N281" i="2"/>
  <c r="N280" i="2"/>
  <c r="U764" i="2"/>
  <c r="U567" i="2"/>
  <c r="U281" i="2"/>
  <c r="U280" i="2"/>
  <c r="U643" i="2"/>
  <c r="U72" i="2"/>
  <c r="U134" i="2"/>
  <c r="U532" i="2"/>
  <c r="U393" i="2"/>
  <c r="U392" i="2"/>
  <c r="U287" i="2"/>
  <c r="U288" i="2"/>
  <c r="U391" i="2"/>
  <c r="U846" i="2"/>
  <c r="U642" i="2"/>
  <c r="U71" i="2"/>
  <c r="U957" i="2"/>
  <c r="U562" i="2"/>
  <c r="U286" i="2"/>
  <c r="U285" i="2"/>
  <c r="U215" i="2"/>
  <c r="U214" i="2"/>
  <c r="U733" i="2"/>
  <c r="U279" i="2"/>
  <c r="U785" i="2"/>
  <c r="U690" i="2"/>
  <c r="U689" i="2"/>
  <c r="U340" i="2"/>
  <c r="U339" i="2"/>
  <c r="N279" i="2"/>
  <c r="N785" i="2"/>
  <c r="N690" i="2"/>
  <c r="N689" i="2"/>
  <c r="N544" i="2" l="1"/>
  <c r="N543" i="2"/>
  <c r="N330" i="2"/>
  <c r="N331" i="2"/>
  <c r="N176" i="2"/>
  <c r="N175" i="2"/>
  <c r="N114" i="2"/>
  <c r="N461" i="2"/>
  <c r="N460" i="2"/>
  <c r="N723" i="2"/>
  <c r="N14" i="2"/>
  <c r="N814" i="2"/>
  <c r="N51" i="2"/>
  <c r="N277" i="2"/>
  <c r="N219" i="2"/>
  <c r="N235" i="2"/>
  <c r="N435" i="2"/>
  <c r="N246" i="2"/>
  <c r="N471" i="2"/>
  <c r="N19" i="2"/>
  <c r="N241" i="2"/>
  <c r="N384" i="2"/>
  <c r="N947" i="2"/>
  <c r="N948" i="2"/>
  <c r="N624" i="2"/>
  <c r="N832" i="2"/>
  <c r="N855" i="2"/>
  <c r="N407" i="2"/>
  <c r="N184" i="2"/>
  <c r="N123" i="2"/>
  <c r="N127" i="2"/>
  <c r="N783" i="2"/>
  <c r="N691" i="2"/>
  <c r="N337" i="2"/>
  <c r="N308" i="2"/>
  <c r="N338" i="2"/>
  <c r="N79" i="2"/>
  <c r="N526" i="2"/>
  <c r="N913" i="2"/>
  <c r="N617" i="2"/>
  <c r="N66" i="2"/>
  <c r="N65" i="2"/>
  <c r="N535" i="2"/>
  <c r="N540" i="2"/>
  <c r="N542" i="2"/>
  <c r="N541" i="2"/>
  <c r="N404" i="2"/>
  <c r="N464" i="2"/>
  <c r="N539" i="2"/>
  <c r="N459" i="2"/>
  <c r="N325" i="2"/>
  <c r="N324" i="2"/>
  <c r="N456" i="2"/>
  <c r="N22" i="2"/>
  <c r="N326" i="2"/>
  <c r="N547" i="2"/>
  <c r="N455" i="2"/>
  <c r="N685" i="2"/>
  <c r="N363" i="2"/>
  <c r="N284" i="2"/>
  <c r="N433" i="2"/>
  <c r="N432" i="2"/>
  <c r="N743" i="2"/>
  <c r="N359" i="2"/>
  <c r="N364" i="2"/>
  <c r="N358" i="2"/>
  <c r="N357" i="2"/>
  <c r="N243" i="2"/>
  <c r="N428" i="2"/>
  <c r="N956" i="2"/>
  <c r="N148" i="2"/>
  <c r="N360" i="2"/>
  <c r="N380" i="2"/>
  <c r="N649" i="2"/>
  <c r="N645" i="2"/>
  <c r="N644" i="2"/>
  <c r="N822" i="2"/>
  <c r="N434" i="2"/>
  <c r="N303" i="2"/>
  <c r="N321" i="2"/>
  <c r="N320" i="2"/>
  <c r="N419" i="2"/>
  <c r="N430" i="2"/>
  <c r="N429" i="2"/>
  <c r="N156" i="2"/>
  <c r="N155" i="2"/>
  <c r="N463" i="2"/>
  <c r="N365" i="2"/>
  <c r="N784" i="2"/>
  <c r="N406" i="2"/>
  <c r="N815" i="2"/>
  <c r="N856" i="2"/>
  <c r="N754" i="2"/>
  <c r="N403" i="2"/>
  <c r="N786" i="2"/>
  <c r="N139" i="2"/>
  <c r="N662" i="2"/>
  <c r="N735" i="2"/>
  <c r="N793" i="2"/>
  <c r="N810" i="2"/>
  <c r="N623" i="2"/>
  <c r="N622" i="2"/>
  <c r="N736" i="2"/>
  <c r="N737" i="2"/>
  <c r="N954" i="2"/>
  <c r="N462" i="2"/>
  <c r="N465" i="2"/>
  <c r="N808" i="2"/>
  <c r="N21" i="2"/>
  <c r="N405" i="2"/>
  <c r="N584" i="2"/>
  <c r="N898" i="2"/>
  <c r="N74" i="2"/>
  <c r="N569" i="2"/>
  <c r="N210" i="2"/>
  <c r="N39" i="2"/>
  <c r="N134" i="2"/>
  <c r="N469" i="2"/>
  <c r="N568" i="2"/>
  <c r="N80" i="2"/>
  <c r="N655" i="2"/>
  <c r="N801" i="2"/>
  <c r="N122" i="2"/>
  <c r="N826" i="2"/>
  <c r="N179" i="2"/>
  <c r="N533" i="2"/>
  <c r="N125" i="2"/>
  <c r="N468" i="2"/>
  <c r="N251" i="2"/>
  <c r="N250" i="2"/>
  <c r="N734" i="2"/>
  <c r="N669" i="2"/>
  <c r="N795" i="2"/>
  <c r="N504" i="2"/>
  <c r="N748" i="2"/>
  <c r="N729" i="2"/>
  <c r="N803" i="2"/>
  <c r="N138" i="2"/>
  <c r="N137" i="2"/>
  <c r="N136" i="2"/>
  <c r="N196" i="2"/>
  <c r="N298" i="2"/>
  <c r="N61" i="2"/>
  <c r="N773" i="2"/>
  <c r="N205" i="2"/>
  <c r="N319" i="2"/>
  <c r="N611" i="2"/>
  <c r="N322" i="2"/>
  <c r="N559" i="2"/>
  <c r="N317" i="2"/>
  <c r="N255" i="2"/>
  <c r="N770" i="2"/>
  <c r="N605" i="2"/>
  <c r="N720" i="2"/>
  <c r="N719" i="2"/>
  <c r="N718" i="2"/>
  <c r="N525" i="2"/>
  <c r="N604" i="2"/>
  <c r="N109" i="2"/>
  <c r="N774" i="2"/>
  <c r="N8" i="2"/>
  <c r="N575" i="2"/>
  <c r="N692" i="2"/>
  <c r="N524" i="2"/>
  <c r="N916" i="2"/>
  <c r="N485" i="2"/>
  <c r="N271" i="2"/>
  <c r="N714" i="2"/>
  <c r="N713" i="2"/>
  <c r="N715" i="2"/>
  <c r="N712" i="2"/>
  <c r="N711" i="2"/>
  <c r="N112" i="2"/>
  <c r="N63" i="2"/>
  <c r="N212" i="2"/>
  <c r="N211" i="2"/>
  <c r="N44" i="2"/>
  <c r="N153" i="2"/>
  <c r="N425" i="2"/>
  <c r="N857" i="2"/>
  <c r="N120" i="2"/>
  <c r="N129" i="2"/>
  <c r="N864" i="2"/>
  <c r="N777" i="2"/>
  <c r="N113" i="2"/>
  <c r="N302" i="2"/>
  <c r="N301" i="2"/>
  <c r="N234" i="2"/>
  <c r="N721" i="2"/>
  <c r="N391" i="2"/>
  <c r="N323" i="2"/>
  <c r="N230" i="2"/>
  <c r="N347" i="2"/>
  <c r="N283" i="2"/>
  <c r="N163" i="2"/>
  <c r="N501" i="2"/>
  <c r="N500" i="2"/>
  <c r="N349" i="2"/>
  <c r="N809" i="2"/>
  <c r="N872" i="2"/>
  <c r="N871" i="2"/>
  <c r="N873" i="2"/>
  <c r="N195" i="2"/>
  <c r="N194" i="2"/>
  <c r="N231" i="2"/>
  <c r="N232" i="2"/>
  <c r="N426" i="2"/>
  <c r="N94" i="2"/>
  <c r="N174" i="2"/>
  <c r="N173" i="2"/>
  <c r="N450" i="2"/>
  <c r="N648" i="2"/>
  <c r="N652" i="2"/>
  <c r="N775" i="2"/>
  <c r="N867" i="2"/>
  <c r="N866" i="2"/>
  <c r="N772" i="2"/>
  <c r="N776" i="2"/>
  <c r="N710" i="2"/>
  <c r="N870" i="2"/>
  <c r="N846" i="2"/>
  <c r="N845" i="2"/>
  <c r="N452" i="2"/>
  <c r="N458" i="2"/>
  <c r="N276" i="2"/>
  <c r="N95" i="2"/>
  <c r="N96" i="2"/>
  <c r="N813" i="2"/>
  <c r="N812" i="2"/>
  <c r="N811" i="2"/>
  <c r="N150" i="2"/>
  <c r="N941" i="2"/>
  <c r="N104" i="2"/>
  <c r="N105" i="2"/>
  <c r="N239" i="2"/>
  <c r="N287" i="2"/>
  <c r="N288" i="2"/>
  <c r="N97" i="2"/>
  <c r="N681" i="2"/>
  <c r="N202" i="2"/>
  <c r="N585" i="2"/>
  <c r="N583" i="2"/>
  <c r="N140" i="2"/>
  <c r="N817" i="2"/>
  <c r="N739" i="2"/>
  <c r="N847" i="2"/>
  <c r="N181" i="2"/>
  <c r="N88" i="2"/>
  <c r="N98" i="2"/>
  <c r="N944" i="2"/>
  <c r="N28" i="2"/>
  <c r="N128" i="2"/>
  <c r="N229" i="2"/>
  <c r="N228" i="2"/>
  <c r="N512" i="2"/>
  <c r="N511" i="2"/>
  <c r="N227" i="2"/>
  <c r="N17" i="2"/>
  <c r="N206" i="2"/>
  <c r="N389" i="2"/>
  <c r="N399" i="2"/>
  <c r="N834" i="2"/>
  <c r="N344" i="2"/>
  <c r="N203" i="2"/>
  <c r="N663" i="2"/>
  <c r="N412" i="2"/>
  <c r="N698" i="2"/>
  <c r="N727" i="2"/>
  <c r="N346" i="2"/>
  <c r="N722" i="2"/>
  <c r="N613" i="2"/>
  <c r="N133" i="2"/>
  <c r="N532" i="2"/>
  <c r="N418" i="2"/>
  <c r="N695" i="2"/>
  <c r="N390" i="2"/>
  <c r="N806" i="2"/>
  <c r="N629" i="2"/>
  <c r="N475" i="2"/>
  <c r="N865" i="2"/>
  <c r="N422" i="2"/>
  <c r="N868" i="2"/>
  <c r="N828" i="2"/>
  <c r="N498" i="2"/>
  <c r="N862" i="2"/>
  <c r="N863" i="2"/>
  <c r="N480" i="2"/>
  <c r="N794" i="2"/>
  <c r="N265" i="2"/>
  <c r="N493" i="2"/>
  <c r="N396" i="2"/>
  <c r="N395" i="2"/>
  <c r="N343" i="2"/>
  <c r="N345" i="2"/>
  <c r="N606" i="2"/>
  <c r="N608" i="2"/>
  <c r="N607" i="2"/>
  <c r="N329" i="2"/>
  <c r="N328" i="2"/>
  <c r="N213" i="2"/>
  <c r="N368" i="2"/>
  <c r="N367" i="2"/>
  <c r="N909" i="2"/>
  <c r="N820" i="2"/>
  <c r="N831" i="2"/>
  <c r="N618" i="2"/>
  <c r="N667" i="2"/>
  <c r="N953" i="2"/>
  <c r="N427" i="2"/>
  <c r="N478" i="2"/>
  <c r="N949" i="2"/>
  <c r="N517" i="2"/>
  <c r="N519" i="2"/>
  <c r="N518" i="2"/>
  <c r="N668" i="2"/>
  <c r="N417" i="2"/>
  <c r="N253" i="2"/>
  <c r="N38" i="2"/>
  <c r="N771" i="2"/>
  <c r="N805" i="2"/>
  <c r="N807" i="2"/>
  <c r="N647" i="2"/>
  <c r="N651" i="2"/>
  <c r="N756" i="2"/>
  <c r="N373" i="2"/>
  <c r="N372" i="2"/>
  <c r="N377" i="2"/>
  <c r="N376" i="2"/>
  <c r="N375" i="2"/>
  <c r="N40" i="2"/>
  <c r="N488" i="2"/>
  <c r="N757" i="2"/>
  <c r="N90" i="2"/>
  <c r="N199" i="2"/>
  <c r="N198" i="2"/>
  <c r="N286" i="2"/>
  <c r="N378" i="2"/>
  <c r="N393" i="2"/>
  <c r="N392" i="2"/>
  <c r="N600" i="2"/>
  <c r="N599" i="2"/>
  <c r="N925" i="2"/>
  <c r="N601" i="2"/>
  <c r="N348" i="2"/>
  <c r="N625" i="2"/>
  <c r="N823" i="2"/>
  <c r="N670" i="2"/>
  <c r="N495" i="2"/>
  <c r="N494" i="2"/>
  <c r="N167" i="2"/>
  <c r="N675" i="2"/>
  <c r="N950" i="2"/>
  <c r="N394" i="2"/>
  <c r="N340" i="2"/>
  <c r="N554" i="2"/>
  <c r="N527" i="2"/>
  <c r="N579" i="2"/>
  <c r="N578" i="2"/>
  <c r="N598" i="2"/>
  <c r="N597" i="2"/>
  <c r="N334" i="2"/>
  <c r="N336" i="2"/>
  <c r="N335" i="2"/>
  <c r="N339" i="2"/>
  <c r="N673" i="2"/>
  <c r="N245" i="2"/>
  <c r="N496" i="2"/>
  <c r="N18" i="2"/>
  <c r="N197" i="2"/>
  <c r="N47" i="2"/>
  <c r="N414" i="2"/>
  <c r="N413" i="2"/>
  <c r="N415" i="2"/>
  <c r="N71" i="2"/>
  <c r="N411" i="2"/>
  <c r="N410" i="2"/>
  <c r="N266" i="2"/>
  <c r="N81" i="2"/>
  <c r="N130" i="2"/>
  <c r="N247" i="2"/>
  <c r="N641" i="2"/>
  <c r="N117" i="2"/>
  <c r="N58" i="2"/>
  <c r="N57" i="2"/>
  <c r="N182" i="2"/>
  <c r="N431" i="2"/>
  <c r="N528" i="2"/>
  <c r="N558" i="2"/>
  <c r="N665" i="2"/>
  <c r="N726" i="2"/>
  <c r="N725" i="2"/>
  <c r="N746" i="2"/>
  <c r="N745" i="2"/>
  <c r="N853" i="2"/>
  <c r="N490" i="2"/>
  <c r="N242" i="2"/>
  <c r="N686" i="2"/>
  <c r="N240" i="2"/>
  <c r="N333" i="2"/>
  <c r="N590" i="2"/>
  <c r="N587" i="2"/>
  <c r="N586" i="2"/>
  <c r="N708" i="2"/>
  <c r="N724" i="2"/>
  <c r="N626" i="2"/>
  <c r="N82" i="2"/>
  <c r="N285" i="2"/>
  <c r="N341" i="2"/>
  <c r="N637" i="2"/>
  <c r="N755" i="2"/>
  <c r="N768" i="2"/>
  <c r="N782" i="2"/>
  <c r="N912" i="2"/>
  <c r="N472" i="2"/>
  <c r="N630" i="2"/>
  <c r="N636" i="2"/>
  <c r="N635" i="2"/>
  <c r="N634" i="2"/>
  <c r="N633" i="2"/>
  <c r="N29" i="2"/>
  <c r="N682" i="2"/>
  <c r="N36" i="2"/>
  <c r="N238" i="2"/>
  <c r="N237" i="2"/>
  <c r="N56" i="2"/>
  <c r="N84" i="2"/>
  <c r="N83" i="2"/>
  <c r="N45" i="2"/>
  <c r="N887" i="2"/>
  <c r="N165" i="2"/>
  <c r="N886" i="2"/>
  <c r="N937" i="2"/>
  <c r="N216" i="2"/>
  <c r="N890" i="2"/>
  <c r="N888" i="2"/>
  <c r="N72" i="2"/>
  <c r="N218" i="2"/>
  <c r="N356" i="2"/>
  <c r="N679" i="2"/>
  <c r="N889" i="2"/>
  <c r="N487" i="2"/>
  <c r="N884" i="2"/>
  <c r="N530" i="2"/>
  <c r="N657" i="2"/>
  <c r="N656" i="2"/>
  <c r="N118" i="2"/>
  <c r="N221" i="2"/>
  <c r="N486" i="2"/>
  <c r="N674" i="2"/>
  <c r="N765" i="2"/>
  <c r="N880" i="2"/>
  <c r="N885" i="2"/>
  <c r="N908" i="2"/>
  <c r="N217" i="2"/>
  <c r="N506" i="2"/>
  <c r="N562" i="2"/>
  <c r="N918" i="2"/>
  <c r="N46" i="2"/>
  <c r="N709" i="2"/>
  <c r="N183" i="2"/>
  <c r="N876" i="2"/>
  <c r="N267" i="2"/>
  <c r="N882" i="2"/>
  <c r="N552" i="2"/>
  <c r="N639" i="2"/>
  <c r="N902" i="2"/>
  <c r="N900" i="2"/>
  <c r="N483" i="2"/>
  <c r="N208" i="2"/>
  <c r="N264" i="2"/>
  <c r="N388" i="2"/>
  <c r="N561" i="2"/>
  <c r="N766" i="2"/>
  <c r="N778" i="2"/>
  <c r="N844" i="2"/>
  <c r="N896" i="2"/>
  <c r="N931" i="2"/>
  <c r="N936" i="2"/>
  <c r="N474" i="2"/>
  <c r="N602" i="2"/>
  <c r="N401" i="2"/>
  <c r="N64" i="2"/>
  <c r="N582" i="2"/>
  <c r="N901" i="2"/>
  <c r="N441" i="2"/>
  <c r="N189" i="2"/>
  <c r="N190" i="2"/>
  <c r="N707" i="2"/>
  <c r="N556" i="2"/>
  <c r="N549" i="2"/>
  <c r="N906" i="2"/>
  <c r="N126" i="2"/>
  <c r="N946" i="2"/>
  <c r="N557" i="2"/>
  <c r="N881" i="2"/>
  <c r="N932" i="2"/>
  <c r="N5" i="2"/>
  <c r="N201" i="2"/>
  <c r="N615" i="2"/>
  <c r="N677" i="2"/>
  <c r="N676" i="2"/>
  <c r="N124" i="2"/>
  <c r="N919" i="2"/>
  <c r="N926" i="2"/>
  <c r="N702" i="2"/>
  <c r="N927" i="2"/>
  <c r="N108" i="2"/>
  <c r="N892" i="2"/>
  <c r="N701" i="2"/>
  <c r="N187" i="2"/>
  <c r="N188" i="2"/>
  <c r="N145" i="2"/>
  <c r="N952" i="2"/>
  <c r="N955" i="2"/>
  <c r="N34" i="2"/>
  <c r="N33" i="2"/>
  <c r="N32" i="2"/>
  <c r="N31" i="2"/>
  <c r="N144" i="2"/>
  <c r="N957" i="2"/>
  <c r="N30" i="2"/>
  <c r="N91" i="2"/>
  <c r="N684" i="2"/>
  <c r="N664" i="2"/>
  <c r="N683" i="2"/>
  <c r="N297" i="2"/>
  <c r="N609" i="2"/>
  <c r="N548" i="2"/>
  <c r="N840" i="2"/>
  <c r="N875" i="2"/>
  <c r="N438" i="2"/>
  <c r="N904" i="2"/>
  <c r="N903" i="2"/>
  <c r="N515" i="2"/>
  <c r="N933" i="2"/>
  <c r="N920" i="2"/>
  <c r="N278" i="2"/>
  <c r="N443" i="2"/>
  <c r="N342" i="2"/>
  <c r="N666" i="2"/>
  <c r="N508" i="2"/>
  <c r="N507" i="2"/>
  <c r="N157" i="2"/>
  <c r="N111" i="2"/>
  <c r="N440" i="2"/>
  <c r="N146" i="2"/>
  <c r="N523" i="2"/>
  <c r="N520" i="2"/>
  <c r="N152" i="2"/>
  <c r="N151" i="2"/>
  <c r="N48" i="2"/>
  <c r="N510" i="2"/>
  <c r="N893" i="2"/>
  <c r="N62" i="2"/>
  <c r="N233" i="2"/>
  <c r="N366" i="2"/>
  <c r="N312" i="2"/>
  <c r="N311" i="2"/>
  <c r="N560" i="2"/>
  <c r="N257" i="2"/>
  <c r="N383" i="2"/>
  <c r="N827" i="2"/>
  <c r="N910" i="2"/>
  <c r="N529" i="2"/>
  <c r="N142" i="2"/>
  <c r="N141" i="2"/>
  <c r="N733" i="2"/>
  <c r="N509" i="2"/>
  <c r="N537" i="2"/>
  <c r="N482" i="2"/>
  <c r="N481" i="2"/>
  <c r="N477" i="2"/>
  <c r="N476" i="2"/>
  <c r="N479" i="2"/>
  <c r="N143" i="2"/>
  <c r="N491" i="2"/>
  <c r="N492" i="2"/>
  <c r="N741" i="2"/>
  <c r="N270" i="2"/>
  <c r="N224" i="2"/>
  <c r="N223" i="2"/>
  <c r="N226" i="2"/>
  <c r="N225" i="2"/>
  <c r="N640" i="2"/>
  <c r="N643" i="2"/>
  <c r="N294" i="2"/>
  <c r="N16" i="2"/>
  <c r="N603" i="2"/>
  <c r="N850" i="2"/>
  <c r="N256" i="2"/>
  <c r="N300" i="2"/>
  <c r="N299" i="2"/>
  <c r="N907" i="2"/>
  <c r="N106" i="2"/>
  <c r="N295" i="2"/>
  <c r="N296" i="2"/>
  <c r="N895" i="2"/>
  <c r="N894" i="2"/>
  <c r="N883" i="2"/>
  <c r="N934" i="2"/>
  <c r="N503" i="2"/>
  <c r="N899" i="2"/>
  <c r="N700" i="2"/>
  <c r="N15" i="2"/>
  <c r="N797" i="2"/>
  <c r="N798" i="2"/>
  <c r="N642" i="2"/>
  <c r="N767" i="2"/>
  <c r="N717" i="2"/>
  <c r="N703" i="2"/>
  <c r="N209" i="2"/>
  <c r="N159" i="2"/>
  <c r="N160" i="2"/>
  <c r="N35" i="2"/>
  <c r="N290" i="2"/>
  <c r="N289" i="2"/>
  <c r="N222" i="2"/>
  <c r="N292" i="2"/>
  <c r="N291" i="2"/>
  <c r="N316" i="2"/>
  <c r="N315" i="2"/>
  <c r="N699" i="2"/>
  <c r="N915" i="2"/>
  <c r="N107" i="2"/>
  <c r="N186" i="2"/>
  <c r="N874" i="2"/>
  <c r="N505" i="2"/>
  <c r="N421" i="2"/>
  <c r="N420" i="2"/>
  <c r="N282" i="2"/>
  <c r="N293" i="2"/>
  <c r="N697" i="2"/>
  <c r="N696" i="2"/>
  <c r="N802" i="2"/>
  <c r="N935" i="2"/>
  <c r="N945" i="2"/>
  <c r="N110" i="2"/>
  <c r="N593" i="2"/>
  <c r="N591" i="2"/>
  <c r="N592" i="2"/>
  <c r="N24" i="2"/>
  <c r="N23" i="2"/>
  <c r="N172" i="2"/>
  <c r="N309" i="2"/>
  <c r="N305" i="2"/>
  <c r="N307" i="2"/>
  <c r="N306" i="2"/>
  <c r="N327" i="2"/>
  <c r="N693" i="2"/>
  <c r="N632" i="2"/>
  <c r="N369" i="2"/>
  <c r="N215" i="2"/>
  <c r="N905" i="2"/>
  <c r="N371" i="2"/>
  <c r="N370" i="2"/>
  <c r="N424" i="2"/>
  <c r="N54" i="2"/>
  <c r="N631" i="2"/>
  <c r="N596" i="2"/>
  <c r="N381" i="2"/>
  <c r="N522" i="2"/>
  <c r="N177" i="2"/>
  <c r="N147" i="2"/>
  <c r="N730" i="2"/>
  <c r="N269" i="2"/>
  <c r="N121" i="2"/>
  <c r="N77" i="2"/>
  <c r="N99" i="2"/>
  <c r="N259" i="2"/>
  <c r="N502" i="2"/>
  <c r="N25" i="2"/>
  <c r="N747" i="2"/>
  <c r="N444" i="2"/>
  <c r="N68" i="2"/>
  <c r="N67" i="2"/>
  <c r="N314" i="2"/>
  <c r="N313" i="2"/>
  <c r="N678" i="2"/>
  <c r="N70" i="2"/>
  <c r="N69" i="2"/>
  <c r="N102" i="2"/>
  <c r="N103" i="2"/>
  <c r="N843" i="2"/>
  <c r="N576" i="2"/>
  <c r="N42" i="2"/>
  <c r="N101" i="2"/>
  <c r="N131" i="2"/>
  <c r="N273" i="2"/>
  <c r="N581" i="2"/>
  <c r="N650" i="2"/>
  <c r="N646" i="2"/>
  <c r="N917" i="2"/>
  <c r="N924" i="2"/>
  <c r="N940" i="2"/>
  <c r="N616" i="2"/>
  <c r="N207" i="2"/>
  <c r="N423" i="2"/>
  <c r="N577" i="2"/>
  <c r="N779" i="2"/>
  <c r="N610" i="2"/>
  <c r="N851" i="2"/>
  <c r="N379" i="2"/>
  <c r="N402" i="2"/>
  <c r="N92" i="2"/>
  <c r="N9" i="2"/>
  <c r="N204" i="2"/>
  <c r="N193" i="2"/>
  <c r="N628" i="2"/>
  <c r="N836" i="2"/>
  <c r="N859" i="2"/>
  <c r="N214" i="2"/>
  <c r="N744" i="2"/>
  <c r="N73" i="2"/>
  <c r="N11" i="2"/>
  <c r="N594" i="2"/>
  <c r="N545" i="2"/>
  <c r="N374" i="2"/>
  <c r="N572" i="2"/>
  <c r="N171" i="2"/>
  <c r="N7" i="2"/>
  <c r="N6" i="2"/>
  <c r="N742" i="2"/>
  <c r="N788" i="2"/>
  <c r="N789" i="2"/>
  <c r="N260" i="2"/>
  <c r="N694" i="2"/>
  <c r="N716" i="2"/>
  <c r="N353" i="2"/>
  <c r="N385" i="2"/>
  <c r="N688" i="2"/>
  <c r="N52" i="2"/>
  <c r="N454" i="2"/>
  <c r="N453" i="2"/>
  <c r="N687" i="2"/>
  <c r="N671" i="2"/>
  <c r="N4" i="2"/>
  <c r="N386" i="2"/>
  <c r="N447" i="2"/>
  <c r="N446" i="2"/>
  <c r="N838" i="2"/>
  <c r="N457" i="2"/>
  <c r="N170" i="2"/>
  <c r="N169" i="2"/>
  <c r="N119" i="2"/>
  <c r="N787" i="2"/>
  <c r="N168" i="2"/>
  <c r="N534" i="2"/>
  <c r="N835" i="2"/>
  <c r="N706" i="2"/>
  <c r="N704" i="2"/>
  <c r="N27" i="2"/>
  <c r="N75" i="2"/>
  <c r="N85" i="2"/>
  <c r="N180" i="2"/>
  <c r="N416" i="2"/>
  <c r="N869" i="2"/>
  <c r="N521" i="2"/>
  <c r="N842" i="2"/>
  <c r="N437" i="2"/>
  <c r="N436" i="2"/>
  <c r="N467" i="2"/>
  <c r="N841" i="2"/>
  <c r="N619" i="2"/>
  <c r="N354" i="2"/>
  <c r="N76" i="2"/>
  <c r="N439" i="2"/>
  <c r="N740" i="2"/>
  <c r="N89" i="2"/>
  <c r="N821" i="2"/>
  <c r="N638" i="2"/>
  <c r="N780" i="2"/>
  <c r="N192" i="2"/>
  <c r="N781" i="2"/>
  <c r="N53" i="2"/>
  <c r="N132" i="2"/>
  <c r="N154" i="2"/>
  <c r="N930" i="2"/>
  <c r="N387" i="2"/>
  <c r="N897" i="2"/>
  <c r="N43" i="2"/>
  <c r="N261" i="2"/>
  <c r="N400" i="2"/>
  <c r="N816" i="2"/>
  <c r="N60" i="2"/>
  <c r="N59" i="2"/>
  <c r="N408" i="2"/>
  <c r="N738" i="2"/>
  <c r="N942" i="2"/>
  <c r="N627" i="2"/>
  <c r="N612" i="2"/>
  <c r="N573" i="2"/>
  <c r="N355" i="2"/>
  <c r="N409" i="2"/>
  <c r="N621" i="2"/>
  <c r="N451" i="2"/>
  <c r="N769" i="2"/>
  <c r="N272" i="2"/>
  <c r="N162" i="2"/>
  <c r="N922" i="2"/>
  <c r="N398" i="2"/>
  <c r="N790" i="2"/>
  <c r="N50" i="2"/>
  <c r="N178" i="2"/>
  <c r="N514" i="2"/>
  <c r="N513" i="2"/>
  <c r="N833" i="2"/>
  <c r="N791" i="2"/>
  <c r="N166" i="2"/>
  <c r="N397" i="2"/>
  <c r="N819" i="2"/>
  <c r="N236" i="2"/>
  <c r="N804" i="2"/>
  <c r="N728" i="2"/>
  <c r="N164" i="2"/>
  <c r="N37" i="2"/>
  <c r="N792" i="2"/>
  <c r="N878" i="2"/>
  <c r="N489" i="2"/>
  <c r="N382" i="2"/>
  <c r="N705" i="2"/>
  <c r="N861" i="2"/>
  <c r="N620" i="2"/>
  <c r="N929" i="2"/>
  <c r="N185" i="2"/>
  <c r="N879" i="2"/>
  <c r="N10" i="2"/>
  <c r="N914" i="2"/>
  <c r="N158" i="2"/>
  <c r="N484" i="2"/>
  <c r="N516" i="2"/>
  <c r="N595" i="2"/>
  <c r="N499" i="2"/>
  <c r="N536" i="2"/>
  <c r="N763" i="2"/>
  <c r="N87" i="2"/>
  <c r="N86" i="2"/>
  <c r="N55" i="2"/>
  <c r="N332" i="2"/>
  <c r="N732" i="2"/>
  <c r="N654" i="2"/>
  <c r="N497" i="2"/>
  <c r="N589" i="2"/>
  <c r="N588" i="2"/>
  <c r="N318" i="2"/>
  <c r="N531" i="2"/>
  <c r="N751" i="2"/>
  <c r="N750" i="2"/>
  <c r="N752" i="2"/>
  <c r="N252" i="2"/>
  <c r="N848" i="2"/>
  <c r="N20" i="2"/>
  <c r="N614" i="2"/>
  <c r="N49" i="2"/>
  <c r="N753" i="2"/>
  <c r="N854" i="2"/>
  <c r="N304" i="2"/>
  <c r="N362" i="2"/>
  <c r="N361" i="2"/>
  <c r="N566" i="2"/>
  <c r="N565" i="2"/>
  <c r="N466" i="2"/>
  <c r="N100" i="2"/>
  <c r="N115" i="2"/>
  <c r="N93" i="2"/>
  <c r="N78" i="2"/>
  <c r="N244" i="2"/>
  <c r="N254" i="2"/>
  <c r="N116" i="2"/>
  <c r="N564" i="2"/>
  <c r="N563" i="2"/>
  <c r="N571" i="2"/>
  <c r="N570" i="2"/>
  <c r="N829" i="2"/>
  <c r="E6" i="3"/>
  <c r="E7" i="3"/>
  <c r="E8" i="3"/>
  <c r="E9" i="3"/>
  <c r="D9" i="3"/>
</calcChain>
</file>

<file path=xl/sharedStrings.xml><?xml version="1.0" encoding="utf-8"?>
<sst xmlns="http://schemas.openxmlformats.org/spreadsheetml/2006/main" count="12677" uniqueCount="4426">
  <si>
    <t>Project ID</t>
  </si>
  <si>
    <t>Description</t>
  </si>
  <si>
    <t>Date</t>
  </si>
  <si>
    <t>Client Name</t>
  </si>
  <si>
    <t>Door Type</t>
  </si>
  <si>
    <t>Dimension</t>
  </si>
  <si>
    <t>Motor Size</t>
  </si>
  <si>
    <t>Gearbox Type</t>
  </si>
  <si>
    <t>Curtain Color</t>
  </si>
  <si>
    <t>#</t>
  </si>
  <si>
    <t>0133-2</t>
  </si>
  <si>
    <t>0133-4</t>
  </si>
  <si>
    <t>0133-6</t>
  </si>
  <si>
    <t>0133-8</t>
  </si>
  <si>
    <t>0133-9</t>
  </si>
  <si>
    <t>0171</t>
  </si>
  <si>
    <t>0217</t>
  </si>
  <si>
    <t>0260 A</t>
  </si>
  <si>
    <t>0270</t>
  </si>
  <si>
    <t>0281</t>
  </si>
  <si>
    <t>0282</t>
  </si>
  <si>
    <t>0283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</si>
  <si>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</si>
  <si>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</si>
  <si>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</si>
  <si>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</si>
  <si>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</si>
  <si>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</si>
  <si>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</si>
  <si>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</si>
  <si>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</si>
  <si>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0295</t>
  </si>
  <si>
    <t>0300</t>
  </si>
  <si>
    <t>0301</t>
  </si>
  <si>
    <t>0305</t>
  </si>
  <si>
    <t>0306</t>
  </si>
  <si>
    <t>0311</t>
  </si>
  <si>
    <t>0316</t>
  </si>
  <si>
    <t>0322</t>
  </si>
  <si>
    <t>0323</t>
  </si>
  <si>
    <t>0326</t>
  </si>
  <si>
    <t>0344</t>
  </si>
  <si>
    <t>0346</t>
  </si>
  <si>
    <t>0347</t>
  </si>
  <si>
    <t>0348</t>
  </si>
  <si>
    <t>0349</t>
  </si>
  <si>
    <t>0351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</si>
  <si>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</si>
  <si>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</si>
  <si>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</si>
  <si>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</si>
  <si>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</si>
  <si>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</si>
  <si>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</si>
  <si>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</si>
  <si>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</si>
  <si>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</si>
  <si>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</si>
  <si>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</si>
  <si>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</si>
  <si>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</si>
  <si>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</si>
  <si>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</si>
  <si>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</si>
  <si>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0371</t>
  </si>
  <si>
    <t>0372</t>
  </si>
  <si>
    <t>0373</t>
  </si>
  <si>
    <t>0375</t>
  </si>
  <si>
    <t>0377</t>
  </si>
  <si>
    <t>0378</t>
  </si>
  <si>
    <t>0379</t>
  </si>
  <si>
    <t>0380</t>
  </si>
  <si>
    <t>0381</t>
  </si>
  <si>
    <t>0382</t>
  </si>
  <si>
    <t>0383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</si>
  <si>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</si>
  <si>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</si>
  <si>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</si>
  <si>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</si>
  <si>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</si>
  <si>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</si>
  <si>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</si>
  <si>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</si>
  <si>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</si>
  <si>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0398</t>
  </si>
  <si>
    <t>0401</t>
  </si>
  <si>
    <t>0403</t>
  </si>
  <si>
    <t>0408</t>
  </si>
  <si>
    <t>0409</t>
  </si>
  <si>
    <t>0416</t>
  </si>
  <si>
    <t>0419</t>
  </si>
  <si>
    <t>0420</t>
  </si>
  <si>
    <t>0423</t>
  </si>
  <si>
    <t>0424</t>
  </si>
  <si>
    <t>0425</t>
  </si>
  <si>
    <t>0426</t>
  </si>
  <si>
    <t>0427</t>
  </si>
  <si>
    <t>0428</t>
  </si>
  <si>
    <t>0429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</si>
  <si>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</si>
  <si>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</si>
  <si>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</si>
  <si>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</si>
  <si>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</si>
  <si>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</si>
  <si>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</si>
  <si>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</si>
  <si>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</si>
  <si>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</si>
  <si>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0442</t>
  </si>
  <si>
    <t>0443</t>
  </si>
  <si>
    <t>0445</t>
  </si>
  <si>
    <t>0447</t>
  </si>
  <si>
    <t>0448</t>
  </si>
  <si>
    <t>0449</t>
  </si>
  <si>
    <t>0450</t>
  </si>
  <si>
    <t>0451</t>
  </si>
  <si>
    <t>0454</t>
  </si>
  <si>
    <t>0455</t>
  </si>
  <si>
    <t>0456</t>
  </si>
  <si>
    <t>0459</t>
  </si>
  <si>
    <t>0461</t>
  </si>
  <si>
    <t>0462</t>
  </si>
  <si>
    <t>0463</t>
  </si>
  <si>
    <t>0464</t>
  </si>
  <si>
    <t>0465</t>
  </si>
  <si>
    <t>0467</t>
  </si>
  <si>
    <t>0468A</t>
  </si>
  <si>
    <t>0468B</t>
  </si>
  <si>
    <t>0469</t>
  </si>
  <si>
    <t>0470A</t>
  </si>
  <si>
    <t>0470B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</si>
  <si>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</si>
  <si>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</si>
  <si>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</si>
  <si>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</si>
  <si>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</si>
  <si>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</si>
  <si>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</si>
  <si>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</si>
  <si>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</si>
  <si>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</si>
  <si>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</si>
  <si>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</si>
  <si>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</si>
  <si>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</si>
  <si>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</si>
  <si>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0487</t>
  </si>
  <si>
    <t>0488</t>
  </si>
  <si>
    <t>0489</t>
  </si>
  <si>
    <t>0490</t>
  </si>
  <si>
    <t>0491</t>
  </si>
  <si>
    <t>0492</t>
  </si>
  <si>
    <t>0494</t>
  </si>
  <si>
    <t>0495</t>
  </si>
  <si>
    <t>0496</t>
  </si>
  <si>
    <t>0498</t>
  </si>
  <si>
    <t>0499</t>
  </si>
  <si>
    <t>0501</t>
  </si>
  <si>
    <t>0503</t>
  </si>
  <si>
    <t>0504</t>
  </si>
  <si>
    <t>0506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</si>
  <si>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</si>
  <si>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</si>
  <si>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</si>
  <si>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</si>
  <si>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</si>
  <si>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</si>
  <si>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</si>
  <si>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</si>
  <si>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</si>
  <si>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</si>
  <si>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</si>
  <si>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</si>
  <si>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</si>
  <si>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</si>
  <si>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</si>
  <si>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</si>
  <si>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</si>
  <si>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</si>
  <si>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</si>
  <si>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</si>
  <si>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</si>
  <si>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</si>
  <si>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</si>
  <si>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</si>
  <si>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</si>
  <si>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</si>
  <si>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</si>
  <si>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</si>
  <si>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</si>
  <si>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</si>
  <si>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</si>
  <si>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</si>
  <si>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</si>
  <si>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</si>
  <si>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</si>
  <si>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</si>
  <si>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</si>
  <si>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</si>
  <si>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</si>
  <si>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</si>
  <si>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</si>
  <si>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</si>
  <si>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</si>
  <si>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</si>
  <si>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</si>
  <si>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</si>
  <si>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</si>
  <si>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</si>
  <si>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</si>
  <si>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</si>
  <si>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</si>
  <si>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</si>
  <si>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</si>
  <si>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</si>
  <si>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</si>
  <si>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</si>
  <si>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</si>
  <si>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</si>
  <si>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</si>
  <si>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</si>
  <si>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</si>
  <si>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</si>
  <si>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</si>
  <si>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</si>
  <si>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</si>
  <si>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</si>
  <si>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</si>
  <si>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</si>
  <si>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</si>
  <si>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</si>
  <si>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</si>
  <si>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</si>
  <si>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</si>
  <si>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0587C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</si>
  <si>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</si>
  <si>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</si>
  <si>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</si>
  <si>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</si>
  <si>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</si>
  <si>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</si>
  <si>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</si>
  <si>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</si>
  <si>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</si>
  <si>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</si>
  <si>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</si>
  <si>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</si>
  <si>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</si>
  <si>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</si>
  <si>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</si>
  <si>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</si>
  <si>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</si>
  <si>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</si>
  <si>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</si>
  <si>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</si>
  <si>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</si>
  <si>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 N</t>
  </si>
  <si>
    <t>0610</t>
  </si>
  <si>
    <t>0611</t>
  </si>
  <si>
    <t>0612</t>
  </si>
  <si>
    <t>0613</t>
  </si>
  <si>
    <t>0613 C</t>
  </si>
  <si>
    <t>0614</t>
  </si>
  <si>
    <t>0615</t>
  </si>
  <si>
    <t>0616 N</t>
  </si>
  <si>
    <t>0617 N</t>
  </si>
  <si>
    <t>0618 N</t>
  </si>
  <si>
    <t>0619 N</t>
  </si>
  <si>
    <t>0620 N</t>
  </si>
  <si>
    <t>0621 N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</si>
  <si>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</si>
  <si>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</si>
  <si>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</si>
  <si>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</si>
  <si>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</si>
  <si>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</si>
  <si>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</si>
  <si>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</si>
  <si>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</si>
  <si>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</si>
  <si>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</si>
  <si>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</si>
  <si>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</si>
  <si>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</si>
  <si>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</si>
  <si>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</si>
  <si>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</si>
  <si>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</si>
  <si>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</si>
  <si>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</si>
  <si>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</si>
  <si>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</si>
  <si>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</si>
  <si>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</si>
  <si>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</si>
  <si>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</si>
  <si>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</si>
  <si>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</si>
  <si>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</si>
  <si>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</si>
  <si>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</si>
  <si>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</si>
  <si>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</si>
  <si>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</si>
  <si>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</si>
  <si>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</si>
  <si>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</si>
  <si>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</si>
  <si>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</si>
  <si>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</si>
  <si>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</si>
  <si>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</si>
  <si>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</si>
  <si>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</si>
  <si>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</si>
  <si>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</si>
  <si>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</si>
  <si>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</si>
  <si>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</si>
  <si>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</si>
  <si>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</si>
  <si>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</si>
  <si>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</si>
  <si>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</si>
  <si>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</si>
  <si>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</si>
  <si>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</si>
  <si>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</si>
  <si>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</si>
  <si>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</si>
  <si>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</si>
  <si>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</si>
  <si>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</si>
  <si>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</si>
  <si>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</si>
  <si>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</si>
  <si>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</si>
  <si>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</si>
  <si>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</si>
  <si>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</si>
  <si>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</si>
  <si>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</si>
  <si>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</si>
  <si>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</si>
  <si>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</si>
  <si>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</si>
  <si>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</si>
  <si>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</si>
  <si>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</si>
  <si>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</si>
  <si>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</si>
  <si>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</si>
  <si>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</si>
  <si>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</si>
  <si>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</si>
  <si>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</si>
  <si>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</si>
  <si>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</si>
  <si>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</si>
  <si>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</si>
  <si>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</si>
  <si>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</si>
  <si>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</si>
  <si>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</si>
  <si>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</si>
  <si>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</si>
  <si>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</si>
  <si>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</si>
  <si>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</si>
  <si>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</si>
  <si>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</si>
  <si>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</si>
  <si>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</si>
  <si>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</si>
  <si>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</si>
  <si>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</si>
  <si>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</si>
  <si>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</si>
  <si>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</si>
  <si>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</si>
  <si>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</si>
  <si>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</si>
  <si>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</si>
  <si>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</si>
  <si>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</si>
  <si>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</si>
  <si>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</si>
  <si>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</si>
  <si>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</si>
  <si>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</si>
  <si>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</si>
  <si>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</si>
  <si>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</si>
  <si>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</si>
  <si>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</si>
  <si>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</si>
  <si>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</si>
  <si>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</si>
  <si>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</si>
  <si>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</si>
  <si>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</si>
  <si>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</si>
  <si>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</si>
  <si>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</si>
  <si>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</si>
  <si>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</si>
  <si>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</si>
  <si>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</si>
  <si>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</si>
  <si>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</si>
  <si>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</si>
  <si>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</si>
  <si>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</si>
  <si>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</si>
  <si>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</si>
  <si>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</si>
  <si>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</si>
  <si>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</si>
  <si>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</si>
  <si>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</si>
  <si>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</si>
  <si>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</si>
  <si>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</si>
  <si>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</si>
  <si>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</si>
  <si>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</si>
  <si>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</si>
  <si>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</si>
  <si>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</si>
  <si>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</si>
  <si>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</si>
  <si>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</si>
  <si>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</si>
  <si>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</si>
  <si>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</si>
  <si>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</si>
  <si>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</si>
  <si>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</si>
  <si>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</si>
  <si>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</si>
  <si>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</si>
  <si>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</si>
  <si>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</si>
  <si>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</si>
  <si>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</si>
  <si>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</si>
  <si>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</si>
  <si>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</si>
  <si>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</si>
  <si>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</si>
  <si>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0890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</si>
  <si>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</si>
  <si>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</si>
  <si>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</si>
  <si>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</si>
  <si>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</si>
  <si>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</si>
  <si>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</si>
  <si>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</si>
  <si>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</si>
  <si>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</si>
  <si>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</si>
  <si>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</si>
  <si>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</si>
  <si>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</si>
  <si>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</si>
  <si>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</si>
  <si>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</si>
  <si>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</si>
  <si>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</si>
  <si>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</si>
  <si>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</si>
  <si>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</si>
  <si>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</si>
  <si>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</si>
  <si>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</si>
  <si>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</si>
  <si>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</si>
  <si>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</si>
  <si>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</si>
  <si>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</si>
  <si>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</si>
  <si>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</si>
  <si>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</si>
  <si>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</si>
  <si>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</si>
  <si>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</si>
  <si>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</si>
  <si>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</si>
  <si>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</si>
  <si>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</si>
  <si>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</si>
  <si>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</si>
  <si>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</si>
  <si>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</si>
  <si>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</si>
  <si>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</si>
  <si>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</si>
  <si>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</si>
  <si>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</si>
  <si>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</si>
  <si>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</si>
  <si>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</si>
  <si>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</si>
  <si>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</si>
  <si>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</si>
  <si>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</si>
  <si>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</si>
  <si>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</si>
  <si>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</si>
  <si>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</si>
  <si>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</si>
  <si>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</si>
  <si>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</si>
  <si>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</si>
  <si>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</si>
  <si>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</si>
  <si>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</si>
  <si>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</si>
  <si>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</si>
  <si>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</si>
  <si>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</si>
  <si>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</si>
  <si>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</si>
  <si>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</si>
  <si>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</si>
  <si>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</si>
  <si>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</si>
  <si>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</si>
  <si>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</si>
  <si>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</si>
  <si>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</si>
  <si>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</si>
  <si>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</si>
  <si>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</si>
  <si>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</si>
  <si>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</si>
  <si>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</si>
  <si>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</si>
  <si>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</si>
  <si>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nan</t>
  </si>
  <si>
    <t>ProL CW 1810 x 3000 (SN P2199)</t>
  </si>
  <si>
    <t>ProL CW 1800 x CH 3000 (SN P2202)</t>
  </si>
  <si>
    <t>Garden City Plastics</t>
  </si>
  <si>
    <t>CAD 6500W x 6825H Left</t>
  </si>
  <si>
    <t>Pro L Grey 729W x 7500 x 3300H</t>
  </si>
  <si>
    <t>Red Gem</t>
  </si>
  <si>
    <t>8x Industrial Loops Alpharoton Eltham</t>
  </si>
  <si>
    <t>2 x CAD 4.3 x 4.67 + 2 x Roller Shutters 4.967</t>
  </si>
  <si>
    <t>Aolburn Leongatha COD (3x5)x2 C2203/C2204</t>
  </si>
  <si>
    <t>Leongatha 1x PIOS R 2500 x 3.850 (SN P229) Room 7</t>
  </si>
  <si>
    <t>WCB 1x ProL 1200 x 2000 ADP + 1x Pro L 3000 x 2800 ADP + 1x  Operator - 4500</t>
  </si>
  <si>
    <t>- Pro L 3650W x 3180H</t>
  </si>
  <si>
    <t>- Pro L 3650W x 3180H, Pro R 3650W x 3680H</t>
  </si>
  <si>
    <t>2 x Profile S</t>
  </si>
  <si>
    <t>Strips</t>
  </si>
  <si>
    <t>Pro L 40-42 Yellow Red S/E Oblong 1000</t>
  </si>
  <si>
    <t>Sliding Door Replacement</t>
  </si>
  <si>
    <t>Pro L 2500 x 3000</t>
  </si>
  <si>
    <t>Joe - Bauarat</t>
  </si>
  <si>
    <t>Geo Fimma - Confoil</t>
  </si>
  <si>
    <t>EA Albany Repair</t>
  </si>
  <si>
    <t>Heinz Wagga</t>
  </si>
  <si>
    <t>Conbill Bayswater</t>
  </si>
  <si>
    <t>Fork Repairs  Tullamarine - New Front Leg &amp; Install</t>
  </si>
  <si>
    <t>Control Box VSD 1.5KW</t>
  </si>
  <si>
    <t>2002.01.21</t>
  </si>
  <si>
    <t>2002.10.15</t>
  </si>
  <si>
    <t>2004.04.30</t>
  </si>
  <si>
    <t>2005.09.19</t>
  </si>
  <si>
    <t>2005.10.10</t>
  </si>
  <si>
    <t>2006.01.25</t>
  </si>
  <si>
    <t>2006.01.27</t>
  </si>
  <si>
    <t>2006.10.03</t>
  </si>
  <si>
    <t>2006.03.14</t>
  </si>
  <si>
    <t>2006.09.15</t>
  </si>
  <si>
    <t>2006.03.22</t>
  </si>
  <si>
    <t>2006.04.04</t>
  </si>
  <si>
    <t>2006.04.26</t>
  </si>
  <si>
    <t>2006.07.24</t>
  </si>
  <si>
    <t>2006.08.28</t>
  </si>
  <si>
    <t>2006.08.30</t>
  </si>
  <si>
    <t>2007.04.23</t>
  </si>
  <si>
    <t>2007.04.30</t>
  </si>
  <si>
    <t>2007.05.22</t>
  </si>
  <si>
    <t>2007.12.06</t>
  </si>
  <si>
    <t>2007.06.19</t>
  </si>
  <si>
    <t>2007.06.29</t>
  </si>
  <si>
    <t>2007.07.21</t>
  </si>
  <si>
    <t>2007.08.27</t>
  </si>
  <si>
    <t>2007.08.28</t>
  </si>
  <si>
    <t>2007.09.15</t>
  </si>
  <si>
    <t>2007.09.19</t>
  </si>
  <si>
    <t>2007.09.24</t>
  </si>
  <si>
    <t>2007.10.22</t>
  </si>
  <si>
    <t>2008.01.22</t>
  </si>
  <si>
    <t>2008.01.14</t>
  </si>
  <si>
    <t>2008.02.14</t>
  </si>
  <si>
    <t>2008.02.25</t>
  </si>
  <si>
    <t>2008.03.18</t>
  </si>
  <si>
    <t>2008.04.23</t>
  </si>
  <si>
    <t>2008.08.25</t>
  </si>
  <si>
    <t>2008.07.15</t>
  </si>
  <si>
    <t>2008.07.25</t>
  </si>
  <si>
    <t>2008.07.23</t>
  </si>
  <si>
    <t>2008.10.24</t>
  </si>
  <si>
    <t>2008.11.21</t>
  </si>
  <si>
    <t>2008.11.27</t>
  </si>
  <si>
    <t>2009.01.18</t>
  </si>
  <si>
    <t>2009.01.22</t>
  </si>
  <si>
    <t>2009.01.29</t>
  </si>
  <si>
    <t>2009.01.27</t>
  </si>
  <si>
    <t>2009.02.17</t>
  </si>
  <si>
    <t>2009.02.22</t>
  </si>
  <si>
    <t>2009.06.20</t>
  </si>
  <si>
    <t>2009.06.27</t>
  </si>
  <si>
    <t>2009.07.14</t>
  </si>
  <si>
    <t>2009.09.21</t>
  </si>
  <si>
    <t>2009.10.20</t>
  </si>
  <si>
    <t>2009.11.25</t>
  </si>
  <si>
    <t>2009.12.23</t>
  </si>
  <si>
    <t>2010.01.19</t>
  </si>
  <si>
    <t>2010.01.21</t>
  </si>
  <si>
    <t>2010.02.19</t>
  </si>
  <si>
    <t>2010.02.22</t>
  </si>
  <si>
    <t>2010.06.15</t>
  </si>
  <si>
    <t>2010.06.29</t>
  </si>
  <si>
    <t>2010.08.16</t>
  </si>
  <si>
    <t>2010.09.13</t>
  </si>
  <si>
    <t>2010.09.20</t>
  </si>
  <si>
    <t>2010.10.13</t>
  </si>
  <si>
    <t>2011.03.15</t>
  </si>
  <si>
    <t>2011.05.17</t>
  </si>
  <si>
    <t>2011.06.21</t>
  </si>
  <si>
    <t>2011.06.22</t>
  </si>
  <si>
    <t>2011.07.19</t>
  </si>
  <si>
    <t>2011.07.26</t>
  </si>
  <si>
    <t>2011.08.17</t>
  </si>
  <si>
    <t>2011.08.25</t>
  </si>
  <si>
    <t>2011.08.30</t>
  </si>
  <si>
    <t>2011.09.09</t>
  </si>
  <si>
    <t>2011.10.20</t>
  </si>
  <si>
    <t>2011.11.29</t>
  </si>
  <si>
    <t>2012.01.30</t>
  </si>
  <si>
    <t>2012.01.31</t>
  </si>
  <si>
    <t>2012.02.21</t>
  </si>
  <si>
    <t>2012.03.18</t>
  </si>
  <si>
    <t>2012.04.13</t>
  </si>
  <si>
    <t>2012.05.15</t>
  </si>
  <si>
    <t>2012.05.31</t>
  </si>
  <si>
    <t>2012.06.25</t>
  </si>
  <si>
    <t>2012.07.16</t>
  </si>
  <si>
    <t>2012.07.27</t>
  </si>
  <si>
    <t>2012.09.27</t>
  </si>
  <si>
    <t>2012.11.23</t>
  </si>
  <si>
    <t>2013.01.18</t>
  </si>
  <si>
    <t>2013.03.25</t>
  </si>
  <si>
    <t>2013.04.03</t>
  </si>
  <si>
    <t>2013.04.23</t>
  </si>
  <si>
    <t>2013.05.15</t>
  </si>
  <si>
    <t>2013.05.30</t>
  </si>
  <si>
    <t>2013.05.06</t>
  </si>
  <si>
    <t>2013.06.17</t>
  </si>
  <si>
    <t>2013.06.24</t>
  </si>
  <si>
    <t>2013.07.30</t>
  </si>
  <si>
    <t>2013.08.28</t>
  </si>
  <si>
    <t>2013.09.18</t>
  </si>
  <si>
    <t>2013.09.24</t>
  </si>
  <si>
    <t>2013.10.10</t>
  </si>
  <si>
    <t>2013.10.24</t>
  </si>
  <si>
    <t>2013.11.11</t>
  </si>
  <si>
    <t>2013.11.26</t>
  </si>
  <si>
    <t>2013.12.16</t>
  </si>
  <si>
    <t>2014.01.16</t>
  </si>
  <si>
    <t>2014.01.20</t>
  </si>
  <si>
    <t>2014.02.13</t>
  </si>
  <si>
    <t>2014.02.21</t>
  </si>
  <si>
    <t>2014.03.24</t>
  </si>
  <si>
    <t>2014.03.31</t>
  </si>
  <si>
    <t>2014.04.13</t>
  </si>
  <si>
    <t>2014.05.15</t>
  </si>
  <si>
    <t>2014.05.19</t>
  </si>
  <si>
    <t>2014.06.13</t>
  </si>
  <si>
    <t>2014.07.28</t>
  </si>
  <si>
    <t>2014.08.14</t>
  </si>
  <si>
    <t>2014.08.20</t>
  </si>
  <si>
    <t>2014.09.18</t>
  </si>
  <si>
    <t>2014.09.23</t>
  </si>
  <si>
    <t>2014.10.14</t>
  </si>
  <si>
    <t>2014.10.24</t>
  </si>
  <si>
    <t>2014.11.18</t>
  </si>
  <si>
    <t>2014.11.21</t>
  </si>
  <si>
    <t>2014.11.25</t>
  </si>
  <si>
    <t>2014.01.12</t>
  </si>
  <si>
    <t>2015.03.13</t>
  </si>
  <si>
    <t>2014.12.12</t>
  </si>
  <si>
    <t>2014.12.16</t>
  </si>
  <si>
    <t>2015.01.02</t>
  </si>
  <si>
    <t>2015.02.16</t>
  </si>
  <si>
    <t>2015.03.16</t>
  </si>
  <si>
    <t>2015.04.20</t>
  </si>
  <si>
    <t>2015.04.27</t>
  </si>
  <si>
    <t>2015.04.29</t>
  </si>
  <si>
    <t>2015.05.14</t>
  </si>
  <si>
    <t>2015.05.19</t>
  </si>
  <si>
    <t>2015.05.29</t>
  </si>
  <si>
    <t>2015.06.24</t>
  </si>
  <si>
    <t>2015.07.07</t>
  </si>
  <si>
    <t>2015.07.14</t>
  </si>
  <si>
    <t>2015.07.30</t>
  </si>
  <si>
    <t>2015.08.24</t>
  </si>
  <si>
    <t>2015.09.23</t>
  </si>
  <si>
    <t>2015.09.24</t>
  </si>
  <si>
    <t>2015.10.14</t>
  </si>
  <si>
    <t>2015.10.28</t>
  </si>
  <si>
    <t>2015.11.18</t>
  </si>
  <si>
    <t>2015.11.24</t>
  </si>
  <si>
    <t>2015.12.21</t>
  </si>
  <si>
    <t>2015.12.17</t>
  </si>
  <si>
    <t>2016.01.28</t>
  </si>
  <si>
    <t>2016.01.02</t>
  </si>
  <si>
    <t>2016.02.17</t>
  </si>
  <si>
    <t>2016.02.24</t>
  </si>
  <si>
    <t>2016.02.25</t>
  </si>
  <si>
    <t>2016.03.30</t>
  </si>
  <si>
    <t>2016.03.31</t>
  </si>
  <si>
    <t>2016.05.17</t>
  </si>
  <si>
    <t>2016.05.25</t>
  </si>
  <si>
    <t>2016.05.31</t>
  </si>
  <si>
    <t>2016.06.07</t>
  </si>
  <si>
    <t>2016.07.13</t>
  </si>
  <si>
    <t>2016.08.15</t>
  </si>
  <si>
    <t>2016.08.26</t>
  </si>
  <si>
    <t>2016.08.31</t>
  </si>
  <si>
    <t>2016.09.20</t>
  </si>
  <si>
    <t>2016.09.27</t>
  </si>
  <si>
    <t>2016.10.24</t>
  </si>
  <si>
    <t>2016.10.25</t>
  </si>
  <si>
    <t>2016.11.17</t>
  </si>
  <si>
    <t>2016.11.28</t>
  </si>
  <si>
    <t>2017.01.13</t>
  </si>
  <si>
    <t>2017.01.30</t>
  </si>
  <si>
    <t>2017.03.15</t>
  </si>
  <si>
    <t>2017.03.16</t>
  </si>
  <si>
    <t>2017.03.23</t>
  </si>
  <si>
    <t>2017.03.24</t>
  </si>
  <si>
    <t>2017.05.06</t>
  </si>
  <si>
    <t>2017.06.20</t>
  </si>
  <si>
    <t>2017.06.27</t>
  </si>
  <si>
    <t>2017.06.28</t>
  </si>
  <si>
    <t>2017.10.07</t>
  </si>
  <si>
    <t>2017.08.18</t>
  </si>
  <si>
    <t>2017.08.20</t>
  </si>
  <si>
    <t>2017.09.27</t>
  </si>
  <si>
    <t>2017.10.25</t>
  </si>
  <si>
    <t>2017.10.31</t>
  </si>
  <si>
    <t>2017.11.23</t>
  </si>
  <si>
    <t>2017.12.12</t>
  </si>
  <si>
    <t>2018.01.19</t>
  </si>
  <si>
    <t>2018.01.25</t>
  </si>
  <si>
    <t>2018.01.29</t>
  </si>
  <si>
    <t>2018.02.23</t>
  </si>
  <si>
    <t>2018.02.27</t>
  </si>
  <si>
    <t>2018.03.19</t>
  </si>
  <si>
    <t>2018.03.20</t>
  </si>
  <si>
    <t>2018.04.26</t>
  </si>
  <si>
    <t>2018.05.21</t>
  </si>
  <si>
    <t>2018.05.23</t>
  </si>
  <si>
    <t>2018.05.28</t>
  </si>
  <si>
    <t>2018.06.13</t>
  </si>
  <si>
    <t>2018.06.19</t>
  </si>
  <si>
    <t>2018.07.17</t>
  </si>
  <si>
    <t>2018.07.18</t>
  </si>
  <si>
    <t>2018.08.09</t>
  </si>
  <si>
    <t>2018.09.20</t>
  </si>
  <si>
    <t>2018.10.22</t>
  </si>
  <si>
    <t>2018.10.25</t>
  </si>
  <si>
    <t>2018.10.31</t>
  </si>
  <si>
    <t>2018.11.14</t>
  </si>
  <si>
    <t>2018.11.16</t>
  </si>
  <si>
    <t>2018.11.29</t>
  </si>
  <si>
    <t>2018.12.20</t>
  </si>
  <si>
    <t>2019.01.22</t>
  </si>
  <si>
    <t>2019.04.18</t>
  </si>
  <si>
    <t>2019.05.22</t>
  </si>
  <si>
    <t>2019.07.06</t>
  </si>
  <si>
    <t>2019.08.22</t>
  </si>
  <si>
    <t>2019.09.17</t>
  </si>
  <si>
    <t>2019.09.30</t>
  </si>
  <si>
    <t>2019.10.17</t>
  </si>
  <si>
    <t>2019.10.31</t>
  </si>
  <si>
    <t>2019.11.29</t>
  </si>
  <si>
    <t>2020.01.13</t>
  </si>
  <si>
    <t>2020.01.15</t>
  </si>
  <si>
    <t>2020.03.02</t>
  </si>
  <si>
    <t>2020.03.03</t>
  </si>
  <si>
    <t>2020.03.25</t>
  </si>
  <si>
    <t>2020.03.23</t>
  </si>
  <si>
    <t>2020.09.15</t>
  </si>
  <si>
    <t>2020.06.17</t>
  </si>
  <si>
    <t>2020.07.17</t>
  </si>
  <si>
    <t>2020.08.25</t>
  </si>
  <si>
    <t>2020.10.09</t>
  </si>
  <si>
    <t>2020.09.29</t>
  </si>
  <si>
    <t>2020.09.10</t>
  </si>
  <si>
    <t>2020.10.19</t>
  </si>
  <si>
    <t>2020.10.21</t>
  </si>
  <si>
    <t>2020.11.17</t>
  </si>
  <si>
    <t>2020.12.23</t>
  </si>
  <si>
    <t>2021.01.14</t>
  </si>
  <si>
    <t>2021.02.26</t>
  </si>
  <si>
    <t>2021.03.25</t>
  </si>
  <si>
    <t>2021.05.20</t>
  </si>
  <si>
    <t>2021.05.26</t>
  </si>
  <si>
    <t>2021.05.27</t>
  </si>
  <si>
    <t>2021.08.06</t>
  </si>
  <si>
    <t>2021.06.24</t>
  </si>
  <si>
    <t>2021.06.25</t>
  </si>
  <si>
    <t>2021.07.14</t>
  </si>
  <si>
    <t>2021.07.15</t>
  </si>
  <si>
    <t>2021.07.30</t>
  </si>
  <si>
    <t>2021.06.08</t>
  </si>
  <si>
    <t>2021.08.19</t>
  </si>
  <si>
    <t>2021.07.28</t>
  </si>
  <si>
    <t>2021.11.30</t>
  </si>
  <si>
    <t>2022.01.20</t>
  </si>
  <si>
    <t>2022.02.16</t>
  </si>
  <si>
    <t>2022.03.22</t>
  </si>
  <si>
    <t>2022.04.13</t>
  </si>
  <si>
    <t>2022.05.21</t>
  </si>
  <si>
    <t>2022.06.17</t>
  </si>
  <si>
    <t>2022.06.20</t>
  </si>
  <si>
    <t>2022.07.26</t>
  </si>
  <si>
    <t>2022.07.29</t>
  </si>
  <si>
    <t>2022.08.29</t>
  </si>
  <si>
    <t>2022.09.13</t>
  </si>
  <si>
    <t>2022.09.16</t>
  </si>
  <si>
    <t>2022.10.10</t>
  </si>
  <si>
    <t>2022.10.24</t>
  </si>
  <si>
    <t>2022.11.24</t>
  </si>
  <si>
    <t>2022.11.29</t>
  </si>
  <si>
    <t>2022.12.19</t>
  </si>
  <si>
    <t>2023.01.24</t>
  </si>
  <si>
    <t>2023.02.20</t>
  </si>
  <si>
    <t>2023.03.28</t>
  </si>
  <si>
    <t>2023.03.30</t>
  </si>
  <si>
    <t>2023.05.04</t>
  </si>
  <si>
    <t>2023.04.28</t>
  </si>
  <si>
    <t>2023.04.05</t>
  </si>
  <si>
    <t>2023.06.23</t>
  </si>
  <si>
    <t>2023.07.26</t>
  </si>
  <si>
    <t>2023.07.31</t>
  </si>
  <si>
    <t>2023.08.16</t>
  </si>
  <si>
    <t>2023.10.17</t>
  </si>
  <si>
    <t>2023.10.27</t>
  </si>
  <si>
    <t>2023.10.31</t>
  </si>
  <si>
    <t>2023.11.27</t>
  </si>
  <si>
    <t>2023.12.18</t>
  </si>
  <si>
    <t>2024.01.15</t>
  </si>
  <si>
    <t>2024.01.24</t>
  </si>
  <si>
    <t>2024.04.23</t>
  </si>
  <si>
    <t>2024.04.26</t>
  </si>
  <si>
    <t>2024.05.15</t>
  </si>
  <si>
    <t>2024.05.21</t>
  </si>
  <si>
    <t>2024.06.16</t>
  </si>
  <si>
    <t>2024.07.22</t>
  </si>
  <si>
    <t>2024.09.24</t>
  </si>
  <si>
    <t>2024.09.26</t>
  </si>
  <si>
    <t>2024.11.15</t>
  </si>
  <si>
    <t>2025.01.28</t>
  </si>
  <si>
    <t>Laurent Boulangerie</t>
  </si>
  <si>
    <t>Murray Goulburn</t>
  </si>
  <si>
    <t>Unislide</t>
  </si>
  <si>
    <t>Sun Rice</t>
  </si>
  <si>
    <t>Honda</t>
  </si>
  <si>
    <t>Montague</t>
  </si>
  <si>
    <t>Fort Knox</t>
  </si>
  <si>
    <t>ADS Charlie Wells</t>
  </si>
  <si>
    <t>MG</t>
  </si>
  <si>
    <t>GE Plastics</t>
  </si>
  <si>
    <t>ICON Plastics</t>
  </si>
  <si>
    <t>NBE</t>
  </si>
  <si>
    <t>WCB</t>
  </si>
  <si>
    <t>GCP</t>
  </si>
  <si>
    <t>PASTA MASTER</t>
  </si>
  <si>
    <t>Ingham</t>
  </si>
  <si>
    <t>Freshpack</t>
  </si>
  <si>
    <t>VCM</t>
  </si>
  <si>
    <t>Trimax</t>
  </si>
  <si>
    <t>Besam WA</t>
  </si>
  <si>
    <t>Ken Bakery Abbotsford</t>
  </si>
  <si>
    <t>JAYCO</t>
  </si>
  <si>
    <t>Wellpict</t>
  </si>
  <si>
    <t>Bacchus Marsh</t>
  </si>
  <si>
    <t>BESAM ASSA ABLOY</t>
  </si>
  <si>
    <t>Tasman Meats Brooklyn</t>
  </si>
  <si>
    <t>Prowse Quantity Surveillance</t>
  </si>
  <si>
    <t>Lay Brothers Ship</t>
  </si>
  <si>
    <t>MBL Limited Heinz Wagga</t>
  </si>
  <si>
    <t>Woolworths</t>
  </si>
  <si>
    <t>Glanapak</t>
  </si>
  <si>
    <t>Patties</t>
  </si>
  <si>
    <t>Boing</t>
  </si>
  <si>
    <t>Berocchi</t>
  </si>
  <si>
    <t>JALNA</t>
  </si>
  <si>
    <t>Naturally Good</t>
  </si>
  <si>
    <t>Spare Albany</t>
  </si>
  <si>
    <t>The Confectionery House</t>
  </si>
  <si>
    <t>Simply Fruits</t>
  </si>
  <si>
    <t>Carrier Linde</t>
  </si>
  <si>
    <t>Crouch Transport Wagga</t>
  </si>
  <si>
    <t>Skin Plank</t>
  </si>
  <si>
    <t>Bottle Shelf</t>
  </si>
  <si>
    <t>Murray Goulburn Pro L Grey 729W x</t>
  </si>
  <si>
    <t>Honda - Tullamarine 7 x CAD (</t>
  </si>
  <si>
    <t>Montague Narre Warren 3x Freezer doors</t>
  </si>
  <si>
    <t>ADS Charlie Wells 2 x CAD</t>
  </si>
  <si>
    <t>MGAolburn Leongatha COD (</t>
  </si>
  <si>
    <t>MG Leongatha 1x PIOS R</t>
  </si>
  <si>
    <t>WCB 1x ProL</t>
  </si>
  <si>
    <t>DMG Braeside - CAD W</t>
  </si>
  <si>
    <t>ICON Plastics - CAD</t>
  </si>
  <si>
    <t>NBE AIT Doors SA CAD ProS</t>
  </si>
  <si>
    <t>Nissan Casting Plant / ADS max CAD</t>
  </si>
  <si>
    <t>NBE / AIT Doors - Pro</t>
  </si>
  <si>
    <t>AIT Doors 2 x CAD</t>
  </si>
  <si>
    <t>GCP Monbulk 2 x CAD</t>
  </si>
  <si>
    <t>Murray Goulburn 2 x ProS</t>
  </si>
  <si>
    <t>WCB - Butter Cool Room ProL</t>
  </si>
  <si>
    <t>NBE Superior Foods 1x Pro R</t>
  </si>
  <si>
    <t>A&amp;T Doors P/L CAD IR</t>
  </si>
  <si>
    <t>Murray Goulburn UHT 1x Pro SL</t>
  </si>
  <si>
    <t>NBE AIT ProL</t>
  </si>
  <si>
    <t>NBE Ozpack CAD XR</t>
  </si>
  <si>
    <t>Sencient Tech</t>
  </si>
  <si>
    <t>Baywood PL CAD</t>
  </si>
  <si>
    <t>Pro R</t>
  </si>
  <si>
    <t>NPO R x2</t>
  </si>
  <si>
    <t>Lay Brothers Ship Curtains</t>
  </si>
  <si>
    <t>NBE NUMEGA Pro</t>
  </si>
  <si>
    <t>NBE PASTA MASTER Pro S/B R</t>
  </si>
  <si>
    <t>NBE Ingham Thomastown Pro L 27.31 Blue 543 R</t>
  </si>
  <si>
    <t>MBL Limited Heinz Wagga Pro L</t>
  </si>
  <si>
    <t>FBJ Meadow Lee A1 Pro L</t>
  </si>
  <si>
    <t>NY Woolworths Pro</t>
  </si>
  <si>
    <t>RYDELL WCB - RSD12 CAPCW</t>
  </si>
  <si>
    <t>PATTIES CAD Freezer</t>
  </si>
  <si>
    <t>The confectionery house AAP20 R</t>
  </si>
  <si>
    <t>Bulla - Dairy Foods 1x Pro R</t>
  </si>
  <si>
    <t>RYDELL - Frontesa Nuts II Pro 84-</t>
  </si>
  <si>
    <t>Clayton Harrington - AL1 CAD</t>
  </si>
  <si>
    <t>Delios - 2X Pro S R</t>
  </si>
  <si>
    <t>Red Gem - 2X CAD</t>
  </si>
  <si>
    <t>Bertocchi - Pro R CW</t>
  </si>
  <si>
    <t>NBE - Pro</t>
  </si>
  <si>
    <t>NBE - Flavour Makers - Pro R</t>
  </si>
  <si>
    <t>WCB - Mill Lel - Pro R</t>
  </si>
  <si>
    <t>Soy -</t>
  </si>
  <si>
    <t>Temptation BAKERIES N/Pro (100mm poly sides)</t>
  </si>
  <si>
    <t>Patties - CAD FR</t>
  </si>
  <si>
    <t>GCP - Pro</t>
  </si>
  <si>
    <t>Hemco Ballarat - Pro R</t>
  </si>
  <si>
    <t>NBE Inghams - Pro RL R Blue</t>
  </si>
  <si>
    <t>Bertocchi - Pro PE 100</t>
  </si>
  <si>
    <t>Ingham Sommeville - Pro PE 100 24/</t>
  </si>
  <si>
    <t>WCB - Mill Lel - Pro 100 PE</t>
  </si>
  <si>
    <t>MIC Leongatha - 1X CAD 97-50 Paper Stan, 1X Pro PE</t>
  </si>
  <si>
    <t>Ingham Thomastown Freezer Fold W</t>
  </si>
  <si>
    <t>Roady Meals - FR CAD</t>
  </si>
  <si>
    <t>WCB - Sunqers</t>
  </si>
  <si>
    <t>Superior Foods - Pro PE100</t>
  </si>
  <si>
    <t>WCB / Harrington Daily Cheese - Pro PE</t>
  </si>
  <si>
    <t>Bella Porky - Pro PE L XT CH Reloc Con</t>
  </si>
  <si>
    <t>Inghams Thomastown - Pro PE L IN Con CW 2700 CH 3150 Blue 543 Remote</t>
  </si>
  <si>
    <t>Monde Construction - CAD</t>
  </si>
  <si>
    <t>National Foods - Mezzoual Store 3</t>
  </si>
  <si>
    <t>Plunkett - Pro PE XT R CW</t>
  </si>
  <si>
    <t>Poultry Palace - Pro PE IV Left CW 2750 CH 3500 One Piece Curtain No S/E RC</t>
  </si>
  <si>
    <t>Clayton Haumgton Group Veruag - 4x ProPE100 XTL, CW</t>
  </si>
  <si>
    <t>Loading WCB Loading Dock - New Curtain (PJ0308), CAD</t>
  </si>
  <si>
    <t>M/G Leongatha - New Curtain for C2204 (PJ0288), CAD</t>
  </si>
  <si>
    <t>MG Albany - Replacement Curtain (PJO288), Pro</t>
  </si>
  <si>
    <t>Timely -</t>
  </si>
  <si>
    <t>Red Gem
SP Pro</t>
  </si>
  <si>
    <t>Dontek Fac. Jac. Nick Jones
Curtain</t>
  </si>
  <si>
    <t>SSP
Pro PE100 CW</t>
  </si>
  <si>
    <t>WCBF - Harrington
Weigh Plant Extension 12 PPH
Pro PE100 CW 2000 x CH 2000
Motor 0.75kW Drive
Detec RC 433,</t>
  </si>
  <si>
    <t>HEINZ Wagga
FR</t>
  </si>
  <si>
    <t>Inghams Thomastown
New Curtain For P 973 CW</t>
  </si>
  <si>
    <t>HEINZ WAGGA
Pro PE125 CW</t>
  </si>
  <si>
    <t>WCBF - Receival Shed
Pro PE125</t>
  </si>
  <si>
    <t>Terra Harvest (0153 Repair) New Curtain CAD</t>
  </si>
  <si>
    <t>Andrew Newlon - DMF Repair Curtain</t>
  </si>
  <si>
    <t>ASSA MG Curtain</t>
  </si>
  <si>
    <t>GCP - PE125 CW</t>
  </si>
  <si>
    <t>7500 x 3300</t>
  </si>
  <si>
    <t>3.25 x 4.3</t>
  </si>
  <si>
    <t>3450 x 4550</t>
  </si>
  <si>
    <t>4.3 x 4.67</t>
  </si>
  <si>
    <t>3x5</t>
  </si>
  <si>
    <t>2500 x 3.850</t>
  </si>
  <si>
    <t>1200 x 2000</t>
  </si>
  <si>
    <t>45 x 38</t>
  </si>
  <si>
    <t>45 x 45</t>
  </si>
  <si>
    <t>4500 x 4500</t>
  </si>
  <si>
    <t>42 x 45</t>
  </si>
  <si>
    <t>2120 x 3000</t>
  </si>
  <si>
    <t>4810 x 6000</t>
  </si>
  <si>
    <t>4250 x 3600</t>
  </si>
  <si>
    <t>2000 x 3300</t>
  </si>
  <si>
    <t>2400 x 3100</t>
  </si>
  <si>
    <t>2650 x 3900</t>
  </si>
  <si>
    <t>5000 x 4800</t>
  </si>
  <si>
    <t>2500 x 3950</t>
  </si>
  <si>
    <t>3005 x 2705</t>
  </si>
  <si>
    <t>4950 x 4550</t>
  </si>
  <si>
    <t>4.5 x 5</t>
  </si>
  <si>
    <t>6000 x 5200</t>
  </si>
  <si>
    <t>2450 x 3600</t>
  </si>
  <si>
    <t>2000 x 2150</t>
  </si>
  <si>
    <t>5.1 x 5</t>
  </si>
  <si>
    <t>43 x 43</t>
  </si>
  <si>
    <t>1530 x 2100</t>
  </si>
  <si>
    <t>2 x 2</t>
  </si>
  <si>
    <t>2500 x 3000</t>
  </si>
  <si>
    <t>2500 x 2500</t>
  </si>
  <si>
    <t>3000 x 3550</t>
  </si>
  <si>
    <t>5x6</t>
  </si>
  <si>
    <t>26.24x30</t>
  </si>
  <si>
    <t>2020 x 3000</t>
  </si>
  <si>
    <t>1400 x 2300</t>
  </si>
  <si>
    <t>45 x 1</t>
  </si>
  <si>
    <t>4.5 x 2.9</t>
  </si>
  <si>
    <t>3800 X 3500</t>
  </si>
  <si>
    <t>4.5 X 4.1</t>
  </si>
  <si>
    <t>2400 X 4000</t>
  </si>
  <si>
    <t>3000 X 3100</t>
  </si>
  <si>
    <t>2100 X 3900</t>
  </si>
  <si>
    <t>2000 X 3100</t>
  </si>
  <si>
    <t>850 X 44</t>
  </si>
  <si>
    <t>4000 x 4400</t>
  </si>
  <si>
    <t>2750 X 4900</t>
  </si>
  <si>
    <t>30 X 30</t>
  </si>
  <si>
    <t>25 X 28</t>
  </si>
  <si>
    <t>2780 X 4500</t>
  </si>
  <si>
    <t>3.5 X 4340</t>
  </si>
  <si>
    <t>25.5 X3</t>
  </si>
  <si>
    <t>1820 X 3000</t>
  </si>
  <si>
    <t>42 X 42</t>
  </si>
  <si>
    <t>2600 X 300</t>
  </si>
  <si>
    <t>3300 X 3600</t>
  </si>
  <si>
    <t>2.3 x 2.8</t>
  </si>
  <si>
    <t>2800 X 3250</t>
  </si>
  <si>
    <t>24 X 24</t>
  </si>
  <si>
    <t>2800 X 4000</t>
  </si>
  <si>
    <t>2X8</t>
  </si>
  <si>
    <t>4.2 X 9</t>
  </si>
  <si>
    <t>2450 X 3200</t>
  </si>
  <si>
    <t>3950 X 3750</t>
  </si>
  <si>
    <t>433 X 3</t>
  </si>
  <si>
    <t>2700 x 3000</t>
  </si>
  <si>
    <t>50 x 50</t>
  </si>
  <si>
    <t>2x 4</t>
  </si>
  <si>
    <t>1 x 8</t>
  </si>
  <si>
    <t>2500 x 3500</t>
  </si>
  <si>
    <t>1x8</t>
  </si>
  <si>
    <t>2x 0.75</t>
  </si>
  <si>
    <t>4.6 x 4.6</t>
  </si>
  <si>
    <t>1x 8</t>
  </si>
  <si>
    <t>2930 x 4.1</t>
  </si>
  <si>
    <t>2x8</t>
  </si>
  <si>
    <t>1600 x 2400</t>
  </si>
  <si>
    <t>125 x 3</t>
  </si>
  <si>
    <t>2600 x 3900</t>
  </si>
  <si>
    <t>3000 x 3000</t>
  </si>
  <si>
    <t>200 x 600</t>
  </si>
  <si>
    <t>40X4</t>
  </si>
  <si>
    <t>2x 8</t>
  </si>
  <si>
    <t>1x16</t>
  </si>
  <si>
    <t>2070 x 4860</t>
  </si>
  <si>
    <t>4 x 4</t>
  </si>
  <si>
    <t>5X5</t>
  </si>
  <si>
    <t>9850 x 4100</t>
  </si>
  <si>
    <t>2x4</t>
  </si>
  <si>
    <t>1x 4</t>
  </si>
  <si>
    <t>6500W</t>
  </si>
  <si>
    <t>729W</t>
  </si>
  <si>
    <t>3650W</t>
  </si>
  <si>
    <t>1900W</t>
  </si>
  <si>
    <t>21W</t>
  </si>
  <si>
    <t>2w</t>
  </si>
  <si>
    <t>3900 W</t>
  </si>
  <si>
    <t>3500 W</t>
  </si>
  <si>
    <t>4 W</t>
  </si>
  <si>
    <t>5K</t>
  </si>
  <si>
    <t>75K</t>
  </si>
  <si>
    <t>2K</t>
  </si>
  <si>
    <t>5k</t>
  </si>
  <si>
    <t>75k</t>
  </si>
  <si>
    <t>22k</t>
  </si>
  <si>
    <t>15k</t>
  </si>
  <si>
    <t>2k</t>
  </si>
  <si>
    <t>1k</t>
  </si>
  <si>
    <t>1 k</t>
  </si>
  <si>
    <t>75 k</t>
  </si>
  <si>
    <t>543 W</t>
  </si>
  <si>
    <t>3k</t>
  </si>
  <si>
    <t>5 k</t>
  </si>
  <si>
    <t>75 K</t>
  </si>
  <si>
    <t>5 K</t>
  </si>
  <si>
    <t>Red</t>
  </si>
  <si>
    <t>Grey</t>
  </si>
  <si>
    <t>Blue</t>
  </si>
  <si>
    <t>Yellow</t>
  </si>
  <si>
    <t>yellow</t>
  </si>
  <si>
    <t>blue</t>
  </si>
  <si>
    <t>White</t>
  </si>
  <si>
    <t>Black</t>
  </si>
  <si>
    <t>Green</t>
  </si>
  <si>
    <t>Air Curtains</t>
  </si>
  <si>
    <t>Company</t>
  </si>
  <si>
    <t>Type</t>
  </si>
  <si>
    <t>Size</t>
  </si>
  <si>
    <t>Motor</t>
  </si>
  <si>
    <t>Side</t>
  </si>
  <si>
    <t>Gearbox</t>
  </si>
  <si>
    <t>15/1</t>
  </si>
  <si>
    <t>10/1</t>
  </si>
  <si>
    <t>Color #</t>
  </si>
  <si>
    <t>Door</t>
  </si>
  <si>
    <t>SP</t>
  </si>
  <si>
    <t>GAL</t>
  </si>
  <si>
    <t>CAD</t>
  </si>
  <si>
    <t>FZ</t>
  </si>
  <si>
    <t>Width</t>
  </si>
  <si>
    <t>In/Out</t>
  </si>
  <si>
    <t>Cable L</t>
  </si>
  <si>
    <t>Control Box</t>
  </si>
  <si>
    <t>Detection</t>
  </si>
  <si>
    <t>YYYY.MM.DD</t>
  </si>
  <si>
    <t>Name</t>
  </si>
  <si>
    <t>Person</t>
  </si>
  <si>
    <t>Phone</t>
  </si>
  <si>
    <t>Email</t>
  </si>
  <si>
    <t>Address</t>
  </si>
  <si>
    <t>PE Guide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</si>
  <si>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</si>
  <si>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</si>
  <si>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</si>
  <si>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</si>
  <si>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</si>
  <si>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</si>
  <si>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</si>
  <si>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</si>
  <si>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</si>
  <si>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</si>
  <si>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</si>
  <si>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</si>
  <si>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</si>
  <si>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</si>
  <si>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</si>
  <si>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</si>
  <si>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</si>
  <si>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</si>
  <si>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</si>
  <si>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</si>
  <si>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</si>
  <si>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</si>
  <si>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</si>
  <si>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</si>
  <si>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</si>
  <si>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</si>
  <si>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</si>
  <si>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</si>
  <si>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</si>
  <si>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</si>
  <si>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0691</t>
  </si>
  <si>
    <t>0692</t>
  </si>
  <si>
    <t>0693</t>
  </si>
  <si>
    <t>0694</t>
  </si>
  <si>
    <t>0695</t>
  </si>
  <si>
    <t>0696</t>
  </si>
  <si>
    <t>Superior Foods</t>
  </si>
  <si>
    <t>Designer Cool Rooms</t>
  </si>
  <si>
    <t>Industrial Foods</t>
  </si>
  <si>
    <t>Repairs</t>
  </si>
  <si>
    <t xml:space="preserve">Blackmore - </t>
  </si>
  <si>
    <t xml:space="preserve">TUROSI - </t>
  </si>
  <si>
    <t xml:space="preserve">GBP Powong - </t>
  </si>
  <si>
    <t xml:space="preserve">Hudson Pacific - </t>
  </si>
  <si>
    <t xml:space="preserve">McColl Smith - </t>
  </si>
  <si>
    <t xml:space="preserve">Yumi - </t>
  </si>
  <si>
    <t>Inghams</t>
  </si>
  <si>
    <t>Andrew</t>
  </si>
  <si>
    <t>CW 2.5 x CH 3.450</t>
  </si>
  <si>
    <t>Butter dispatch door</t>
  </si>
  <si>
    <t>Loading area to store CW 3000 x CH 3200</t>
  </si>
  <si>
    <t>Skin Area</t>
  </si>
  <si>
    <t>AirLock CW 3.000 x CH 3.500</t>
  </si>
  <si>
    <t>Milk Receival</t>
  </si>
  <si>
    <t>3080 x 3000 (P2167) ADP</t>
  </si>
  <si>
    <t>CAD 3.6 x 4</t>
  </si>
  <si>
    <t>4 doors 3 x 4</t>
  </si>
  <si>
    <t>Laminate</t>
  </si>
  <si>
    <t>Pro CW 2500 x CH 3600</t>
  </si>
  <si>
    <t>WCBF</t>
  </si>
  <si>
    <t>0269 A</t>
  </si>
  <si>
    <t>0269 B</t>
  </si>
  <si>
    <t>0269 C</t>
  </si>
  <si>
    <t>CAD L R 35x40</t>
  </si>
  <si>
    <t>PRO S R 30x30</t>
  </si>
  <si>
    <t>PRO S L 35x35</t>
  </si>
  <si>
    <t>0271</t>
  </si>
  <si>
    <t>2005.10.07</t>
  </si>
  <si>
    <t>Pros 30x38</t>
  </si>
  <si>
    <t>0272</t>
  </si>
  <si>
    <t>2005.11.04</t>
  </si>
  <si>
    <t>United Dairy power</t>
  </si>
  <si>
    <t>Pro 2x2.5</t>
  </si>
  <si>
    <t>3 x Freezer door (3450 x 4550 EXT), 2 x Profile (2700 x 4000)</t>
  </si>
  <si>
    <t xml:space="preserve">Montague Narre Warren </t>
  </si>
  <si>
    <t>HONDA - Tullamarine</t>
  </si>
  <si>
    <t>0284</t>
  </si>
  <si>
    <t>1 x CAD (3.650 x 4.5)</t>
  </si>
  <si>
    <t>7 x CAD (3.25 x 4.3)</t>
  </si>
  <si>
    <t>2006.02.10</t>
  </si>
  <si>
    <t>Spare parts</t>
  </si>
  <si>
    <t>Unislide Red Gem</t>
  </si>
  <si>
    <t>0279</t>
  </si>
  <si>
    <t>2006.01.13</t>
  </si>
  <si>
    <t>2006.01.09</t>
  </si>
  <si>
    <t>2006.01.17</t>
  </si>
  <si>
    <t>2005.06.01</t>
  </si>
  <si>
    <t>0278 A</t>
  </si>
  <si>
    <t>CAD 400W x 4900H L (0.244) Loop, O/N 1004 AL CDS (Kilsyth)</t>
  </si>
  <si>
    <t>0273</t>
  </si>
  <si>
    <t>2005.11.15</t>
  </si>
  <si>
    <t>Visyglamer</t>
  </si>
  <si>
    <t>Poseidon Dips</t>
  </si>
  <si>
    <t>0274</t>
  </si>
  <si>
    <t>Pro L 2550 x 3500</t>
  </si>
  <si>
    <t>0275</t>
  </si>
  <si>
    <t>Offshore Industries</t>
  </si>
  <si>
    <t xml:space="preserve">Gary Chen   SP 30-38 </t>
  </si>
  <si>
    <t>2005.11.17</t>
  </si>
  <si>
    <t>Chilsaver WA</t>
  </si>
  <si>
    <t>Pro R 3.0 x 3150</t>
  </si>
  <si>
    <t>2005.12.15</t>
  </si>
  <si>
    <t>0276</t>
  </si>
  <si>
    <t>WCB Butcher</t>
  </si>
  <si>
    <t>0277</t>
  </si>
  <si>
    <t>Pro L 2.1 x 2.6</t>
  </si>
  <si>
    <t>Anderson - Bunalla</t>
  </si>
  <si>
    <t>0278 B</t>
  </si>
  <si>
    <t xml:space="preserve">CAD 6500 W x 6825H  Right </t>
  </si>
  <si>
    <t>DMG</t>
  </si>
  <si>
    <t>DMG (Eraflex) Workshop</t>
  </si>
  <si>
    <t>CAD 48-52 X L</t>
  </si>
  <si>
    <t>2006.03.10</t>
  </si>
  <si>
    <t>0294 A</t>
  </si>
  <si>
    <t>0294 B</t>
  </si>
  <si>
    <t>Glaxo</t>
  </si>
  <si>
    <t>Pro L W3000 x H3300 Yellow</t>
  </si>
  <si>
    <t>Pro S 1900W x 3300H Left</t>
  </si>
  <si>
    <t>CAD 45 x 45 R</t>
  </si>
  <si>
    <t>2006.05.08</t>
  </si>
  <si>
    <t>2006.05.01</t>
  </si>
  <si>
    <t>0296</t>
  </si>
  <si>
    <t>NBE Mayne</t>
  </si>
  <si>
    <t>0297</t>
  </si>
  <si>
    <t>0298</t>
  </si>
  <si>
    <t>0299</t>
  </si>
  <si>
    <t>2006.06.16</t>
  </si>
  <si>
    <t>2006.06.23</t>
  </si>
  <si>
    <t>2006.05.10</t>
  </si>
  <si>
    <t>NBE Hallmark</t>
  </si>
  <si>
    <t>Pro S 2810W x 3200H Left</t>
  </si>
  <si>
    <t>Pro S 5000W x 5770H R Yellow S/E - I PB</t>
  </si>
  <si>
    <t>CDS</t>
  </si>
  <si>
    <t>CAD 4800W x 5500H</t>
  </si>
  <si>
    <t>NBE Holeproof</t>
  </si>
  <si>
    <t>CAD XL 4220 x 5150</t>
  </si>
  <si>
    <t>NBE A+T Doors SA</t>
  </si>
  <si>
    <t>NBE Altimate Foods</t>
  </si>
  <si>
    <t>Pro R 24x45 Blue 557 Y SE</t>
  </si>
  <si>
    <t>CAD ProS 4020 x 4500H</t>
  </si>
  <si>
    <t>0302</t>
  </si>
  <si>
    <t>0303</t>
  </si>
  <si>
    <t>0304</t>
  </si>
  <si>
    <t>2006.08.07</t>
  </si>
  <si>
    <t>2006.08.10</t>
  </si>
  <si>
    <t>2006.08.19</t>
  </si>
  <si>
    <t>Pro S 2.4 x 3050 L</t>
  </si>
  <si>
    <t>WE Cash</t>
  </si>
  <si>
    <t>Pro L 3.6 x 3.6</t>
  </si>
  <si>
    <t>Dowell Windows Bayswater</t>
  </si>
  <si>
    <t>CAD 50 x 50</t>
  </si>
  <si>
    <t>CAD 42 x 45 L</t>
  </si>
  <si>
    <t xml:space="preserve">Nissan Casting Plant / ADS max </t>
  </si>
  <si>
    <t xml:space="preserve">NBE A+T Doors  </t>
  </si>
  <si>
    <t>Pro 2120 x 3000 L</t>
  </si>
  <si>
    <t>A+T Doors</t>
  </si>
  <si>
    <t>0307 A</t>
  </si>
  <si>
    <t>0307 B</t>
  </si>
  <si>
    <t>CAD 4810 x 6000 R</t>
  </si>
  <si>
    <t>CAD 4810 x 6000 L</t>
  </si>
  <si>
    <t>NBE FBJ</t>
  </si>
  <si>
    <t>0308 A</t>
  </si>
  <si>
    <t>0308 B</t>
  </si>
  <si>
    <t>Pro L 2100W x 2250H</t>
  </si>
  <si>
    <t>Pro L 2450W x 2250H</t>
  </si>
  <si>
    <t>2006.10.02</t>
  </si>
  <si>
    <t>0310</t>
  </si>
  <si>
    <t>NBE Inner City</t>
  </si>
  <si>
    <t>CAD 50 x 50 R</t>
  </si>
  <si>
    <t>WCB Warrambool</t>
  </si>
  <si>
    <t>0309 A</t>
  </si>
  <si>
    <t>0309 B</t>
  </si>
  <si>
    <t>Pro 30 x 32 R</t>
  </si>
  <si>
    <t>CAD FR 1800W x 2280H R RC PB</t>
  </si>
  <si>
    <t>WCB Springvale</t>
  </si>
  <si>
    <t>2006.10.12</t>
  </si>
  <si>
    <t>2006.10.16</t>
  </si>
  <si>
    <t>0312</t>
  </si>
  <si>
    <t>Bluescope Hasting</t>
  </si>
  <si>
    <t>CAD 4550 x 5.5 R  Roller Shutter Automation</t>
  </si>
  <si>
    <t>0313</t>
  </si>
  <si>
    <t>2006.10.19</t>
  </si>
  <si>
    <t>Pro 2.9W x 3.0H L</t>
  </si>
  <si>
    <t>0314</t>
  </si>
  <si>
    <t>2006.10.24</t>
  </si>
  <si>
    <t>DHG</t>
  </si>
  <si>
    <t>CAD (Repair)</t>
  </si>
  <si>
    <t>2006.11.03</t>
  </si>
  <si>
    <t>0315 A</t>
  </si>
  <si>
    <t>Pro 1.7 x 2.2 Blue 557 Y SE L</t>
  </si>
  <si>
    <t>0315 B</t>
  </si>
  <si>
    <t>Pro 1.7 x 2.2 Blue 557 Y SE R</t>
  </si>
  <si>
    <t>GCP Monbulk</t>
  </si>
  <si>
    <t>CAD 4250 x 3600 IR</t>
  </si>
  <si>
    <t>0317</t>
  </si>
  <si>
    <t>2006.11.08</t>
  </si>
  <si>
    <t>2006.11.17</t>
  </si>
  <si>
    <t>Complete Colour Printing</t>
  </si>
  <si>
    <t>0318 A</t>
  </si>
  <si>
    <t>0318 B</t>
  </si>
  <si>
    <t>CAD 42 x 40</t>
  </si>
  <si>
    <t>CAD 42 x 48</t>
  </si>
  <si>
    <t>0319</t>
  </si>
  <si>
    <t>2006.12.14</t>
  </si>
  <si>
    <t>NBE Bachusmarsh Fresh</t>
  </si>
  <si>
    <t>Pro R VF 3510W x 3600H</t>
  </si>
  <si>
    <t>0320</t>
  </si>
  <si>
    <t>NBE Glaxo</t>
  </si>
  <si>
    <t>Pro R 2400W x 3500H</t>
  </si>
  <si>
    <t>0321</t>
  </si>
  <si>
    <t>2006.12.21</t>
  </si>
  <si>
    <t>Honda Tulla</t>
  </si>
  <si>
    <t>Move Door</t>
  </si>
  <si>
    <t>2007.01.12</t>
  </si>
  <si>
    <t>2007.02.08</t>
  </si>
  <si>
    <t>0327</t>
  </si>
  <si>
    <t>0328</t>
  </si>
  <si>
    <t>2007.03.13</t>
  </si>
  <si>
    <t>Profile S</t>
  </si>
  <si>
    <t>WCB - Sungold</t>
  </si>
  <si>
    <t>Pro S 2300W x 2800H</t>
  </si>
  <si>
    <t>Pro 35 x 36</t>
  </si>
  <si>
    <t>Austral</t>
  </si>
  <si>
    <t>CAD 5350 x 5000 XT</t>
  </si>
  <si>
    <t>Tosman Meets</t>
  </si>
  <si>
    <t>Pro R 30 x 28</t>
  </si>
  <si>
    <t>0339</t>
  </si>
  <si>
    <t>2007.03.20</t>
  </si>
  <si>
    <t>0340</t>
  </si>
  <si>
    <t>2007.03.23</t>
  </si>
  <si>
    <t>Ingham Enterprises</t>
  </si>
  <si>
    <t>CAD P/4</t>
  </si>
  <si>
    <t>2007.03.26</t>
  </si>
  <si>
    <t>0341</t>
  </si>
  <si>
    <t>C+G</t>
  </si>
  <si>
    <t>Pro 30 x 31</t>
  </si>
  <si>
    <t>0342</t>
  </si>
  <si>
    <t>Harding Architects</t>
  </si>
  <si>
    <t>CAD 7 x 4.5</t>
  </si>
  <si>
    <t>0343</t>
  </si>
  <si>
    <t>Pro L W2.4 x H 3000 Blue 543</t>
  </si>
  <si>
    <t>CGP Monbupk</t>
  </si>
  <si>
    <t>CAD 5500 x 4300 I R Yellow</t>
  </si>
  <si>
    <t>0345 A</t>
  </si>
  <si>
    <t>0345 B</t>
  </si>
  <si>
    <t>Pro in 2000 x 3600 R Yellow</t>
  </si>
  <si>
    <t>ProS 2000 x 3300 x UPS L</t>
  </si>
  <si>
    <t>Strip Curtain</t>
  </si>
  <si>
    <t>Montague Tullamarine</t>
  </si>
  <si>
    <t>C/A MA Pak</t>
  </si>
  <si>
    <t>2007.05.08</t>
  </si>
  <si>
    <t>ProL 2400 x 3100</t>
  </si>
  <si>
    <t>WCB - Butter Cool Room</t>
  </si>
  <si>
    <t>NBE Superior Foods</t>
  </si>
  <si>
    <t>Pro R 2650 x 3900 Blue 557</t>
  </si>
  <si>
    <t>0350 A</t>
  </si>
  <si>
    <t>0350 B</t>
  </si>
  <si>
    <t>CAD FR R 2800 x 3100 Blue 543</t>
  </si>
  <si>
    <t>CAD IR 5000 x 4800 Grey 729</t>
  </si>
  <si>
    <t>0352 A</t>
  </si>
  <si>
    <t>CAD XL 4100 x 4500</t>
  </si>
  <si>
    <t>Pro SR 2700 x 3200</t>
  </si>
  <si>
    <t>Pro SL 2500 x 3950</t>
  </si>
  <si>
    <t>0352 B</t>
  </si>
  <si>
    <t>0352 C</t>
  </si>
  <si>
    <t>DMG Parkash</t>
  </si>
  <si>
    <t>Replacement Curtains</t>
  </si>
  <si>
    <t>DMG Angerico</t>
  </si>
  <si>
    <t>CAD 36-46</t>
  </si>
  <si>
    <t>NBE A+T</t>
  </si>
  <si>
    <t>ProL 3005 x 2705 Red</t>
  </si>
  <si>
    <t>2007.07.04</t>
  </si>
  <si>
    <t>2007.07.11</t>
  </si>
  <si>
    <t>NBE OZ Pack</t>
  </si>
  <si>
    <t>CAD XR 4950 x 4550</t>
  </si>
  <si>
    <t>Complete Colour Painting</t>
  </si>
  <si>
    <t>2007.08.01</t>
  </si>
  <si>
    <t>4.5 x 5 CAD L</t>
  </si>
  <si>
    <t>NBE Bondor</t>
  </si>
  <si>
    <t>Pro L 36-36 Blue</t>
  </si>
  <si>
    <t>2007.09.05</t>
  </si>
  <si>
    <t>2007.09.07</t>
  </si>
  <si>
    <t>CAD 40-42 L Red</t>
  </si>
  <si>
    <t>CAD R 5-5</t>
  </si>
  <si>
    <t>Pro L 48-28</t>
  </si>
  <si>
    <t>2007.09.18</t>
  </si>
  <si>
    <t>Baywood Timber</t>
  </si>
  <si>
    <t>PL CAD 6000 x 5200 L</t>
  </si>
  <si>
    <t>Pro R 2450 x 3600</t>
  </si>
  <si>
    <t>NBE Langdons</t>
  </si>
  <si>
    <t>2007.10.08</t>
  </si>
  <si>
    <t>Pro R 2000 x 2150 P/C Orange OVP Remote Inlock</t>
  </si>
  <si>
    <t>?</t>
  </si>
  <si>
    <t>Pro 27/40</t>
  </si>
  <si>
    <t>2007.10.01</t>
  </si>
  <si>
    <t>0370 A</t>
  </si>
  <si>
    <t>0370 B</t>
  </si>
  <si>
    <t>0370 C</t>
  </si>
  <si>
    <t>Pro L 1.4 x 2.48 Yellow Red S/E</t>
  </si>
  <si>
    <t>Pro L 2.9 x 3.6 Blue 543</t>
  </si>
  <si>
    <t>Pro L 4.0 x 4.4 Yellow (Red S/E)</t>
  </si>
  <si>
    <t>Pro R 1.0 x 2.1 Yellow Red S/E</t>
  </si>
  <si>
    <t>Pro R 2.1 x 2.95 Blue 557 / Yellow S/E</t>
  </si>
  <si>
    <t>CAD 3.6 x 4.0 L</t>
  </si>
  <si>
    <t>2007.11.05</t>
  </si>
  <si>
    <t>2007.11.08</t>
  </si>
  <si>
    <t>Pro 2.6 x 4.0</t>
  </si>
  <si>
    <t xml:space="preserve">WBC/Woolies </t>
  </si>
  <si>
    <t>NBE NUMEGA</t>
  </si>
  <si>
    <t>Pro 43 x 43</t>
  </si>
  <si>
    <t>NBE PASTA MASTER</t>
  </si>
  <si>
    <t>2008.01.07</t>
  </si>
  <si>
    <t>0376 A</t>
  </si>
  <si>
    <t>Pro S/S R 1530 x 2100</t>
  </si>
  <si>
    <t>0376 B</t>
  </si>
  <si>
    <t>0376 C</t>
  </si>
  <si>
    <t>0376 D</t>
  </si>
  <si>
    <t>0376 E</t>
  </si>
  <si>
    <t>Pro S/S L 1690 x 2400</t>
  </si>
  <si>
    <t>Pro S/S R 1640 x 2950</t>
  </si>
  <si>
    <t>Pro S/S L 1800 x 3000</t>
  </si>
  <si>
    <t>Pro S/S R 1800 x 2300</t>
  </si>
  <si>
    <t>NBE Ingham Thomastown</t>
  </si>
  <si>
    <t>Pro L 2.7 x 3.1 Blue 543 R 2 x 2H</t>
  </si>
  <si>
    <t>Pro R 2.1W x 2.6H</t>
  </si>
  <si>
    <t>2008.02.06</t>
  </si>
  <si>
    <t>2008.02.08</t>
  </si>
  <si>
    <t>2008.02.12</t>
  </si>
  <si>
    <t>Curtain Repairs</t>
  </si>
  <si>
    <t>Pro L 2500 x 2500 P/C Orange</t>
  </si>
  <si>
    <t>FBJ Meadow Lee</t>
  </si>
  <si>
    <t>0384</t>
  </si>
  <si>
    <t>ISG</t>
  </si>
  <si>
    <t>Curtain 4.8 x 5.2</t>
  </si>
  <si>
    <t>CAI BESAM Airport</t>
  </si>
  <si>
    <t>CAD 6.0 x 3.0</t>
  </si>
  <si>
    <t>Wagstaff</t>
  </si>
  <si>
    <t>Pro 3000 x 3550</t>
  </si>
  <si>
    <t>RYDELL WCB</t>
  </si>
  <si>
    <t>RSD 971D Pro 2.5x3.0</t>
  </si>
  <si>
    <t>RSD 5678 Pro 1.6x2.5</t>
  </si>
  <si>
    <t>RSD 3+4 Pro 2.5x3.0</t>
  </si>
  <si>
    <t>RSD 1+2 CADCW 5x6</t>
  </si>
  <si>
    <t>2008.04.08</t>
  </si>
  <si>
    <t xml:space="preserve">WBC  </t>
  </si>
  <si>
    <t>ADP 3x3 Pro L</t>
  </si>
  <si>
    <t>CAD 3.0x4.3 R</t>
  </si>
  <si>
    <t>2008.04.14</t>
  </si>
  <si>
    <t>2008.04.16</t>
  </si>
  <si>
    <t xml:space="preserve">Terra Harvest new curtain </t>
  </si>
  <si>
    <t>4.0 x 4.8</t>
  </si>
  <si>
    <t>Pro R 1850/2950</t>
  </si>
  <si>
    <t xml:space="preserve">WCB - Mill LEE </t>
  </si>
  <si>
    <t>Ultimate Foods</t>
  </si>
  <si>
    <t>Pro R 24 36</t>
  </si>
  <si>
    <t>2008.05.08</t>
  </si>
  <si>
    <t>0394</t>
  </si>
  <si>
    <t>0395</t>
  </si>
  <si>
    <t>0396</t>
  </si>
  <si>
    <t>0397</t>
  </si>
  <si>
    <t>Pro L 1960 x 3000 Orange</t>
  </si>
  <si>
    <t>CAD R 4450 x 3400 yellow</t>
  </si>
  <si>
    <t>Pro R 3650 x 3900 ORANGE</t>
  </si>
  <si>
    <t>2008.08.06</t>
  </si>
  <si>
    <t xml:space="preserve">Vacuum Film </t>
  </si>
  <si>
    <t>CAD L 42 x 50</t>
  </si>
  <si>
    <t>CAD Freezer 24 x 30</t>
  </si>
  <si>
    <t>0402 A</t>
  </si>
  <si>
    <t>Pro L 20 x 30</t>
  </si>
  <si>
    <t>0402 B</t>
  </si>
  <si>
    <t>Pro R 20 x 30</t>
  </si>
  <si>
    <t>0399</t>
  </si>
  <si>
    <t>0400</t>
  </si>
  <si>
    <t>2008.09.02</t>
  </si>
  <si>
    <t>2008.09.01</t>
  </si>
  <si>
    <t>0404 A</t>
  </si>
  <si>
    <t>Pro R 2020 x 3000 blue 596</t>
  </si>
  <si>
    <t>0404 B</t>
  </si>
  <si>
    <t>Pro R 2800 x 3600 blue 596</t>
  </si>
  <si>
    <t>0405</t>
  </si>
  <si>
    <t>Pro L 32x34 Red New Remote Oblong</t>
  </si>
  <si>
    <t>Bulla - Dairy Foods</t>
  </si>
  <si>
    <t>0406 A</t>
  </si>
  <si>
    <t>0406 B</t>
  </si>
  <si>
    <t>2008.10.03</t>
  </si>
  <si>
    <t>Pro R 1400 x 2300 A/L R</t>
  </si>
  <si>
    <t>Pro R 1000 x 2300 A/L</t>
  </si>
  <si>
    <t>0407 B</t>
  </si>
  <si>
    <t>0407 A</t>
  </si>
  <si>
    <t>CAD FR 2.6 x 3.2 R VF Yellow</t>
  </si>
  <si>
    <t>Pro S 2.6 x 3.2 R VF Yellow</t>
  </si>
  <si>
    <t>New curtain</t>
  </si>
  <si>
    <t>SAFEWAY Pro L</t>
  </si>
  <si>
    <t>RYDELL - Frontesa Nuts II</t>
  </si>
  <si>
    <t>0410</t>
  </si>
  <si>
    <t>0411 A</t>
  </si>
  <si>
    <t>CAD 6000 x 4500</t>
  </si>
  <si>
    <t>CAD 4000 x 4500</t>
  </si>
  <si>
    <t>Pro 2400 x 4500</t>
  </si>
  <si>
    <t>0411 B</t>
  </si>
  <si>
    <t>0411 C</t>
  </si>
  <si>
    <t>0412 A</t>
  </si>
  <si>
    <t>Clayton Harrington</t>
  </si>
  <si>
    <t>0412 B</t>
  </si>
  <si>
    <t>A/L CAD 4.5 x 2.9</t>
  </si>
  <si>
    <t>0412 C</t>
  </si>
  <si>
    <t>0412 D</t>
  </si>
  <si>
    <t>A/L Pro 2.7 x 2</t>
  </si>
  <si>
    <t>A/L Pro 3.2 x 2.9</t>
  </si>
  <si>
    <t>QTY</t>
  </si>
  <si>
    <t>0260 B</t>
  </si>
  <si>
    <t>0280</t>
  </si>
  <si>
    <t>CAD 45 x 45 L</t>
  </si>
  <si>
    <t>Curtain 5.1 x 5</t>
  </si>
  <si>
    <t>Curtain 4.5 x 5</t>
  </si>
  <si>
    <t>0374 A</t>
  </si>
  <si>
    <t>0374 B</t>
  </si>
  <si>
    <t>Pro 35 x 45 R</t>
  </si>
  <si>
    <t>A/L Pro 3.0 x 2.9</t>
  </si>
  <si>
    <t>COTEX CONSTRUCTION</t>
  </si>
  <si>
    <t>0413 A</t>
  </si>
  <si>
    <t>0413 B</t>
  </si>
  <si>
    <t>0413 C</t>
  </si>
  <si>
    <t>3.2W x 3.1H</t>
  </si>
  <si>
    <t>2.1W x 3.1H</t>
  </si>
  <si>
    <t>3.0W x 3.1H</t>
  </si>
  <si>
    <t>WCB - Cheese processing update</t>
  </si>
  <si>
    <t>2.2W x 3.0H</t>
  </si>
  <si>
    <t>PRO R 4.0 x 3.0</t>
  </si>
  <si>
    <t>PRO L 2.1 x 2.4</t>
  </si>
  <si>
    <t>0414 A</t>
  </si>
  <si>
    <t>0414 B</t>
  </si>
  <si>
    <t>0414 C</t>
  </si>
  <si>
    <t>Flavour Makers (complete PN0415)</t>
  </si>
  <si>
    <t>0415 A</t>
  </si>
  <si>
    <t>0415 B</t>
  </si>
  <si>
    <t>0415 C</t>
  </si>
  <si>
    <t>0415 D</t>
  </si>
  <si>
    <t>0415 E</t>
  </si>
  <si>
    <t>CAD R 5100W x 5500H</t>
  </si>
  <si>
    <t>L Pro R 4500 x 4590</t>
  </si>
  <si>
    <t>L Pro L 4600 x 4590</t>
  </si>
  <si>
    <t>Pro R 2100 x 3310</t>
  </si>
  <si>
    <t>Pro L 2100 x 3310</t>
  </si>
  <si>
    <t>2009.04.08</t>
  </si>
  <si>
    <t>Replace Bottom Section</t>
  </si>
  <si>
    <t>WCB - Daily Farmers</t>
  </si>
  <si>
    <t>2.65 x 3.1 L</t>
  </si>
  <si>
    <t>2.4 x 3.1 L</t>
  </si>
  <si>
    <t>3.5 x 3.1 L</t>
  </si>
  <si>
    <t>4.15 x 3.1 R</t>
  </si>
  <si>
    <t>3.2 x 3.1 L</t>
  </si>
  <si>
    <t>3.0 x 3.1 L</t>
  </si>
  <si>
    <t>2009.04.14</t>
  </si>
  <si>
    <t>0417 A</t>
  </si>
  <si>
    <t>0417 B</t>
  </si>
  <si>
    <t>0417 C</t>
  </si>
  <si>
    <t>0417 D</t>
  </si>
  <si>
    <t>0417 E</t>
  </si>
  <si>
    <t>0417 F</t>
  </si>
  <si>
    <t>0417 G</t>
  </si>
  <si>
    <t>Pro R 2.4 x 3.1</t>
  </si>
  <si>
    <t>Pro R 2.5 x 3.1</t>
  </si>
  <si>
    <t>CAD Relocation</t>
  </si>
  <si>
    <t>0418 A</t>
  </si>
  <si>
    <t>0418 B</t>
  </si>
  <si>
    <t>0418 C</t>
  </si>
  <si>
    <t>Pro S R 3800 X 3500 Blue</t>
  </si>
  <si>
    <t>Delios</t>
  </si>
  <si>
    <t>Confoil</t>
  </si>
  <si>
    <t>Profile S 33 x 35</t>
  </si>
  <si>
    <t>2009.07.02</t>
  </si>
  <si>
    <t>CAD 4.5 X 4.1</t>
  </si>
  <si>
    <t>0421 A</t>
  </si>
  <si>
    <t>0421 B</t>
  </si>
  <si>
    <t>Pro 3.5 x 2.5</t>
  </si>
  <si>
    <t>Bertocchi</t>
  </si>
  <si>
    <t>0422 A</t>
  </si>
  <si>
    <t>2009.07.09</t>
  </si>
  <si>
    <t>0422 B</t>
  </si>
  <si>
    <t>Pro R CW 2400 X 4000 CH Orange</t>
  </si>
  <si>
    <t>Pro L CW 2450 X 3000 CH Orange</t>
  </si>
  <si>
    <t>Pro R CW 1906 X CH 2500 Red/ YSE</t>
  </si>
  <si>
    <t>RYDELL Burra Foods</t>
  </si>
  <si>
    <t>Pro 3000 X 3100 P/C White</t>
  </si>
  <si>
    <t>NBE - ANDRE KOHN</t>
  </si>
  <si>
    <t>5690 x 5200 R Yellow EXT</t>
  </si>
  <si>
    <t>2009.10.07</t>
  </si>
  <si>
    <t>NBE - Flavour Makers</t>
  </si>
  <si>
    <t>Pro R 2100 X 3900 White 907 VSD</t>
  </si>
  <si>
    <t>NBE - TABRO</t>
  </si>
  <si>
    <t>Freezer CAD CW CH 3100 X CH 3150 R</t>
  </si>
  <si>
    <t>Flavour Makers</t>
  </si>
  <si>
    <t>Pro R 3.5 x 3.5</t>
  </si>
  <si>
    <t>Diamond Valley Pork</t>
  </si>
  <si>
    <t>0430 A</t>
  </si>
  <si>
    <t>0430 B</t>
  </si>
  <si>
    <t>0430 C</t>
  </si>
  <si>
    <t>0430 D</t>
  </si>
  <si>
    <t>PRO S 1.6-2.5 R</t>
  </si>
  <si>
    <t>PRO S 1.6-2.5 L</t>
  </si>
  <si>
    <t>Pro S 1.6-3.750 L</t>
  </si>
  <si>
    <t>Pro S 1.6-3.750 R</t>
  </si>
  <si>
    <t>WCB- Mill Lel</t>
  </si>
  <si>
    <t>Pro R 2000 X 3100 CB L</t>
  </si>
  <si>
    <t>CAD R 4.0 x 3.8  XHA 150MM RH Leg</t>
  </si>
  <si>
    <t>2009.11.06</t>
  </si>
  <si>
    <t>Pro 2.2 x 3.94</t>
  </si>
  <si>
    <t>SOY Roevers</t>
  </si>
  <si>
    <t>Pro (100mm poly sides) 4000 x 4400</t>
  </si>
  <si>
    <t>Temptation BAKERIES</t>
  </si>
  <si>
    <t>CAD Freezer 2750 x 4400</t>
  </si>
  <si>
    <t>CAD FR 2.750 X 4.400 Y (ref: 0395)</t>
  </si>
  <si>
    <t>Plunket</t>
  </si>
  <si>
    <t>Pro Reloc W 2750 X CH 3650 L Red Y</t>
  </si>
  <si>
    <t>Pro 30 X 30 CW 2850 75mm Reloc</t>
  </si>
  <si>
    <t>TABRO</t>
  </si>
  <si>
    <t>Pro N 100 PE W3100 X H3300 Right Leg + 140</t>
  </si>
  <si>
    <t>Pro R 25 X 28 L</t>
  </si>
  <si>
    <t>Hemco Ballarat</t>
  </si>
  <si>
    <t>2010.02.10</t>
  </si>
  <si>
    <t>2010.03.09</t>
  </si>
  <si>
    <t>0441 A</t>
  </si>
  <si>
    <t>0441 B</t>
  </si>
  <si>
    <t>0441 C</t>
  </si>
  <si>
    <t>Pro L 1.450 x 3.2 UPS Orange</t>
  </si>
  <si>
    <t>Pro R 1.15 x 3.2 VSD</t>
  </si>
  <si>
    <t>NBE Inghams</t>
  </si>
  <si>
    <t>Pro RL R Blue 2700 X 4500</t>
  </si>
  <si>
    <t>WCB - GOS</t>
  </si>
  <si>
    <t>MG Leongatha</t>
  </si>
  <si>
    <t>Pro RL 3.5 x 5.0 A/L BA2i</t>
  </si>
  <si>
    <t>Pro RL 2.0 x 3.0 A/L Nomafa</t>
  </si>
  <si>
    <t>0444 A</t>
  </si>
  <si>
    <t>0444 B</t>
  </si>
  <si>
    <t>Pro 100 PE CW 2330 X CH 3150</t>
  </si>
  <si>
    <t>2010.06.07</t>
  </si>
  <si>
    <t>0446 A</t>
  </si>
  <si>
    <t>Pro PE 100 3.5 X 4.340</t>
  </si>
  <si>
    <t>Pro PE 100 2.5 X 3.550</t>
  </si>
  <si>
    <t>Pro PE 100 2.9 X 3.750</t>
  </si>
  <si>
    <t>Pro PE 100 3.1 X 3.150</t>
  </si>
  <si>
    <t>0446 B</t>
  </si>
  <si>
    <t>0446 C</t>
  </si>
  <si>
    <t>0446 D</t>
  </si>
  <si>
    <t>Pro 32 35 L P/C</t>
  </si>
  <si>
    <t>Mountain Bread</t>
  </si>
  <si>
    <t>GOS. WCBF.</t>
  </si>
  <si>
    <t>Spares</t>
  </si>
  <si>
    <t>Sensient</t>
  </si>
  <si>
    <t>CAD 45 x 40 R + R Shutter Mobilisation</t>
  </si>
  <si>
    <t>ASM Chillteck/Sigma</t>
  </si>
  <si>
    <t>0452 A</t>
  </si>
  <si>
    <t>0452 B</t>
  </si>
  <si>
    <t>Pro PE 100 3.0 x 4.0 R</t>
  </si>
  <si>
    <t>Pro PE 100 3.2 x 3.2 L</t>
  </si>
  <si>
    <t>Ingham Sommeville</t>
  </si>
  <si>
    <t>0453 A</t>
  </si>
  <si>
    <t>Pro PE 100 2.4/2.55 R Blue 543</t>
  </si>
  <si>
    <t>Pro PE 100 2.4/2.55 L Blue 543</t>
  </si>
  <si>
    <t>0453 B</t>
  </si>
  <si>
    <t>0453 C</t>
  </si>
  <si>
    <t>0453 D</t>
  </si>
  <si>
    <t>Pro PE 100 2.4 x 3.3 R Yellow S/E</t>
  </si>
  <si>
    <t>0453 E</t>
  </si>
  <si>
    <t>Pro PE 100 3.3 x 3.35 Yellow S/E</t>
  </si>
  <si>
    <t>Pro PE 100 2.15 x 2.55 Yellow S/E</t>
  </si>
  <si>
    <t>WCB Millel</t>
  </si>
  <si>
    <t>Pro 100 R 1820 X 3000</t>
  </si>
  <si>
    <t>Pro PE 100 L CW 3500 X CH 3000</t>
  </si>
  <si>
    <t>WCB - Somceod</t>
  </si>
  <si>
    <t>Pro PE 100 R CW 2800 X CH 3000</t>
  </si>
  <si>
    <t>NBE - Australian Weaving Mills Tasmania</t>
  </si>
  <si>
    <t>NBE - MALTRA Foods</t>
  </si>
  <si>
    <t>2010.09.02</t>
  </si>
  <si>
    <t>Pro PE 100 2.5 x 3.15 R</t>
  </si>
  <si>
    <t>Pro PE 100 2.5 x 3.15 L</t>
  </si>
  <si>
    <t>Pro PE 100 4.0 x 5.5 R</t>
  </si>
  <si>
    <t>Pro PE 100 4.0 x 5.5 L</t>
  </si>
  <si>
    <t>0457 A</t>
  </si>
  <si>
    <t>0457 B</t>
  </si>
  <si>
    <t>0457 C</t>
  </si>
  <si>
    <t>0457 D</t>
  </si>
  <si>
    <t>NBE - Mountain Bread</t>
  </si>
  <si>
    <t>Pro PE 100 L 30-31.5 PC-W</t>
  </si>
  <si>
    <t>Pro PE100 L 30.5-27.5 PC-W</t>
  </si>
  <si>
    <t>Pro PE100 L 26-28.5 PC-W</t>
  </si>
  <si>
    <t>0458 A</t>
  </si>
  <si>
    <t>0458 B</t>
  </si>
  <si>
    <t>0458 C</t>
  </si>
  <si>
    <t>Pro PE100 3.15-41.5</t>
  </si>
  <si>
    <t>NBE - Tasie</t>
  </si>
  <si>
    <t>2010.10.07</t>
  </si>
  <si>
    <t>NBE - Aushal Harvest Moon Tassie</t>
  </si>
  <si>
    <t>Pro L 1.3 x 3.2 PC Surfmesh</t>
  </si>
  <si>
    <t>0460 A</t>
  </si>
  <si>
    <t>0460 B</t>
  </si>
  <si>
    <t>0460 C</t>
  </si>
  <si>
    <t>Pro PE R 31 x 4150 P/C Surfmesh 01D7</t>
  </si>
  <si>
    <t>Pro PE R 31 x (4150-4180) P/C Surfmesh 01D7</t>
  </si>
  <si>
    <t>Pro PE L 31 x (4150-4180) P/C Surfmesh 01D7</t>
  </si>
  <si>
    <t>0460 D</t>
  </si>
  <si>
    <t>Pro PE R 31 x 4500 P/C Surfmesh 01D7</t>
  </si>
  <si>
    <t>Pro PE L 35-3250 Blue 543 Cont</t>
  </si>
  <si>
    <t>NBE - ASH Brothers Fishmongers</t>
  </si>
  <si>
    <t>Pro PE L 245-2600 Red Contactors</t>
  </si>
  <si>
    <t>NBE - Diamonds Valley Park</t>
  </si>
  <si>
    <t>Freezer Fold CW 3000 X H 4020 Blue VSD Insul Curtain</t>
  </si>
  <si>
    <t>TABRO Meats</t>
  </si>
  <si>
    <t>Door Relocation</t>
  </si>
  <si>
    <t>Ensign Labs</t>
  </si>
  <si>
    <t>Pro PE 2H X 31 (D00213)</t>
  </si>
  <si>
    <t>Dairy Farmers</t>
  </si>
  <si>
    <t>MIC Leongatha</t>
  </si>
  <si>
    <t>0466 A</t>
  </si>
  <si>
    <t>0466 B</t>
  </si>
  <si>
    <t>0466 C</t>
  </si>
  <si>
    <t>Pro PE 27 X 33 Small Warehouse Door</t>
  </si>
  <si>
    <t>Pro PE 42 X 42 Large Warehouse Door</t>
  </si>
  <si>
    <t>CAD 97-50 Paper Stan</t>
  </si>
  <si>
    <t>Pro PE L W 3150 X H 3200 EXT Blue 543 Cont RC + 1X ST</t>
  </si>
  <si>
    <t>Inghams Thomastown</t>
  </si>
  <si>
    <t>Pro PE L W 3000 X H 4150 EXT PC SM - Cont Blue 543 PE Back Remote X Seals Enclosed Stiffeners</t>
  </si>
  <si>
    <t>GOETZ Ganeo</t>
  </si>
  <si>
    <t>Pro PE R W 3000 X H 4150 as a top cover on all doors PE Front</t>
  </si>
  <si>
    <t>Black Swan Dips</t>
  </si>
  <si>
    <t>Pro PE R/L PC SM W 3000 X H 4100 Cont Grey PE Back</t>
  </si>
  <si>
    <t>Austral Menora Foods</t>
  </si>
  <si>
    <t>Pro PE L W 3000 X H 3650 Red PC S/M Cont OC Back PB - NCM</t>
  </si>
  <si>
    <t>Pro PE R W 3000 X H 3650 Red PC S/M Cont OC Back PB - NCM</t>
  </si>
  <si>
    <t>JSB Swift Fosmag</t>
  </si>
  <si>
    <t>Reloc Door</t>
  </si>
  <si>
    <t>2010.11.08</t>
  </si>
  <si>
    <t>2010.11.10</t>
  </si>
  <si>
    <t>2010.12.03</t>
  </si>
  <si>
    <t>2011.03.03</t>
  </si>
  <si>
    <t xml:space="preserve">Albany Curtain </t>
  </si>
  <si>
    <t>0228 a</t>
  </si>
  <si>
    <t>Ingham Thomastown</t>
  </si>
  <si>
    <t>Freezer Fold W 2600 X 300 H Blue Cont 433 (Also 0697)</t>
  </si>
  <si>
    <t>Roady Meals</t>
  </si>
  <si>
    <t>FR CAD 3300 X 3600 240 VSD ABB Blue Res RC 433</t>
  </si>
  <si>
    <t>2.3 x 2.8, 1x Profile (as 0326)</t>
  </si>
  <si>
    <t>Inghams Sommerville</t>
  </si>
  <si>
    <t>Pro 2.4-2.550 R VSD Blue</t>
  </si>
  <si>
    <t>Pro PE100 2800 X 3250 R Blue</t>
  </si>
  <si>
    <t>Sunrise Plastics</t>
  </si>
  <si>
    <t>Pro XW 4380 X H 4900 Blue 2PE Loop P</t>
  </si>
  <si>
    <t>WCB / Harrington Daily Cheese</t>
  </si>
  <si>
    <t>Pro PE L 2.4 X 3.1</t>
  </si>
  <si>
    <t>Pro PE100 RL RHS CW 3000 XCH 3710 Cont Yellow RC 433</t>
  </si>
  <si>
    <t>Bordar Bonaccord</t>
  </si>
  <si>
    <t>New Mesh Panel for Carbon Filter</t>
  </si>
  <si>
    <t>WCB GOS</t>
  </si>
  <si>
    <t>Bella Porky</t>
  </si>
  <si>
    <t>Pro PE L XT CH Reloc Con 2600 X 4000 OR 433 PB</t>
  </si>
  <si>
    <t>Passion Pasta</t>
  </si>
  <si>
    <t>Pro PE L Reloc XT CH Con CW 2300 X CH 3500 WH 433 PB</t>
  </si>
  <si>
    <t>Pro PE R XT R VSD CW 3000 CH 2550 Blue 543 Loop PB A/L</t>
  </si>
  <si>
    <t>Inghams - Sommevill</t>
  </si>
  <si>
    <t>Pasta Del Costa</t>
  </si>
  <si>
    <t>Montegues</t>
  </si>
  <si>
    <t>Monde Construction</t>
  </si>
  <si>
    <t>Arnolds Wodonga</t>
  </si>
  <si>
    <t>Backhus Marsh Fresh</t>
  </si>
  <si>
    <t>YUMI</t>
  </si>
  <si>
    <t>2011.07.08</t>
  </si>
  <si>
    <t>0486 A</t>
  </si>
  <si>
    <t>0486 B</t>
  </si>
  <si>
    <t>Pro PE R XT CH Con 433-2 Blue PB 4020 x 3620</t>
  </si>
  <si>
    <t>Pro PE R XT CH Con 433-2 Blue PB 4000 x 3620</t>
  </si>
  <si>
    <t>Repairs &amp; Service Work: Maneuvera</t>
  </si>
  <si>
    <t>Inghams - Thomastown</t>
  </si>
  <si>
    <t>Pro PE L IN Con CW 2700 CH 3150 Blue 543 Remote 2X8 CH A/L MOP4</t>
  </si>
  <si>
    <t>Pro PE 128 XT L CH 1.5 Con 1Loop PB CW 3100 X CH 5000 Blue 543 (P2493)</t>
  </si>
  <si>
    <t>CAD 4.2 X 4.8</t>
  </si>
  <si>
    <t>2011.08.03</t>
  </si>
  <si>
    <t>Pro PE INT R CH Con Loop PB CW 3000 X CH 3550 Orange</t>
  </si>
  <si>
    <t>Pro S/S INT L Rossi 0.75 VSD CW 3500 X CH 3800 Blue R/C 433 S/S C Box No VP</t>
  </si>
  <si>
    <t>0493 A</t>
  </si>
  <si>
    <t>0493 B</t>
  </si>
  <si>
    <t>0493 C</t>
  </si>
  <si>
    <t>National Foods - Store 4 West (Door 7)</t>
  </si>
  <si>
    <t>National Foods - Mezzoual Store 3 (Door 16)</t>
  </si>
  <si>
    <t>National Foods - Store 4 East (Door 8)</t>
  </si>
  <si>
    <t>2600 X 3200</t>
  </si>
  <si>
    <t>3100 X 3200</t>
  </si>
  <si>
    <t>Pro PE CW 3600 X CH 4380</t>
  </si>
  <si>
    <t>Pro PE XT R CH 0.75 VSD RC 433 2X4CH CW 2450 X CH 3000 Blue 543 PC SM ST</t>
  </si>
  <si>
    <t>Plunkett</t>
  </si>
  <si>
    <t>Poultry Palace</t>
  </si>
  <si>
    <t>0497 A</t>
  </si>
  <si>
    <t>Pro PE XT R CW 3950 X 3750 Surfmesh CH 0.75 VSD Red No S/E Loop XT PB 1 extra Stiffener on top</t>
  </si>
  <si>
    <t>0497 B</t>
  </si>
  <si>
    <t>Pro PE XT L CW 3950 X 3750 Surfmesh CH 0.75 VSD Red No S/E Loop XT PB 1 extra Stiffener on top</t>
  </si>
  <si>
    <t>0497 C</t>
  </si>
  <si>
    <t>Pro PE XT R CW 4000 x 3750 Surfmesh CH 0.75 VSD Red No S/E Loop XT PB 1 extra Stiffener on top</t>
  </si>
  <si>
    <t>Pro PE XT L CW 4000 x 3750 Surfmesh CH 0.75 VSD Red No S/E Loop XT PB 1 extra Stiffener on top</t>
  </si>
  <si>
    <t>0497 D</t>
  </si>
  <si>
    <t>Pro PE L CW 2750 CH 3500 One Piece Curtain No S/E R/C 433 X 3 TR XT PB</t>
  </si>
  <si>
    <t>Pro PE 100 TR CW 2000 X CH 3100 Orange Loops Cont</t>
  </si>
  <si>
    <t>Pro PE 100 XT L Blue 593 Cont No S/E RC 433 PB CW 2600 X CH 2850</t>
  </si>
  <si>
    <t>Nickway RRC</t>
  </si>
  <si>
    <t>0500 A</t>
  </si>
  <si>
    <t>0500 B</t>
  </si>
  <si>
    <t>Pro PE 100 XT R Blue 593 Cont No S/E RC 433 PB CW 2890 X CH 2850</t>
  </si>
  <si>
    <t>0500 C</t>
  </si>
  <si>
    <t>Pro PE 100 XT L Blue 593 Cont No S/E RC 433 PB CW 2890 X CH 2850</t>
  </si>
  <si>
    <t>WCB Milell</t>
  </si>
  <si>
    <t>Baiada</t>
  </si>
  <si>
    <t>ProPE100 XTL, CW 1900 x CH 2800, Red, R/C</t>
  </si>
  <si>
    <t>0502 A</t>
  </si>
  <si>
    <t>0502 B</t>
  </si>
  <si>
    <t>SEMA</t>
  </si>
  <si>
    <t>Forth Farm Tasmania</t>
  </si>
  <si>
    <t>WCB - Milell</t>
  </si>
  <si>
    <t>0505 A</t>
  </si>
  <si>
    <t>0505 B</t>
  </si>
  <si>
    <t>0505 C</t>
  </si>
  <si>
    <t>0505 D</t>
  </si>
  <si>
    <t>Pro100 XT R, CW 3000 x CH 3000, Orange, VSD, Xtra PB, UPS, Laser Top</t>
  </si>
  <si>
    <t>ProPE125 XT R, CW 4000 x CH 4550, Blue 543, Cont - RC 433, Stiffener Top</t>
  </si>
  <si>
    <t>ProPE125 XT L, CW 3700 x CH 4780, Blue 543, Cont - RC 433, Stiffener Top</t>
  </si>
  <si>
    <t>Pro100 PE IT R, CW 3000 x CH 3100, Blue 543, VSD, XPB, No View Port, Curtain Blue 557</t>
  </si>
  <si>
    <t>Pro100 XT L, CW 3000 x CH 3000, Detection Remote Control 933, 8CH Detect</t>
  </si>
  <si>
    <t>Pro100 XT R, CW 2000 x CH 2700</t>
  </si>
  <si>
    <t>Pro100 X, CW 2800 x CH 2400</t>
  </si>
  <si>
    <t>Pro100 XT L, CW 2900 x CH 2400</t>
  </si>
  <si>
    <t xml:space="preserve">Industrial Foods - </t>
  </si>
  <si>
    <t>0507 B</t>
  </si>
  <si>
    <t>0507 A</t>
  </si>
  <si>
    <t>Hudson Pacific</t>
  </si>
  <si>
    <t>FiveAM</t>
  </si>
  <si>
    <t>ProXTR, CW 3650 x CH 4150, Cont Loop, Xtra PB</t>
  </si>
  <si>
    <t xml:space="preserve">Hemco Ballarat - </t>
  </si>
  <si>
    <t xml:space="preserve">Seven Chiefs - </t>
  </si>
  <si>
    <t xml:space="preserve">Roger Whyett - </t>
  </si>
  <si>
    <t>2012.02.06</t>
  </si>
  <si>
    <t>2012.04.02</t>
  </si>
  <si>
    <t>2012.06.04</t>
  </si>
  <si>
    <t>2012.07.09</t>
  </si>
  <si>
    <t>2012.08.01</t>
  </si>
  <si>
    <t>2012.08.06</t>
  </si>
  <si>
    <t>2012.11.12</t>
  </si>
  <si>
    <t>2013.03.12</t>
  </si>
  <si>
    <t>New Freezer Curtain</t>
  </si>
  <si>
    <t xml:space="preserve">Milell Meats - </t>
  </si>
  <si>
    <t xml:space="preserve">Superior Food - </t>
  </si>
  <si>
    <t xml:space="preserve">DiRossi - </t>
  </si>
  <si>
    <t xml:space="preserve">Ausha Lion Nathan - </t>
  </si>
  <si>
    <t xml:space="preserve">VIP Plastics - </t>
  </si>
  <si>
    <t xml:space="preserve">Ausha Little Creatures - </t>
  </si>
  <si>
    <t xml:space="preserve">Carter Holt Harvey - </t>
  </si>
  <si>
    <t xml:space="preserve">Ausha VIP Packaging - </t>
  </si>
  <si>
    <t>Repairs to UHT Truck Doors</t>
  </si>
  <si>
    <t xml:space="preserve">M/G Leongatha - </t>
  </si>
  <si>
    <t>ProPE125 XTR, CW 3550 x CH 4200,  Green, VSD, PE Front, Metal Top, Special Brkt +300mm</t>
  </si>
  <si>
    <t>ProPE100 XTR, CW 2800 x CH 2650,  PE Surfmist, Green 679, RC 433, 2 x 4CH, 0.75CH, Cont 415VAC, Steel Top Cover</t>
  </si>
  <si>
    <t>ProPE100 XTL, CW 2000 x CH 2450,  PE Surfmist, Green 679, RC 433, 2 x 4CH, 0.75CH, Cont 415VAC, Steel Top Cover</t>
  </si>
  <si>
    <t>ProPE100 XTR, CW 3030 x CH 3650,  Yellow, RC 433, Laser Top</t>
  </si>
  <si>
    <t>ProPE100 INL, CW 2400 x CH 3150,  Blue 593, Cont PB</t>
  </si>
  <si>
    <t>ProPE100 INL, CW 2100 x CH 3150,  Yellow, RC 433, Laser Top, +1m Cable</t>
  </si>
  <si>
    <t>ProSP5 XTL, CW 4150 x CH 3250,  Blue, VSD, UPS, Open Pouch Fall, Metal Top, View Ports, 1 Loop</t>
  </si>
  <si>
    <t>ProPE100 EXTL, CW 1950 x CH 3500,  Blue, No SE, Cont Loop, Xtra PB, Metal Cover, Xtra 5M Cable</t>
  </si>
  <si>
    <t>ProPE100 INL, CW 1550 x CH 3300,  Red, 0.75VSD, No SE, RC 433, PB, Xtra Cable 4M, Metal Cover</t>
  </si>
  <si>
    <t>ProPE XTR, CW 1800 x CH 3150,  Blue, 0.75VSD, PE Detection x2, +1m Xtra Cable, Metal Cover</t>
  </si>
  <si>
    <t>ProPE125 XTR, CW 4200 x CH 4100,  Blue 543, 1.5KW Cont, Motion Sensor, Xtra PB, Stiffener Top, Laser Top, PC Surfmist</t>
  </si>
  <si>
    <t>ProPE100 XTL, CW 3000 x CH 8150,  Yellow, 0.75VSD, RC 433, PB, No SE, Laser Top</t>
  </si>
  <si>
    <t>CAD XTR, CW 4535 x CH 4900,  Green, 1.5KW Cont, 1 Loop, PB, Xtra View Port</t>
  </si>
  <si>
    <t>ProPE100 XTL, CW 2500 x CH 3880,  Blue, 0.75 Cont, PB, PC Surfmist</t>
  </si>
  <si>
    <t>ProPE100 INL, CW 1900 x CH 2225,  Blue, 0.75 Cont, 2x PB, Metal Top</t>
  </si>
  <si>
    <t>DoorTec SA - Pro100 XL, CW 3000 x CH 3800,  GAL, Curtain Orange 224, 240VSD, RC 433 MHZ</t>
  </si>
  <si>
    <t>South East Eggs - Pro100 XTL, CW 2400 x CH 3350,  GAL, Curtain Green 679, 240VSD, RC 433,</t>
  </si>
  <si>
    <t>Flavour Makers - Supro 2.2 XTL, CW 5270 x CH 6500,  GAL, Curtain White, VSD 2.2KW, S/E Yellow, Cord Front, Detect RC 433,</t>
  </si>
  <si>
    <t>Lamalina - Pro PE 125 CW 3000 x CH 4650,  Gal Curtain Orange, 2ho VSD 0.75kW Drive Left, Photocell Flow, SE Soft Edge, Detect Re 433,</t>
  </si>
  <si>
    <t>Pro PE 100 CW 2170 x CH 3050,  Gal Curtain Red 356, Motor 0.75kW VSD Drive Right, Detect ILoop, Cable +500, 1 bkt non motorized</t>
  </si>
  <si>
    <t>Pro PE 100 CW 3400 x CH 4050,  Gal Curtain Blue 543, Motor 0.75kW VSD Drive Left, SE Soft Edge, Detection ILoop, Cable +1m, Top Cover Sheet Metal, Stiffener + Steel Bottom</t>
  </si>
  <si>
    <t>Pro PE100 CW 2000 x CH 2700
 Gal Curtain Orange 224
Motor 0.15kW VSD Drive Right
B/E Pneumatic 2 Loop? PB Leg Back</t>
  </si>
  <si>
    <t>Wandin Valley Cherries
Pro PE100 CW 2850 x CH 3750
 Gal Curtain Orange 224
Motor 0.75kW VSD Drive Left
Soft Edge PE Front
Detec RC 433 +</t>
  </si>
  <si>
    <t>Pro PE100 CW 2300 x CH 3525
 Gal Curtain Orange 244
Motor 0.75 VSD Drive Left
S/E Pneumatic C/C Back
Detec ILoop PB Leg Front
Cable + 1000 Top Cover Metal</t>
  </si>
  <si>
    <t>INDUSTRIAL FOODS
Pro PE125 CW 2400 x CH 4150
 Gal Curtain Green 679
S/E Pneumatic C/C Back
Motor 0.75kW VSD Drive Left
Detec 433 RE</t>
  </si>
  <si>
    <t>EVEREST Ice Cream
Pro PE125 CW 4450 x CH 3600
 Gal Curtain Blue 543
Motor 0.75kW VSD Drive Left
S/E Pneumatic C/C Back
Detec 433 174z</t>
  </si>
  <si>
    <t>Flavour Makers
Pro PE125 CW 4000 x CH 4300
 Gal Curtain White Yellow S/E
Motor 0.75 VSD Drive Right
S/E Pneumatic C/C Back
Detec RC 433 ME8</t>
  </si>
  <si>
    <t>Pro FR 125 CW 2900 x CH 3175
 Gal Curtain Orange 249 3 Shapes
16MM Insul Pellon (2x8)
Motor 0.75kW Drive 2XL 2XR
Detec RC 433 1x8 CHTR + Antennae
2 PB in Boxes
Cable +1m 2x PE</t>
  </si>
  <si>
    <t>JALNA
Pro FR 125 CW 2900 x CH 3175
 Gal Curtain Orange 249 3 Shapes
16MM Insul Pellon (</t>
  </si>
  <si>
    <t>Pro PE 125 CW 2050 x CH 2800
 Gal Drive Left Curtain Orange
Motor 0.75kW
Detec RC 433 1x8 CHTR
2 PB in Boxes
Cable +1m</t>
  </si>
  <si>
    <t>Pro PE 125 CW 2050 x CH 2800
 Gal Drive Left Curtain Orange
Motor 0.75kW
Detec RC 433</t>
  </si>
  <si>
    <t>Pro FR 125 CW 2450 x CH (unclear)
 Gal Curtain Orange 244
Leg Extension 1205 + 50 30% x
Detec &amp; Speedas Safety Shutdown on Power Fail
Dual Open Height with Limit Switch
2nd Opening Key Switch</t>
  </si>
  <si>
    <t>Alligator Pasta
Pro PE125 CW 3500 x CH 3500
 Gal Curtain Orange 229
Motor 0.75 VSD Drive Right
Detec RC 433</t>
  </si>
  <si>
    <t>Pro PE125 CW 2850 x CH 3800
 Gal Curtain Orange 244
Drive Left, Motor 0.75 VSD
Detect 433MH3
S/E Pneumatic C/C Front
PB Leg Back
Cable +1m</t>
  </si>
  <si>
    <t>AUSFRESH CW 4120 x CH 4000; SP150; Drive Left Motor 1.5kW 15/1;  Gal Curtain Blue 543; PEX2</t>
  </si>
  <si>
    <t>DAIRY COUNTRY CW 2700 x CH 3700; Pro PE125; Drive Left Motor 0.75 10/1;  Gal Curtain Blue 543; Detect RC433</t>
  </si>
  <si>
    <t>CW 5800 x CH 4800; SP150Int; Drive Right Motor 0.5kW 15/1;  Gal Curtain Yellow; Detect 1 Loop</t>
  </si>
  <si>
    <t>CW 2750 x CH 4300; PE125; Drive Right Motor 0.75 R10/1;  Gal Curtain Orange 244; Detect RC433 1x8CH PB Leg Back; Cable + 1m; S/E Pneumatic</t>
  </si>
  <si>
    <t>JALNA CW 2750 x CH 4300; PE125; Drive Right Motor 0.75 R10/1;  Gal Curtain Orange 244; Detect RC433</t>
  </si>
  <si>
    <t>Fresh Select CW 3500 x CH 3200; PE125; Drive 2x Left 1x Right 0.75 VSD 10/1;  Gal Curtain Red 356; Detect RC433</t>
  </si>
  <si>
    <t>Florida Cheese CW 2450 x CH 3200; PE125; Drive Left Motor 0.75 10/1;  Gal Curtain Blue 543; Detect RC433</t>
  </si>
  <si>
    <t>CW 3700 x CH 4200; PE125; Drive Left Motor 0.75 R15/1;  Gal Curtain Yellow; Detect I Loop PB Back</t>
  </si>
  <si>
    <t>HAWKES Vegetables CW 5650 x CH 4450; CAD FR150; Drive Left Motor 2.2kW 15/1;  Gal Curtain Blue Feeney</t>
  </si>
  <si>
    <t>CW 3000 x CH 3150; PE125; Drive Left x Right Motor 0.75 R15/1;  Gal Curtain Orange 244; Detect PB Box; Cable + 1m</t>
  </si>
  <si>
    <t>HAWKES Vegetables CW 5650 x CH 4450; CAD FR150; Drive Left Motor 2.2kW R15/1;  Gal Curtain Blue Feeney</t>
  </si>
  <si>
    <t>CW 2050 x CH 2600; PE125; Drive Right Motor 0.75 10/1;  Gal Curtain Orange 244; Detect RC MC PB Box; SE Soft Cable + 0.5m; PE Front (LK PLC)</t>
  </si>
  <si>
    <t>Wandin Valley Farms CW 3000 x CH 3650 Make 3700; PE125; Drive Left Motor 0.75 R10/1;  Gal Curtain Orange 244; PB Box RC MC1509</t>
  </si>
  <si>
    <t>AWGD Billson - PE125 CW 3600 x CH 4000. Drive Left motor 0.75 R10/1.  Gal Curtain Blue 543. PE Front Cable +1m Detect RC MC 915 +</t>
  </si>
  <si>
    <t>Garry Young - PE125, CW 2000 x CH 3500, Drive Right, Motor 0.75 R10/1,  GAL, Curtain Blue 543, PE Front, Detect R/C MTC 150 +</t>
  </si>
  <si>
    <t>Nicway Fresh Berries QLD - PE125, CW 2600 x CH 3150, Drive Right, Motor 0.75KW R10/1,  GAL, Curtain Green 623, Detect RC MTC,</t>
  </si>
  <si>
    <t>ProPE100 INT, CW 3000 x CH 3750,  Red, 0.75VSD, SE Cord, PE Back, Laser Top, 1 Loop</t>
  </si>
  <si>
    <t xml:space="preserve">VIP PUAR - </t>
  </si>
  <si>
    <t>ProPE100 INT, CW 2400 x CH 2600,  Yellow, SE PC Surfmist, 0.75VSD, SE Cord, PE Back, Laser Top, RC 433 MHZ</t>
  </si>
  <si>
    <t xml:space="preserve">Freewall - </t>
  </si>
  <si>
    <t>ProPE100 INT, CW 2500 x CH 3050,  Orange, 0.75VSD, SE Cord Front, Palm Switch x2</t>
  </si>
  <si>
    <t xml:space="preserve">Chris Dips - </t>
  </si>
  <si>
    <t>ProPE,  Blue 543, CW 3200 x CH 5050, 0.75VSD, C/C Back Loops, Xtra Stiffener Top</t>
  </si>
  <si>
    <t xml:space="preserve">Rinoldi Pasta - </t>
  </si>
  <si>
    <t>ProPE100 L Internal, CW 1500 x CH 2150,  Blue 543, 0.75VSD, Air Lock, Xtra Relay, PE Back, Cable +3000, Large Top, Top Load Bearings</t>
  </si>
  <si>
    <t xml:space="preserve">Brady Ferguson Plarre - </t>
  </si>
  <si>
    <t>0518 B</t>
  </si>
  <si>
    <t>0518 A</t>
  </si>
  <si>
    <t>ProPE100 XTR, CW 3000 x CH 8150,  Yellow, 0.75VSD, RC 433, PB, No SE, Laser Top</t>
  </si>
  <si>
    <t>New Curtain Bottle Shed, Sunproof, CW 36 x CH 99</t>
  </si>
  <si>
    <t>ProPE100 R INT, CW 2500 x CH 3150,  Red, PE Front, C/C Back, Cable +1m, Steel Top</t>
  </si>
  <si>
    <t xml:space="preserve">Maltra Foods - </t>
  </si>
  <si>
    <t>ProPE100 XTR, CW 2000 x CH 2750,  GAL, Curtain Orange, 240VSD, 0.75CD, 1 Loop, C/C Back, Cable +1m, Metal Top</t>
  </si>
  <si>
    <t>ProPE125 XTL, CW 3650 x CH 4550,  GAL, Curtain Green, 240VSD, 0.75CD, RC 433, C/C Back, Metal Top</t>
  </si>
  <si>
    <t>ProPE100 XTL, CW 3000 x CH 3950,  PE Surfmist, Curtain Red, 240VSD, 0.75CD, C/C Front, RC 433, PB, Laser Top</t>
  </si>
  <si>
    <t>ProPE100 XTR, CW 2100 x CH 3150,  GAL, Curtain Grey, 240VSD, 0.75CD, C/C Back, RC 433, PB, Metal Top</t>
  </si>
  <si>
    <t xml:space="preserve">Flowers by Van Gogh - </t>
  </si>
  <si>
    <t>ProPE125 XTR, CW 5215 x CH 5000,  GAL, Curtain Blue 543, 1.5KW VSD ED, C/C Back, RC 433, PB, Laser Top</t>
  </si>
  <si>
    <t xml:space="preserve">Flavour Makers - </t>
  </si>
  <si>
    <t>ProPE125 XTR, CW 4000 x CH 4650,  GAL, Curtain Blue 543, 1.5KW VSD CD, C/C Back, RC 433, PB, 2x PE (1.2m), Laser Top</t>
  </si>
  <si>
    <t xml:space="preserve">Baiada - </t>
  </si>
  <si>
    <t>ProPE125 XTL, CW 2000 x CH 3940,  GAL, Curtain Blue 543, 0.75VSD, C/C Back, 1 Loop, PB, Metal Top, Cable +1m, 1x Stiffener Top</t>
  </si>
  <si>
    <t xml:space="preserve">AWGD JOSS H2O Albury - </t>
  </si>
  <si>
    <t>WCB Harrington</t>
  </si>
  <si>
    <t>Carbon Filter Airlock - ProPE100 XTR, CW 2150 x CH 4300,  PE Surfmist, Curtain Red 356, 0.75VSD, C/C Back</t>
  </si>
  <si>
    <t>New Curtain &amp; Repairs to Door</t>
  </si>
  <si>
    <t xml:space="preserve">DAG Venture - </t>
  </si>
  <si>
    <t>ProPE125 XTL, CW 4300 x CH 4425,  GAL, Curtain Blue 543, 240VSD, 1.5KW, Stiffeners 600F, Soft Edge, 1 Loop, PB, Cable +1.5m, Laser Top</t>
  </si>
  <si>
    <t xml:space="preserve">Yumi Hallam - </t>
  </si>
  <si>
    <t>Pro125 XTL, CW 3500 x CH 5000,  GAL, Curtain Blue 543, 240VSD, 1.5KW, Loop, PB, Hazard Light on Leg &amp; Buzzer</t>
  </si>
  <si>
    <t xml:space="preserve">Altimate Foods - </t>
  </si>
  <si>
    <t>ProPE100 XTL, CW 2500 x CH 4100,  GAL, Curtain Yellow SE Red, 240VSD, RC 433, PB, Xtra Stiffener Top, Xtra Cable 1m, Sheet Metal Top</t>
  </si>
  <si>
    <t xml:space="preserve">Moka Foods - </t>
  </si>
  <si>
    <t>Pro125 XTL, CW 4000 x CH 4400,  GAL, Curtain Yellow SE Red, 240VSD, 0.75KW, RC 433, PB, Cable +1m, Steel Top</t>
  </si>
  <si>
    <t xml:space="preserve">Moka Foods (Continued) - </t>
  </si>
  <si>
    <t>0545 A</t>
  </si>
  <si>
    <t>0545 B</t>
  </si>
  <si>
    <t>0545 C</t>
  </si>
  <si>
    <t>2013.04.05</t>
  </si>
  <si>
    <t>Pro100 XTL, CW 2600 x CH 3600,  GAL, Curtain Grey 729, 240VSD, 0.75KW, PB, Xtra Stiffener Top, Cable +1m, Sheet Metal Cover</t>
  </si>
  <si>
    <t xml:space="preserve">Black Swan - </t>
  </si>
  <si>
    <t>Pro100 XTR, CW 2750 x CH 3000,  PE Surfmist, Curtain Blue 543, 240VSD, 0.75KW, Loop, PB, Sheet Metal Top</t>
  </si>
  <si>
    <t xml:space="preserve">Made Group - </t>
  </si>
  <si>
    <t>H2O5 - ProPE125 XTL, CW 3000 x CH 3930,  GAL, Curtain Blue 543, 0.75VSD, 1 Loop, PB, Metal Top, Cable +1m, 1 Stiffener Top</t>
  </si>
  <si>
    <t xml:space="preserve">AWGD </t>
  </si>
  <si>
    <t xml:space="preserve">Clayton Hauton Group Veruag - </t>
  </si>
  <si>
    <t>ProPE100 XTL, CW 2700 x 3000</t>
  </si>
  <si>
    <t>Replacement Curtain C2013</t>
  </si>
  <si>
    <t xml:space="preserve">DTG Venture - </t>
  </si>
  <si>
    <t>ProPE100 XTL, CW 3000 x CH 3746,  PE Surfmist, Curtain Red 356, 0.75VSD, No SE, RC 433 4XTR, PB, Metal Top, 1X XTRA FG Stiffener Top</t>
  </si>
  <si>
    <t xml:space="preserve">Scorpio Meats - </t>
  </si>
  <si>
    <t>Pro Freezer INR, CW 2800 x CH 3600,  PE Surfmist, Curtain Yellow, 1.5VSD, C/C Front, RC 433 PB, 20AMP R 30, 0/6, Heaters x6 on 3 Phase, Beeper</t>
  </si>
  <si>
    <t>ProPE100 XTR, CW 2450 x CH 5750,  PE Surfmist, Curtain White + Logo Front, C/C Back, 1 Loop, PB, Metal Top</t>
  </si>
  <si>
    <t xml:space="preserve">Techniques - </t>
  </si>
  <si>
    <t>WCB Harrington -</t>
  </si>
  <si>
    <t>Repair / New Door</t>
  </si>
  <si>
    <t>SP150, CW 5000 x CH 5200, Drive Left, Motor 2.2KW R15/1,  GAL, Curtain Blue 543, PE Back, Provision for Front TM20, Relay PB Box, 1 Loop, Cable 1.5m, Motor Cover</t>
  </si>
  <si>
    <t xml:space="preserve">AWGD - Riverina Oil - </t>
  </si>
  <si>
    <t>PE125, CW 1500 x CH 2600, Drive Right, Motor 0.75 R10/1,  GAL, Curtain Blue 543, PE Front x2 NPN, PB x2 Box, S/S Control Box, Cable 2m, Exit Left</t>
  </si>
  <si>
    <t xml:space="preserve">Jindi Cheese - </t>
  </si>
  <si>
    <t>PE125, CW 2600 x CH 3600, Drive Left, Motor 0.75 R10/1,  GAL, Curtain Blue 543, PE Back, PB Box, Cable 1m</t>
  </si>
  <si>
    <t xml:space="preserve">Superior Foods - </t>
  </si>
  <si>
    <t>PE125, CW 2180 x CH 3200, Drive Right, Motor 0.75 R10/1,  GAL, Curtain Blue 543, PE Front, Detect PB Box, Cable 1m</t>
  </si>
  <si>
    <t xml:space="preserve">Aurora Foods - </t>
  </si>
  <si>
    <t>PE125, CW 2600 x CH 3150, Drive Right, Motor 0.75KW R10/1,  GAL, Curtain Green 623, Detect RC MTC, 1x 4CH Transmitter, PB Box, Cable 1m</t>
  </si>
  <si>
    <t xml:space="preserve">Nicway Fresh Berries QLD - </t>
  </si>
  <si>
    <t>FR125, CW 4000 x CH 4300,  GAL, Curtain Blue 543, Funnel 600F, Detect R/C MTC915, PB Box, Cable 1.5m, Drive Left, Motor 1.5KW R15/1</t>
  </si>
  <si>
    <t xml:space="preserve">Designer - </t>
  </si>
  <si>
    <t>PE150, CW 3600 x CH 3800, Drive Right, Motor 0.75 R10/1,  GAL, Curtain Blue 543, Safety Edge, PE Back Curly Cord, PE Front, Detect RC MTC915, PB Box, Cable 1m</t>
  </si>
  <si>
    <t xml:space="preserve">Meat 2? - </t>
  </si>
  <si>
    <t>Fresh - PE125, CW 3700 x CH 3750, Drive Right, Motor 0.75 R10/1,  GAL, Curtain Blue 543, PE Front, Cable 1m</t>
  </si>
  <si>
    <t xml:space="preserve">Backhoe Marsh - </t>
  </si>
  <si>
    <t>PE125, CW 3500 x CH 3600, Drive Left, Motor 0.75 R10/1,  GAL, Curtain Blue 543, PE Front, Detect R/C MTC, PB Box, Cable 1m</t>
  </si>
  <si>
    <t xml:space="preserve">Designer Cool Rooms - </t>
  </si>
  <si>
    <t xml:space="preserve">Saputo </t>
  </si>
  <si>
    <t>PE125, CW 1600 x CH 2550, Drive Left, Motor 0.75KW R10/1,  PE Surfmist, Curtain Grey 729, Stiffener TM pockets, PE Front</t>
  </si>
  <si>
    <t>PE125, CW 2450 x CH 3650, Drive Left, Motor 0.75 R10/1,  GAL, Curtain Blue 543, PE Front, PB Box, Cable 1m</t>
  </si>
  <si>
    <t>FR125, CW 2500 x CH 3200, Drive Left, Motor 1.5KW R15/1,  GAL, Curtain Blue 543, PE Back, Banner, PB Front, Cable 2m</t>
  </si>
  <si>
    <t>PE125, CW 2400 x CH 3650, Drive Left, Motor 0.75 R10/1,  GAL, Curtain Blue 543, PE Front, PB Box, Cable 1m</t>
  </si>
  <si>
    <t>PE125, CW 2000 x CH 2500, Drive Right, Motor 0.75 R10/1,  GAL, Curtain Grey 705, PE Front, PB Box x2, Cable 1m</t>
  </si>
  <si>
    <t>PE125, CW 4000 x CH 4150, Drive Left, Motor 1.5KW R15/1,  GAL, Curtain Blue 543, Cable 1m, PE Front, PB Box</t>
  </si>
  <si>
    <t>SP150, CW 5100 x CH 5200, Drive Left, Motor 1.5KW 2.2KW 3Ø VSD,  GAL, Curtain Blue 543, PE Front TM120 (NPN), PB Box, Cable 1m</t>
  </si>
  <si>
    <t xml:space="preserve">AWGD - Raken - </t>
  </si>
  <si>
    <t>Transmission - PE125, CW 3470 x CH 4000 (+65 RHS), Drive Left, Motor 0.75 R10/1,  GAL, Curtain Blue 543, PE Front TM120 (NPN), Detect RC MTC915, PB Box, Cable Other side (+EXW) 1m, Stiffen +3, All Pockets, Fix Modules 2000 other 3600, Encoder Trial (ISB)</t>
  </si>
  <si>
    <t xml:space="preserve">Inghams - </t>
  </si>
  <si>
    <t>PE125, CW 3300 x CH 3100, Drive Left, Motor 0.75 R10/1, Detect R/C, PB  H/End</t>
  </si>
  <si>
    <t xml:space="preserve">WCBF - Saputo Dry Goods - </t>
  </si>
  <si>
    <t>PE125, CW 1850 x CH 3150, Drive 1x Left 1x Right, Motor 0.75KW R10/1,  GAL, Curtain Blue 543, Detect RC MTC, Cable 1m</t>
  </si>
  <si>
    <t>FR125, CW 4200 x EXT 5600, Drive Right, Motor 1.5 KW R15/1,  GAL, Curtain 82mm insul. Ferrari Blue 543, Banner PE, RC MTC915 4CH.TR, Cable 1m</t>
  </si>
  <si>
    <t xml:space="preserve">Clean curtain with eyelets </t>
  </si>
  <si>
    <t>Replacement curtain FJ0886</t>
  </si>
  <si>
    <t xml:space="preserve">WCBF - </t>
  </si>
  <si>
    <t>PE125, CW 3700 x CH 4100,  GAL, Curtain Blue 543, Drive Right, Motor 0.75 R10/1, Cable 1m, Detect 2x PB Box</t>
  </si>
  <si>
    <t>PE125, CW 4800 x CH 3600,  GAL, Curtain Blue 543, Drive Right, Motor 0.75 KW R15/1, Control LK MS300, PB Box, Cable 1m</t>
  </si>
  <si>
    <t xml:space="preserve">InVito Technologies - </t>
  </si>
  <si>
    <t>PE125, CW 1950 x CH 3100, Drive Left, Motor 0.75 R10/1,  GAL, Curtain Blue 543, Detect 2x PB Box, Control Box Mounted Next to Motor, Cables to Suit</t>
  </si>
  <si>
    <t>PE125, CW 2000 x CH 3500, Drive Right, Motor 0.75 R10/1,  GAL, Curtain Blue 543, PE Front, Detect R/C MTC 150 + 2x4 Ch.TR, PB Box, Cable 1m</t>
  </si>
  <si>
    <t xml:space="preserve">Garry Young - </t>
  </si>
  <si>
    <t>PE125, CW 4000 x CH 4500, Drive Right, Motor 0.75KW R10/1,  GAL, Curtain Yellow, Detect RC MTC, PB Box, Pin Code Access Switch Keypad</t>
  </si>
  <si>
    <t xml:space="preserve">Aligator Pasta - </t>
  </si>
  <si>
    <t>Repairs Vermont</t>
  </si>
  <si>
    <t>PE125, CW 2500 x CH 4000, Drive Left, Motor 0.75 R10/1,  GAL, Curtain Green 679, PE Front, PB Box, RC T9504, Cable 1m, 3x MCT91504</t>
  </si>
  <si>
    <t xml:space="preserve">Central Meats - </t>
  </si>
  <si>
    <t>PE125, CW 2200 x CH 2900, Drive Left, Motor 0.75 R10/1,  GAL, Curtain Blue 543, PE Front, PB Box, Drive Left Cainbox, RHS Cable +2.5</t>
  </si>
  <si>
    <t>PE125, CW 3000 x CH 3900, Drive Right, Motor 0.75KW R10/1,  GAL, Curtain Blue 543, PE Back, PB Box, Cable 1m</t>
  </si>
  <si>
    <t xml:space="preserve">Poultry Palace - </t>
  </si>
  <si>
    <t>PE125, CW 4080 x CH 4300, Drive Left, Motor 0.75 R15/1, Flame GAL, Curtain Blue 543, PE Front, PB Box, Cable 1.5m. PE125, CW 3900 x CH 4300, As Above</t>
  </si>
  <si>
    <t xml:space="preserve">Florida Cheese - </t>
  </si>
  <si>
    <t>PE125, CW 3030 x CH 3250, Drive Right, Motor 0.75 R10/1, Curtain Blue 543,  GAL, PE Front, PB Box, Cable 2m</t>
  </si>
  <si>
    <t xml:space="preserve">Everest Icecream - </t>
  </si>
  <si>
    <t>PE125, CW 3.5 x CH 4.150, Drive 3x Left, 5x Right, Motor 0.75 R10/1, Control LK MS300,  GAL, Curtain Blue 543, PE Front, Cable 1.5m, PB Box, Detect RC MCB, Outdoors. SP150, CW 5.0 x CH 5.0, Drive 2x Left, Motor 1.5KW R15/1,  GAL, Curtain Blue 543, PE Front, PB Box, Cable 1.5m. PE125, CW 2500 x CH 3250, Drive Left, Motor 0.75 R10/1,  GAL, Curtain Yellow, Cable 1m, PE Front, PB Box. PE125, CW 3000 x CH 3650, Drive Right</t>
  </si>
  <si>
    <t xml:space="preserve">Monk Mildura - </t>
  </si>
  <si>
    <t>SP150, CW 4770 x CH 4150, Drive Right, Motor 1.5kw R15/1,  GAL, Curtain Red 543, PE Back Detect MD PB Box, Control LK MS1.5, Cable 4m, 2x C15019 purlins 4.960</t>
  </si>
  <si>
    <t xml:space="preserve">Sheman Foods - </t>
  </si>
  <si>
    <t>PE125, CW 1.850 x CH 2600, Drive 1x LHS 1x RHS, Motor 0.75 R10/1,  PE Surfmist, Curtain Grey 724, PE Back PB Box, FG x5</t>
  </si>
  <si>
    <t>PE 125 CW 3600 x CH 4100, Drive Right - Motor 0.75 R10/1,  Gal Curtain Red 356, SE Soft - PE Front PB Box, Cable +1m</t>
  </si>
  <si>
    <t xml:space="preserve">Sherman Foods - </t>
  </si>
  <si>
    <t>PE125 CW 2800 x CH 3150. Drive Left motor 0.75 R10/1.  Gal Curtain Blue 543. Light Curtains (Same as 0877AB) Detect ILoop</t>
  </si>
  <si>
    <t xml:space="preserve">Fine Foods - </t>
  </si>
  <si>
    <t>PE125 CW.3000 x CH 3750. Drive Left motor 0.75 R10/1. Flame Gal curtain Blue 543. PE Front RC MC715 PB Box Cable +1m</t>
  </si>
  <si>
    <t xml:space="preserve">AURORA Foods - </t>
  </si>
  <si>
    <t>Spare Parts</t>
  </si>
  <si>
    <t>PE125 CW 3000 x CH 3600. Drive Right motor 0.75 R10/1.  Gal Curtain Blue 543. Detect PB Box PE Front Cable +2m</t>
  </si>
  <si>
    <t xml:space="preserve">NBE Test Door - </t>
  </si>
  <si>
    <t>PE125 CW 2500 x CH 3350. Drive Right motor 0.75 R10/1.  Gal Curtain Blue 543. PE Front PB Box Cable Exit Left Side Control Box LHS</t>
  </si>
  <si>
    <t xml:space="preserve">GBP Poowong - </t>
  </si>
  <si>
    <t>Spare Window Sections - Various</t>
  </si>
  <si>
    <t xml:space="preserve">SAPUTO </t>
  </si>
  <si>
    <t>SP150 CW 3000 x CH 4350. Drive Left motor 1.5 kW R15/1.  Gal Curtain Blue 543. Detect RC MC + PB Box Cable +1m</t>
  </si>
  <si>
    <t xml:space="preserve">AWDG BRAKEN - </t>
  </si>
  <si>
    <t>PE125 CW 2800 x CH 3150. Drive Right motor 0.75 R10/1.  Gal Curtain Blue 543. Safety Edge Pneumatic. PE Light Overlay Detect ILoop</t>
  </si>
  <si>
    <t>Fine Foods</t>
  </si>
  <si>
    <t>PE125 CW 2800 x CH 4200. Drive Right motor 0.75 kW R10/1.  Gal Curtain Blue 543. PE Front Detect RC MCT 4CH</t>
  </si>
  <si>
    <t xml:space="preserve">KB Seafood - </t>
  </si>
  <si>
    <t>PE125 CW 2400 x CH 3100 Cheese Plant (PJ0349). S/E for Cheese Plant Dock CW 2200 + S/E CW 2500</t>
  </si>
  <si>
    <t xml:space="preserve">Saputo Repair Tony AN - </t>
  </si>
  <si>
    <t>PE125 Yellow PE CW 3950 x CH 3700. Drive Right motor 0.75 R10/1.  Gal Curtain Blue 543. PE Front PB Box Cable +1m</t>
  </si>
  <si>
    <t xml:space="preserve">DEMROC - </t>
  </si>
  <si>
    <t>PE125 CW 2400 x CH 3150. Drive Right motor 0.75 R10/1.  Gal Curtain Red 356. PE Front RC MCT. S/E Pneumatic Cable +1m</t>
  </si>
  <si>
    <t xml:space="preserve">SAPUTO WCBF Cheese Outpack - </t>
  </si>
  <si>
    <t>PE125 CW 2800 x CH 3200. Drive Left motor 0.75 R10/1.  Gal Curtain Blue 543. PE Front PB Box Cable +1m</t>
  </si>
  <si>
    <t xml:space="preserve">Tasie Fine Foods - </t>
  </si>
  <si>
    <t>PE125 CW 2500 x CH 3350. Drive Right motor 0.75 kW R10/1. PE Front PB Box Cable +2m</t>
  </si>
  <si>
    <t>FR125 CW 2800 x CH 3700 Mini. Drive Left motor 1.5 kW R15.  Gal Curtain Blue 543. PE Banner! PB Box Cable +1m</t>
  </si>
  <si>
    <t>PE125 CW 4000 x CH 4150. Drive Right motor 0.75 R15/1.  Gal Curtain Blue 543. PB Box Cable +1m</t>
  </si>
  <si>
    <t xml:space="preserve">Harvest Moon - Scott Bakes - </t>
  </si>
  <si>
    <t>PE125 CW 3.0 x CH 3.0. Drive Left motor 0.75 R10/1 VSD.  Gal Curtain Red 356. Detect RC MTC1509 PB Out Cable +1m</t>
  </si>
  <si>
    <t xml:space="preserve">Saputo Skim Plant ADC - </t>
  </si>
  <si>
    <t>Replacement Legs for Sungold. New Type Legs. PJ0326</t>
  </si>
  <si>
    <t>WCBF Saputo</t>
  </si>
  <si>
    <t>PE125 CW 2400 x CH 2700. Drive Left motor 0.75 R10/1.  PC Sunfrisnt Curtain Grey 729. Detect PB Box Cable +1.5m. PE Front</t>
  </si>
  <si>
    <t xml:space="preserve">Blackmore Catalent - </t>
  </si>
  <si>
    <t>PE125 CW 9850 x 4100. XTW 5250 x XH 4500. Drive Left motor 1.5 R15/1.  Gal Curtain Yellow. Detect RC BEA Radar. PB Legs Cable +1 FG Stiffen +1</t>
  </si>
  <si>
    <t>PE125 CW 4930 x CH 4150.  Gal Curtain Blue 543. Drive Right motor 0.75 R15/1. PE Back PB Box Cable +1m</t>
  </si>
  <si>
    <t xml:space="preserve">Red Gem - </t>
  </si>
  <si>
    <t>PE125 Top Set 0888 CW 2.6 x CH 3.0. Extend Curtain + 500mm Blue 543</t>
  </si>
  <si>
    <t xml:space="preserve">Cold Storage Construction - </t>
  </si>
  <si>
    <t>CAD 125 CW 3600 x CH 4800. Drive Left  Gal Curtain Green 679. PE Front</t>
  </si>
  <si>
    <t>FR125 CW 1450 x CH 5200. Drive Left DPSKW DELTA VSD LK PLC.  Gal Curtain Orange 244. 2x Photocells Detect RC 433 8HTR</t>
  </si>
  <si>
    <t>PE125 CW 3200 x CH 3700. Drive Right Motor 0.75 R10/1. Control PLC LK VSD DELTA.  Sunfrisnt Curtain Blue 543. Detect PB Flow PE Flow Cable +1m</t>
  </si>
  <si>
    <t xml:space="preserve">WCBF </t>
  </si>
  <si>
    <t>Replacement Curtains  PJ0260-8 PJ0260-4. CW 1810 x CH 3000</t>
  </si>
  <si>
    <t>PE125 CW 1725 x CH 3150. Drive Left LK Motor 0.75 R10/1 DELTA.  Gal Curtain Blue 543. Detect 2x PB Box Cable +1m. Cable Entry 1600 from GL</t>
  </si>
  <si>
    <t>PE125 CW 3100 x CH 3150. Drive Right LK Motor 0.75 DELTA VSD.  Gal Curtain Blue 543. Detect PB Box Cable +1m</t>
  </si>
  <si>
    <t xml:space="preserve">Monks Bros - </t>
  </si>
  <si>
    <t xml:space="preserve"> CAD FR CW 1900 x CH 3000. Drive Left motor 0.75 kW R15/1.  Gal Curtain Blue 543. PE Banner (back) Detect ILoop PB Box. Heater in Legs Cables + 2000. Billeners Enclosed</t>
  </si>
  <si>
    <t>Midfield Meats</t>
  </si>
  <si>
    <t>CAD 150 External CW 3500 x CH 7100. Drive Left motor 2.2 - 3ø VSD.  Gal Curtain Colour Green 679. Detect PB Box. Motor Cover Cable +1m</t>
  </si>
  <si>
    <t xml:space="preserve">Carter Holt Harvey Myrteford - </t>
  </si>
  <si>
    <t>Curtain Repair 0568 - C 224. CAD 50-50 - Lower Half</t>
  </si>
  <si>
    <t xml:space="preserve">WCBF SAPUTO Hallamsford - </t>
  </si>
  <si>
    <t>SP150 CW 5500 x CH 5750. Drive Left motor 1.5 kW R15/1. Control - PLC VSD 2.2 kW. PB Legs Front Motor Cover. Cable +1m Curtain Blue 543</t>
  </si>
  <si>
    <t xml:space="preserve">Fine Foods LK - </t>
  </si>
  <si>
    <t xml:space="preserve">ASSA </t>
  </si>
  <si>
    <t>MG Curtain 5X5 PJ0571 - 0228</t>
  </si>
  <si>
    <t>PE125 Reloc CW 2100 x CH 2650. Drive 1x Left 1x Right motor 0.75 R10/1.  Gal Curtain White S/E Yellow. PE Front. Detect PB box Cable +0.5m</t>
  </si>
  <si>
    <t>PE125 CW 2450 x CH 3450. Drive Right motor 0.75 R10/1.  Gal Curtain Blue 543. Detect RC MC 915. PB Box Cable +1m</t>
  </si>
  <si>
    <t xml:space="preserve">Inghams </t>
  </si>
  <si>
    <t>PE125 CW 4000 x CH 4150. Drive Left motor 0.75 R10/1.  Gal Curtain Orange/Yellow S/E. Detect PB box Cable +1m</t>
  </si>
  <si>
    <t xml:space="preserve">Designer Coolrooms Red Cabin - </t>
  </si>
  <si>
    <t>PE125 CW 2600 x CH 3150. Drive Left motor 0.75 kW R10/1.  Gal Curtain Orange S/E Yellow. Detect PB box Cable +1m</t>
  </si>
  <si>
    <t xml:space="preserve">Designer Coolrooms MOTTA LK - </t>
  </si>
  <si>
    <t>PE125 CW 1750 x CH 4100. Drive Right motor 0.75 R10/1.  Gal Curtain Blue 543. Detect PB box PE Front Cable +1m</t>
  </si>
  <si>
    <t xml:space="preserve">YUMI - </t>
  </si>
  <si>
    <t>PE125 CW 2450 x CH 3500. Drive Right motor 0.75 R10/1.  Gal Curtain Blue 543. Detect PB leg PE Front Cable +1m</t>
  </si>
  <si>
    <t xml:space="preserve">BIGANTE - </t>
  </si>
  <si>
    <t>PE125 CW 2400 x CH 4200. Drive Left motor 0.75 R10/1.  Gal Curtain Blue 543. Detect PB. PE Front. Cable +1m</t>
  </si>
  <si>
    <t xml:space="preserve">NICWAY - </t>
  </si>
  <si>
    <t>PE125 CW 3600 x CH 4000. Drive Left motor 0.75 R10/1.  Gal Curtain Blue 543. PE Front Cable +1m Detect RC MC 915 + 4 x 4 bottom TR. 1x PB box</t>
  </si>
  <si>
    <t xml:space="preserve">AWGD Billson - </t>
  </si>
  <si>
    <t>PE125 CW 2000 x CH 3850. Drive Left motor 0.75 R10/1. Detect RC MC915 + 2x PB Box. Cable +1m. PE Front</t>
  </si>
  <si>
    <t xml:space="preserve">L+H Poultry - </t>
  </si>
  <si>
    <t>DMF Repair Curtain 2070 x 4860. Clear both + S/E</t>
  </si>
  <si>
    <t xml:space="preserve">Andrew Newlon - </t>
  </si>
  <si>
    <t>SP150 CW 3500 x CH 5650. Drive Left/Right motor 1.5 kW R15/1.  Gal Curtain Red 356. Detect RC 433. Cable +1m</t>
  </si>
  <si>
    <t xml:space="preserve">Fresh Select - </t>
  </si>
  <si>
    <t>new curtain G. PE125 CW 3000 x CH 3200. Blue 543</t>
  </si>
  <si>
    <t xml:space="preserve">Complete Food Service - </t>
  </si>
  <si>
    <t>PE125 CW 3300 x CH 4000. Drive Left motor 0.75 R10/1. Soft Edge? PE Front PB Box (CUS control)</t>
  </si>
  <si>
    <t xml:space="preserve">CONFOIL - </t>
  </si>
  <si>
    <t>SP150 CW 5000 x CH 4700. Drive Left motor 1.5 kW R15/1.  Gal Curtain Blue 543. No control box. Soft Edge PE Front Cable +1m</t>
  </si>
  <si>
    <t xml:space="preserve">AWGD ASHI - </t>
  </si>
  <si>
    <t>PE125 CW 4000 x CH 3800. Drive Right motor 0.75 R15/1.  PC Sunfrisnt Curtain Green Top! Detect PB Box. PE Front Cable +1m</t>
  </si>
  <si>
    <t xml:space="preserve">Plunketts - </t>
  </si>
  <si>
    <t>SP125 CW 3590 x CH 4150. Drive Right motor 1.5 kW R15/1.  Gal Curtain Red 356. PE Front - Detect RC 433 + ILoop. PE Front PB Back. Cable +1m</t>
  </si>
  <si>
    <t>PE125 CW.2600 x CH 2500. Drive Left motor 0.75 R10/1.  Gal curtain Blue 543. Detect PB Box Cable +1m</t>
  </si>
  <si>
    <t>CAD150XTC CW.6000 x XTH 6000.  Gal curtain Blue 543. Drive Right motor 2.2kW R15/1. PE Back RC MC 915 PB Front Cable +1m Curtain Pipes B91-Green</t>
  </si>
  <si>
    <t xml:space="preserve">AUSFRESH - </t>
  </si>
  <si>
    <t>PE125 CW.2450 x CH 3150. Drive Right motor 0.75 R10/1. Flame Gal curtain Yellow SE Red. PE Front PB Box Cable +1m</t>
  </si>
  <si>
    <t xml:space="preserve">MOKA - </t>
  </si>
  <si>
    <t>CW 2600 x CH 2500; PE125; Drive Left Motor 0.75 kW R10/1;  Gal Curtain Blue 543; Detect PB MLeg Front PE Back; Cable +1m (No Windows)</t>
  </si>
  <si>
    <t xml:space="preserve">DANS Plants </t>
  </si>
  <si>
    <t>CW 2800 x CH 3150; PE125; Drive Left Motor 0.75 R10/1;  Gal Curtain Blue 543; PE Front; Reloc.; Cable +0.5m</t>
  </si>
  <si>
    <t xml:space="preserve">FINE Food Holdings </t>
  </si>
  <si>
    <t>CW 2500 x CH 3700; PE125; Drive 1x LHS 1x RHS Motor 0.75 R10/1;  Gal Curtain Orange 244; Detect RCMC PB Box; Cable +500mm; PE Front</t>
  </si>
  <si>
    <t xml:space="preserve">Wandin Valley Farms </t>
  </si>
  <si>
    <t>POULTRY &amp; MORE</t>
  </si>
  <si>
    <t>CW 2000 x CH 3150; PE125; Drive Right Motor 0.75 R10/1;  Gal Curtain Red 356; Detect PB Box PE Front; Cable +1m</t>
  </si>
  <si>
    <t>CW 2600 x CH 3150; PE125; Drive Left Motor 0.75 R10/1;  Gal Curtain Orange 244; Detect PB Box RC MC1509 4CHT; Cable +0.5m</t>
  </si>
  <si>
    <t xml:space="preserve">ARTIC MOTA </t>
  </si>
  <si>
    <t>CW 3000 x CH 3650 Make 3700; PE125; Drive Left Motor 0.75 R10/1;  Gal Curtain Orange 244; PB Box RC MC1509 1x16TR; Cable +0.5m</t>
  </si>
  <si>
    <t>CW 2425 x CH 3800; PE125; Drive Left Motor 0.75 R10/1;  Gal Curtain Blue 543; PB Box; Cable +1m</t>
  </si>
  <si>
    <t xml:space="preserve">Inghams Sommerville </t>
  </si>
  <si>
    <t>CW 6085 x CH 5000; SP150; Drive Left Motor 2.2 R15/1 30VSD; Detect RC 433 PB Box; Cable +1m</t>
  </si>
  <si>
    <t xml:space="preserve">TSL Geelong Tannery Colcain </t>
  </si>
  <si>
    <t>CW 2500 x CH 4425; PE100 (Door 7); Drive Right Motor 1.5kW R15/1;  PC Surfmist Curtain Blue 543; Detect RC MC 16Bit PB Leg Back; PE Front?</t>
  </si>
  <si>
    <t xml:space="preserve">Frangapane </t>
  </si>
  <si>
    <t>CW 3450 x CH 4500; PE125; Drive Right Motor 0.75 R15/1;  Gal Curtain Blue 543; Detect RC MC1509 PB Box; Cable +1m</t>
  </si>
  <si>
    <t xml:space="preserve">Designa Durkin Produce </t>
  </si>
  <si>
    <t>CW 7950 x CH 5000; CAD PE200; Drive Left Motor 3kW R15/1 (9Box);  Gal Curtain Blue 543; Detect PB Box; Cable +2m</t>
  </si>
  <si>
    <t xml:space="preserve">AWDG </t>
  </si>
  <si>
    <t>CW 2500 x CH 4000; FR125 (); Drive Right Motor 1.5kW R15/1;  Gal Curtain Blue Feeney 2x Insulation; Detect PB Box; Cable +1m</t>
  </si>
  <si>
    <t xml:space="preserve">JALNA McCormick Foods </t>
  </si>
  <si>
    <t>CW 2600 x CH 2500; PE125; Drive Left Motor 0.75 R10/1;  Gal Curtain Blue 543; Bkreet PB MLeg Front (No View Part)</t>
  </si>
  <si>
    <t>CW 2300 x CH 3200; PE125; Drive RHD Motor 0.75 R10/1;  Gal Curtain Red 356; PE Back; Detect RC MCT PB Box; Cable +1m; Note: 4x Windows</t>
  </si>
  <si>
    <t xml:space="preserve">Alphatop </t>
  </si>
  <si>
    <t>Cold Storage Const. CW 3000 x CH 3150; PE125; Drive Left Motor 0.75 VSD R10/1;  Gal Curtain Blue 543; PE Front; Detect TBA PB Box; Cable +1m</t>
  </si>
  <si>
    <t>Poultry &amp; More</t>
  </si>
  <si>
    <t>Saputo Pnad Butko</t>
  </si>
  <si>
    <t>Coolroom Control Box 0.75 kW VSD</t>
  </si>
  <si>
    <t>CW 3500 x CH 4200; PE125 AF; Drive Right; PE B; PE Back (AS ABOVE); Cable +1m</t>
  </si>
  <si>
    <t xml:space="preserve">Flavour Makers </t>
  </si>
  <si>
    <t>CW 3000 x CH 3750; PE125; Drive Left Motor 0.75 R10/1;  Gal Curtain Blue 543; Detect PB Box; PE Front; Cable + 1500</t>
  </si>
  <si>
    <t xml:space="preserve">Harry &amp; Larry Ice Cream </t>
  </si>
  <si>
    <t>CW 1930 x CH 2700; PE125 S/S; XT Legs 2280;  S/S Curtain Blue 543; Detect PB Box; Cable + 1m</t>
  </si>
  <si>
    <t xml:space="preserve">Australian Dairy Packaging </t>
  </si>
  <si>
    <t>CW 3500 x CH 4150 ML-3133; PE100 L</t>
  </si>
  <si>
    <t>Curtain CW 3150 x CH 2550</t>
  </si>
  <si>
    <t>JBS Control Box</t>
  </si>
  <si>
    <t xml:space="preserve">ASSA - </t>
  </si>
  <si>
    <t>CW 3950 x CH 3800; PE125; Drive Left Motor 0.75 R10/1;  PE Surfmist Curtain Red 356; PE Back Soft Edge; Detect PB Box; Cable + 1m</t>
  </si>
  <si>
    <t xml:space="preserve">Plunketts </t>
  </si>
  <si>
    <t>CW 3500 x CH 3700; PE125; Drive Left Motor 0.75 10/1;  PC Surfmist Curtain Blue 543; Detect RC MC PB Box; Cable + 1m</t>
  </si>
  <si>
    <t>CW 5650 x CH 4450; CAD FR150; Drive Left Motor 2.2kW R15/1;  Gal Curtain Blue Feeney 2x 8mm Insul; Detect RC MC PB Back; Plug &amp; Play; Cable +1m</t>
  </si>
  <si>
    <t xml:space="preserve">HAWKES Vegetables </t>
  </si>
  <si>
    <t>CW 3800 x CH 4150; PE125; Drive Left Motor 1.5 R15/1;  Gal Curtain Blue 543; Detect RC MC Code PB Front; S/Edge Soft PE Front; Cable + 2m; Stiffeners + 2FG + 1 Ø25 Steel</t>
  </si>
  <si>
    <t xml:space="preserve">Golden Poultry </t>
  </si>
  <si>
    <t>CW 4000 x CH 4500; PE125;  Gal Curtain Blue 543; Drive Left Motor 1.5kW R15; Detect PB Back; Cable + 1m</t>
  </si>
  <si>
    <t xml:space="preserve">Superior Foods </t>
  </si>
  <si>
    <t>CW 2700 x CH 3000; PE125; Drive Right Motor 0.75;  Gal Curtain Blue 543; Detect ? PB Leg Back; Cable + 1m</t>
  </si>
  <si>
    <t xml:space="preserve">MACRO </t>
  </si>
  <si>
    <t>CW 3600 x CH 4130; PE125; Drive Right Motor 0.75kW;  Gal Curtain Blue 543; Detect RC Multicode PB Front; Cable + 1000; (Reverse Hook &amp; Loop) on Down Direction</t>
  </si>
  <si>
    <t xml:space="preserve">7 Chefs </t>
  </si>
  <si>
    <t>CW 2950 x CH 3000; FR125; Drive Left Motor 1.5kW R15/1;  Gal Curtain Blue 543; Detect RC MC 15 PB Back &amp; Front; S/S Control Box; Cable + 1500; Heaters Legs x2 &amp; Control</t>
  </si>
  <si>
    <t xml:space="preserve">INGAHM </t>
  </si>
  <si>
    <t>CW 3040 x CH 3000; PE125; Drive RHS Motor 0.75 R10/1;  Gal Curtain Blue 543; Detect PB Box; PE Back</t>
  </si>
  <si>
    <t xml:space="preserve">Inghams SOMMERVILLE </t>
  </si>
  <si>
    <t>CW 3000 x CH 4500; PE125; Drive LHS Motor 0.75 15/1;  Gal Curtain Blue 543; Detect PB Back; PE Back; Cable + 1m</t>
  </si>
  <si>
    <t xml:space="preserve">Designer LINFOX </t>
  </si>
  <si>
    <t>CW 3000 x CH 3150; PE125 S/S; Drive Left Motor 0.75 10/1;  S/S Curtain Blue 543; Detect Multicode PB Box; S/E Pneumatic</t>
  </si>
  <si>
    <t xml:space="preserve">KRAFT HEINZ </t>
  </si>
  <si>
    <t>Replacement Curtain P70473; Blue 543 W 2850</t>
  </si>
  <si>
    <t>CW 1800 x CH 3150; PE125; Drive Left Motor 0.75 10/1;  Gal Curtain Blue 543; Detect PB Back; Cable + 1m</t>
  </si>
  <si>
    <t xml:space="preserve">AWGD - Butko </t>
  </si>
  <si>
    <t>CW 2800 x CH 2300; PE125; Drive Right Motor 0.75 10/1;  Gal Curtain Red 356; Detect PB</t>
  </si>
  <si>
    <t xml:space="preserve">Saputo Suncoed Loading Docks </t>
  </si>
  <si>
    <t>Clear Panel Replacement</t>
  </si>
  <si>
    <t xml:space="preserve">Saputo - EDC - </t>
  </si>
  <si>
    <t>CW 3620 x CH 3700; PE125; Drive Left Motor 0.75 15/1;  Gal Curtain Blue 543 incl. S/E; Detect PB Back; Cable + 2.5m</t>
  </si>
  <si>
    <t xml:space="preserve">Polly Palace </t>
  </si>
  <si>
    <t>CW 3200 x CH 5000; PE125; Drive Left Motor 1.5kW 15/1;  PC Surfmist Curtain Blue 543; Detect PB Box; Photocell Back; Cable + 0.5m</t>
  </si>
  <si>
    <t xml:space="preserve">Rinoldi </t>
  </si>
  <si>
    <t>CW 3300 x CH 3150; PE125; Drive Left Motor 0.75 R10/1;  Gal Curtain Blue 543; Detect PB Back; PE Front</t>
  </si>
  <si>
    <t>V2 CW 5000 x CH 5000; SP150; Drive Right Motor 1.5 R15/1;  Gal Curtain Blue 543; Detect PB Leg Back; Cable + 1m; Motor Cover</t>
  </si>
  <si>
    <t>CW 5650 x CH 4450; CAD FR150; Drive Left Motor 2.2kW 15/1;  Gal Curtain Blue Feeney 2x 8mm MAP; Detect RC MC PB Back; Plug &amp; Play; Cable + 1m</t>
  </si>
  <si>
    <t>CW 2750 x CH 4100; PE125; Drive Left Motor 0.75 15/1;  Gal Curtain Blue 543; Detect PB Back; Cable +1m</t>
  </si>
  <si>
    <t>CW 2500 x CH 3750; PE125; Drive RHS Motor 0.75 10/1;  Gal Curtain Blue 543; Detect RC Multicode PB Back; Cable + 1m</t>
  </si>
  <si>
    <t xml:space="preserve">Designer Coolroom - KooWeeRup </t>
  </si>
  <si>
    <t>New Curtain CW 4550 x CH 6400; PJ0312 Blue Scope; Curtain W 4820 x H 6280</t>
  </si>
  <si>
    <t xml:space="preserve">One Steel Hasting </t>
  </si>
  <si>
    <t>CW 3100 x CH 3150; PE125; Drive LHS Motor 0.75 10/1; PB Back; Cable + 1m</t>
  </si>
  <si>
    <t xml:space="preserve">Designer VELISHA </t>
  </si>
  <si>
    <t>CW 3000 x CH 3300; PE125; Drive LHS Motor 0.75 R10/1;  PC Surfmist Curtain Blue 543; PB Box; Cable + 0.5m</t>
  </si>
  <si>
    <t xml:space="preserve">TEMPO Foods </t>
  </si>
  <si>
    <t>CW 4200 x CH 4650; SP150; Drive Right Motor 1.5kW 15/1;  Gal Curtain Blue 543; PB Front; Cable + 1.5m</t>
  </si>
  <si>
    <t xml:space="preserve">Diva Joy Foods </t>
  </si>
  <si>
    <t>CW 4750 x CH 4550; SP150 (Internal); Drive Left Motor 1.5kW R15/1;  PC Surfmist Curtain Green 634; PB Back Cable + 1.5m; Motor Cover</t>
  </si>
  <si>
    <t>CW 7000 x CH 5000; CAD PE200;  Gal Curtain Red 356; Detect PB Back; PE Back Cables + 15m</t>
  </si>
  <si>
    <t xml:space="preserve">AWGO - ALPINE MDF </t>
  </si>
  <si>
    <t>CW 2400 x CH 3100; PE100 Reloc (RL); Drive Right Motor 0.75 10/1;  Gal Curtain Blue 543; Detect TBA PB Box; PE Front Cable + 1m</t>
  </si>
  <si>
    <t xml:space="preserve">Bakery Fresh - Domain </t>
  </si>
  <si>
    <t>CW 2500 x CH 3200; Pro PE125; Drive Left Motor 0.75 R10/1;  Gal Curtain Blue 543; Detect I Loop + PB Front; Motor Fixing Holes 3200 of CH</t>
  </si>
  <si>
    <t xml:space="preserve">YUMI </t>
  </si>
  <si>
    <t>CW 2850 x CH 3000; FR125; Drive Left Motor 1.5kW 10/1;  Gal Curtain Blue 543 900G; PE Back x3; Detect Loop PB Box; Control Box S/E; Cable Opposite Motors; Heaters</t>
  </si>
  <si>
    <t xml:space="preserve">KRAG Iteing Wagga </t>
  </si>
  <si>
    <t>CW 3020 x CH 3150; PE100 (RL); Drive Left Motor 0.75 10/1;  Gal Curtain Blue 543; Detect TBA PB Box (Reloc); Cable + 1m</t>
  </si>
  <si>
    <t xml:space="preserve">Bakery Fresh Bakery Domain </t>
  </si>
  <si>
    <t>CW 2000 x CH 2900; PE125; Drive Left Motor 0.75 R10/1;  PC Surfmist Curtain Grey 729; Detect PB in Box; PE Back - Stiffeners in All Pockets; Cable + 500mm</t>
  </si>
  <si>
    <t xml:space="preserve">Blackmores - CATALENT </t>
  </si>
  <si>
    <t>New Curtain Door CW 2.4 x CH 3.9</t>
  </si>
  <si>
    <t>CW 2450 x CH 3200; PE125; Drive Left Motor 0.75 10/1;  Gal Curtain Blue 543; Detect RC433 1x8CH TR; PB Front - PE Back; Cable + 1.5m</t>
  </si>
  <si>
    <t xml:space="preserve">Florida Cheese </t>
  </si>
  <si>
    <t>Mobogues Tulla - ASSA Abloy</t>
  </si>
  <si>
    <t>CW 2020 x CH 2700; PE125; Drive Left Motor 0.75 10/1;  PC Surfmist Curtain Blue 543; No View Parts; Detect PB Box x2 Up and Down; Cable + 1m</t>
  </si>
  <si>
    <t>Bondor Patties</t>
  </si>
  <si>
    <t>CW 2450 x CH 2285; PE125; Drive Left Motor 0.75 10/1;  Gal Curtain Blue 543; No View Parts; Detect PB Front XTDem; Cable + 1m</t>
  </si>
  <si>
    <t>CW 3600 x CH 4320; PE125; Drive Left Motor 0.75 R10/1;  Gal Curtain Blue 543; Detect RC433 PB Front; S/E Soft; Cable + 1m</t>
  </si>
  <si>
    <t>CW 3500 x CH 3200; PE125; Drive 2x Left 1x Right 0.75 VSD 10/1;  Gal Curtain Red 356; Detect RC433 1x8CH TR + I Loop; Cable + 1m; PB Back</t>
  </si>
  <si>
    <t xml:space="preserve">Fresh Select </t>
  </si>
  <si>
    <t>CW 3000 x CH 3650; PE125; Drive 1xL 1xR Motor 0.75kW R10/1;  Gal Curtain Blue 543; Detect PB Box; Cable + 0.5m</t>
  </si>
  <si>
    <t xml:space="preserve">CCL LABELS </t>
  </si>
  <si>
    <t>CW 4000 x CH 4600; PE125; Drive Right Motor 1.5kW R15/1;  PC Surfmist Curtain Orange 244; Detect TBA PB Back; S/E Soft; Cable + 1m</t>
  </si>
  <si>
    <t xml:space="preserve">Diva Foods (Joy) </t>
  </si>
  <si>
    <t>CW 2400 x CH 3850; PE125; Drive Right Motor 0.75 R10/1;  Gal Curtain Orange 244; RC Multicode 16CH TR X1; Cable + 1m</t>
  </si>
  <si>
    <t>CW 2600 x CH 2500; PE125; Drive Left Motor 0.75 R10/1;  Gal Curtain Blue 543; Detect TBA PB Leg Front; Cable + 1m</t>
  </si>
  <si>
    <t>CW 1800 x CH 2400; PE125; Drive Right Motor 0.75 R10/1;  Gal Curtain Grey 729; Detect TBA PB Front; Cable + 1m</t>
  </si>
  <si>
    <t xml:space="preserve">ITOEN </t>
  </si>
  <si>
    <t>CW 2800 x CH 3650; PE125; Drive Right Motor 0.75 R10/1;  Gal Curtain Blue 543; Detect TBA PB Front; Cable + 1m; S/E Pneumatic PE Back</t>
  </si>
  <si>
    <t xml:space="preserve">Scott Bakes - TASTE </t>
  </si>
  <si>
    <t>CW 2450 x CH 3200; PE125; Drive Left Motor 0.75 R10/1;  Gal Curtain Blue 543; Detect RC433 PB Front; Cable + 1m</t>
  </si>
  <si>
    <t>CW 2000 x CH 2700; Pro PE125; Drive Left Motor 0.75 R10/1;  Gal Curtain Blue 543; Detect RC433 PB Leg Front; Cable + 500mm</t>
  </si>
  <si>
    <t xml:space="preserve">GOLDEN POULTRY </t>
  </si>
  <si>
    <t>CW 2450 x CH 3200; PE125; Drive Left Motor 0.75kW 10/1;  Gal Curtain Blue 543; Detect RC433 2xTR PB Leg Front; Cable + 1m</t>
  </si>
  <si>
    <t xml:space="preserve">FLORIDA CHEESE </t>
  </si>
  <si>
    <t>CW 3000 x CH 3650; PE125; Drive Left Motor 0.75 10/1;  Gal Curtain Blue 543; Detect PB Leg - Front; Cable + 10m</t>
  </si>
  <si>
    <t>CW 2600 x CH 4650; FR125; Drive Left Motor 1.5kW 15/1;  Gal Curtain Blue 543; Detect RC433 PB Back ML; Cable + 2.5m</t>
  </si>
  <si>
    <t xml:space="preserve">TGI SMITHS </t>
  </si>
  <si>
    <t>CW 3600 x CH 3750; PE125; Drive 1xR 1xL Motor 0.75 10/1;  Gal Curtain Blue 543; Detect PB in Box; Cable + 1m</t>
  </si>
  <si>
    <t xml:space="preserve">CONSOLIDATED FREIGHT </t>
  </si>
  <si>
    <t>CW 3000 x CH 4100; PE125; Drive Right Motor 0.75 10/1;  Gal Curtain Grey 729; Detect RC433 PB MLBack; Cable + 1m</t>
  </si>
  <si>
    <t xml:space="preserve">MORGAN BAKERY </t>
  </si>
  <si>
    <t>CW 3000 x CH 3150; PE125; Drive Left Motor 0.75 R10/1;  Gal Curtain Yellow S/E RED; Detect RC433 + 3TR; PB MLeg; Cable + 0.5m</t>
  </si>
  <si>
    <t xml:space="preserve">VELISHA </t>
  </si>
  <si>
    <t>CW 2530 x CH 2950; PE125; Drive Left Motor 0.75 VSD 10/1;  Gal Curtain Grey 729; Detect PB NMLeg; Cable Entry NML + 3m</t>
  </si>
  <si>
    <t xml:space="preserve">PD - Propagation </t>
  </si>
  <si>
    <t>CW 4040 x CH 4200; PE125;  Gal Curtain Red 356; Detect I Loop PB Leg Back; Cables + 1000; Cover Sheet Metal; Motor 1.5kW R 15/1; Cable + 1m; Drive A - Left B - Right</t>
  </si>
  <si>
    <t xml:space="preserve">Albury Wodonga Garage Doors </t>
  </si>
  <si>
    <t>CW 6350 x CH 4200; SP200; Detect RC433; Motor 2.2kW Drive Left; Cable + 1m; Motor Cover</t>
  </si>
  <si>
    <t xml:space="preserve">TSI Leather </t>
  </si>
  <si>
    <t>CW 3000 x CH 3150; PE125; Drive 4x Right 4x Left R 10/1;  Gal Curtain Blue 543; Detect 3x RC433 PB Leg Front; Cable + 1m + 1 Pocket</t>
  </si>
  <si>
    <t xml:space="preserve">Red Rich </t>
  </si>
  <si>
    <t>CW 5000 x CH 4150; PE125; Drive 1x Left 1x Right Motor 0.75kW;  Gal Curtain Grey 729; Detect RC433; PE Back; Cable +1m</t>
  </si>
  <si>
    <t>CW 4000 x CH 3750; PE125; Drive Left Motor 0.75;  PC SurfMist Curtain Red 356; Detect I Loop PB Leg Front; Cable + 500; P/E Pneumatic</t>
  </si>
  <si>
    <t xml:space="preserve">Plunkett </t>
  </si>
  <si>
    <t>CW 2700 x CH 3700; Pro PE125; Drive Left Motor 0.75 10/1;  Gal Curtain Blue 543; Detect RC433 1x 8TR; PB Back</t>
  </si>
  <si>
    <t xml:space="preserve">DAIRY COUNTRY </t>
  </si>
  <si>
    <t>CW 2990 CH 4550; PE125; Drive Left Motor 4450 R;  Gal Curtain Red 356; Detect RC433MH; S/E Soft Edge; PB Back; Cable + 1m</t>
  </si>
  <si>
    <t xml:space="preserve">POULTRY N MORE </t>
  </si>
  <si>
    <t>(0153 Repair) New Curtain CAD 40X4</t>
  </si>
  <si>
    <t xml:space="preserve">Terra Harvest </t>
  </si>
  <si>
    <t>XH 6350+40 R CW 4650; FR150;  Gal Curtain Blue 543; Detect 433 H3; SE Soft Edge; PE Back; Motor 2.2kW; Drive Left</t>
  </si>
  <si>
    <t xml:space="preserve">FRESH BERRY </t>
  </si>
  <si>
    <t>AUSFRESH</t>
  </si>
  <si>
    <t>CW 4120 x CH 4000; SP150; Drive Left Motor 1.5kW 15/1;  Gal Curtain Blue 543; PEX2 200 x 600mm; Detect RC433 PB Back; Cable + 1m</t>
  </si>
  <si>
    <t>CW 4200 x CH 5000; SP150;  Gal Curtain Red 356; Drive Right Motor 1.5kW 15/1; Detect I Loop; Telco Light Walkways</t>
  </si>
  <si>
    <t xml:space="preserve">MERIT - ITL </t>
  </si>
  <si>
    <t>CW 2750 x CH 3000; PE125;  Gal Curtain Orange 244; Drive Left; Detect RC433</t>
  </si>
  <si>
    <t xml:space="preserve">Hemco - Ballarat </t>
  </si>
  <si>
    <t>CW 2800 x CH 2400; PE125; Drive Right Motor 0.75 VSD;  Gal Curtain Blue 543; Detect  PB Back; S/E Soft; Cable ?</t>
  </si>
  <si>
    <t xml:space="preserve">NBE YUMIS </t>
  </si>
  <si>
    <t>ARTIC CATEGENT SAMPLING</t>
  </si>
  <si>
    <t>CW 2350 x CH 3500; FR125;  Gal Curtain Blue 543; Detect I Loop PB Leg Back; Drive Right Motor 1.5kW 15/1</t>
  </si>
  <si>
    <t xml:space="preserve">Doozlee </t>
  </si>
  <si>
    <t>Freezer Curtain</t>
  </si>
  <si>
    <t xml:space="preserve">Testbox </t>
  </si>
  <si>
    <t>DMP CW 3490 x CH 3000</t>
  </si>
  <si>
    <t xml:space="preserve">ASBA Curtain - </t>
  </si>
  <si>
    <t>CW 3000 x CH 4100; PE125; Drive Right Motor 15/1;  Gal Curtain Blue 543; Detect I Loop PB Front; Cable + 0.5m</t>
  </si>
  <si>
    <t xml:space="preserve">Sool Fresh </t>
  </si>
  <si>
    <t>2018.09.11</t>
  </si>
  <si>
    <t>CW 3600 x CH 5050; SP150;  Gal Curtain Grey 729; Drive 1x Left 1x Right Motor 1.5kW 15/1; Detect  PB Back; Cable + 500mm</t>
  </si>
  <si>
    <t xml:space="preserve">NBE Flavour Makers </t>
  </si>
  <si>
    <t>CW 2000 x CH 3950; PE125; Drive Right Motor 0.75 10/1;  Gal Curtain Orange 224; Detect I Loop PB Leg Front OP Motor; Cable + 3000 OP Motor Legs</t>
  </si>
  <si>
    <t xml:space="preserve">RAHA Field </t>
  </si>
  <si>
    <t>CW 4250 x CH 4250; SP150;  Gal Curtain Orange; Drive Right Motor 1.5kW 15/1; Detect RC433MHz; Cable + 500mm PP</t>
  </si>
  <si>
    <t>CW 2200 x CH 3000; Green 623</t>
  </si>
  <si>
    <t>Wakefield Transport</t>
  </si>
  <si>
    <t>CW 3500 x CH 4050; SP150;  PC Pale Eucalypt (Pole Green); Curtain Red 356 (35mm/CL); Drive Left Motor 0.5kW VSD 15/1; Detect Loop + RC433; Cable Plug &amp; Play + 1m; Motor Cover</t>
  </si>
  <si>
    <t xml:space="preserve">Genobile </t>
  </si>
  <si>
    <t>CW 2550 x CH 3200; PE125;  Gal Curtain Blue 543; Drive Right 0.175 VSD 10/1; Detect Loop</t>
  </si>
  <si>
    <t>CW 3000 x CH 4000; SP150;  Gal Curtain Red 356; Drive Right Motor 1.5kW VSD 15/1; Detect RC433 MultiCode</t>
  </si>
  <si>
    <t xml:space="preserve">WCBF - Bottle Shed </t>
  </si>
  <si>
    <t>CW 1800 x CH 2800; PE150;  Gal Curtain Grey 729; Drive Left Motor 0.75 VSD; Detect PB leg back; Cable 0.5m Plug &amp; Play</t>
  </si>
  <si>
    <t xml:space="preserve">Hocton Carbon </t>
  </si>
  <si>
    <t>CW 3900 x CH 3500; PE125;  Gal Curtain Red 356; Drive Right Motor 0.75 VSD 10/1; Detect 433 PB leg back; Cable Plug &amp; Play</t>
  </si>
  <si>
    <t>CW 3000 x CH 4350; PE125;  PC SurfMist Curtain Blue 543; Drive RHD Motor 0.75kW; Detect TBA PB leg back; Photocell back</t>
  </si>
  <si>
    <t>CKG FOODS</t>
  </si>
  <si>
    <t>VSD Control Box 1.1kW</t>
  </si>
  <si>
    <t xml:space="preserve">Techniques </t>
  </si>
  <si>
    <t>Pro PE125 (0611) TBA</t>
  </si>
  <si>
    <t>WCBF - Monte AJkea Pavillion</t>
  </si>
  <si>
    <t>RAZ Pavillion; People 3XE TBA; Pro 125 CW 4500 x CH 4650; Drive Left Motor 1.5 R15/1;  PC SurfMist Curtain Blue 543; Detect I Loop PB leg back; Plug &amp; Play</t>
  </si>
  <si>
    <t>WCBF - Designer Coop Rooms</t>
  </si>
  <si>
    <t>CW 2500 x CH 3150; FR125; Drive Left Motor 0.75kW;  Gal Curtain Blue 543 (2L); Detect RC433 PB leg back; Heaters &amp; Controllers; Cable +500</t>
  </si>
  <si>
    <t xml:space="preserve">PJ MEATS </t>
  </si>
  <si>
    <t>CW 4850 x CH 4400; SP150; Drive Right Motor 1.5kW;  Gal Curtain Blue 543; Detect I Loop PB leg back; Cable +3500mm; PE back ?</t>
  </si>
  <si>
    <t xml:space="preserve">BARODA </t>
  </si>
  <si>
    <t>PE125 CW 1550 X CH 2850
Drive Left Motor 0.75
 Gal Curtain Blue 543
Detect ?
Cable +500mm</t>
  </si>
  <si>
    <t>Melbourne Chef</t>
  </si>
  <si>
    <t>ARTIC, ROO EAST MOTTA</t>
  </si>
  <si>
    <t>PE125 EXT CW 3400 x CW 2880
Drive Right Motor 0.75 VSD
 Gal Curtain Orange 224
Detect PB Leg Front</t>
  </si>
  <si>
    <t>PE125 CW 4700 x CH 4050
Drive Right Motor 1.5kW 15/1
 Gal Curtain Green 679
Detect 433 MH3 PB Leg BK
S/E Pneumatic C/C Back
Cable +500mm</t>
  </si>
  <si>
    <t>INDUSTRIAL FOODS</t>
  </si>
  <si>
    <t>F - Butter Dry Goods Store</t>
  </si>
  <si>
    <t>PE125 CW 3000 x CH 3000
Drive ? Motor 0.75 VSD
 Gal Curtain Red 356
Detect RC433 PB BK
S/E Pneumatic
Cable +1m</t>
  </si>
  <si>
    <t>PE125 CW 3000 x CH 3000
Drive TBA Motor 0.75 VSD
 Gal Curtain Orange 224
Detect RC 933 S/E Pneumatic</t>
  </si>
  <si>
    <t>PE125 CW 1600 x CH 2400
Drive Left Motor 0.75 VSD
 Gal Curtain Blue 543
Detect ? PB Legs BK
Cable +1m</t>
  </si>
  <si>
    <t>SSP Fine Foods</t>
  </si>
  <si>
    <t>PE125 CW 3350 x CH 3780
 Gal Curtain Red 356
Drive Right Motor 0.75 VSD
Detect RC433 MH3 PB Legs
Cable +1m</t>
  </si>
  <si>
    <t>Doorlec</t>
  </si>
  <si>
    <t>W 4950 CH 4500
SP150 Curtain Gap 10mm (35mm)
 Gal Curtain Blue 543
Drive Right Motor 1.5kW VSD
Detect RC433 PB Back
Safety PEX2
Cable +1000</t>
  </si>
  <si>
    <t xml:space="preserve">AUSFRESH </t>
  </si>
  <si>
    <t>WCBF - Receival Shed</t>
  </si>
  <si>
    <t>Pro PE125 3000 x 3000
Drive Left</t>
  </si>
  <si>
    <t>SP150 CW 5600 x CH 4700
 Gal Curtain Blue 543
Detect I Loop + RC 433 PB Leg (Front)
S/E Soft Edge
Cable +1500mm
Drive Left Motor 1.5kW VSD</t>
  </si>
  <si>
    <t>Red Rich Fruit</t>
  </si>
  <si>
    <t>PE125 CW 3100 x CH 5050
 PC Surfmist Curtain Blue 543
Detect I Loop PB Leg Back
S/E Pneumatic C/C Back
Cable +500mm
Drive Right Motor 0.75 VSD</t>
  </si>
  <si>
    <t>Rinoldi Pasta</t>
  </si>
  <si>
    <t>New Curtain, CW 2498 x CH 3100</t>
  </si>
  <si>
    <t>ProPE100 XTR, CW 1800 x CH 2400,  GAL, Curtain Red 356, 0.75VSD, PB, RC 433, Laser Top</t>
  </si>
  <si>
    <t xml:space="preserve">WBC - Replacement Doors - </t>
  </si>
  <si>
    <t>Pro100 XTL, CW 2660 x CH 3370,  PE Surfmist, Curtain Blue 543, 0.75VSD, RC 433, PB, SP Brackets Laser</t>
  </si>
  <si>
    <t xml:space="preserve">Wandin Cherries - </t>
  </si>
  <si>
    <t>Pro125 XTL, CW 3650 x CH 4350,  GAL, Curtain Green 679, 1.5KW VSD, RC 433 + 2TR, PB, XTRA Stiffener Bottom &amp; Top, Metal Top</t>
  </si>
  <si>
    <t>CAD XTL, CW 4400 x CH 418,  GAL, Curtain Orange Yellow SE, 1.5KW VSD, RC 433, Curtain to be 3700 Cut</t>
  </si>
  <si>
    <t xml:space="preserve">Confoil Warehouse 2 - </t>
  </si>
  <si>
    <t>Pro100 XTL, CW 4000 x CH 4150,  PE Surfmist, Curtain Blue 543, 1.5KW VSD, RC 433 + 8CH, PB, Isotherm Top &amp; Bottom, Sheet Metal, Remote Switches</t>
  </si>
  <si>
    <t>Franganet</t>
  </si>
  <si>
    <t>Pro PE100 XTL, CW 3600 x CH 4150,  GAL, Curtain Blue 543, 0.75VSD, RC 433, PB, 2x Stiffener Bottom &amp; Top, Cable +3000, Sheet Metal Top</t>
  </si>
  <si>
    <t xml:space="preserve">Boardcraft - </t>
  </si>
  <si>
    <t>Pro PE100 XTL, CW 2900 x CH 3750,  GAL, Curtain Blue 543, 0.75VSD, PB, Stiffener Top x1, Metal Top</t>
  </si>
  <si>
    <t xml:space="preserve">Bath Farm - Scott Bakes - </t>
  </si>
  <si>
    <t>Inspection Report</t>
  </si>
  <si>
    <t>New Curtain (PJ0308), CAD 50 x 50</t>
  </si>
  <si>
    <t xml:space="preserve">WCB Loading  Loading Dock - </t>
  </si>
  <si>
    <t>Pro125 2x XTL, 2x XTR, CW 3000 x CH 4650, 240VSD, 0.75KW CHD,  PE Surfmist, Curtain Orange 224, Yellow SE, C.Cord Back (Pneumatic), Sheet Metal Cover, 8x View Ports Instead of 4</t>
  </si>
  <si>
    <t xml:space="preserve">Lanatina - </t>
  </si>
  <si>
    <t>Pro100 INTR, CW 2500 x CH 3200, 240VSD, 0.75KW CHD,  GAL, Curtain Red 356, Yellow SE, Pneumatic C/C Back, 1 Loop (Existing)</t>
  </si>
  <si>
    <t xml:space="preserve">Lion Alansford - </t>
  </si>
  <si>
    <t>New Curtain for C2204 (PJ0288), CAD 50 x 50</t>
  </si>
  <si>
    <t>Pro125 XTL, CW 3000 x CH 4150,  PE Surfmist, Curtain Blue 543, 0.75CD VSD, RC 433 MHZ + 2TR, Metal Top, Cable +3M</t>
  </si>
  <si>
    <t xml:space="preserve">Goetz Can - </t>
  </si>
  <si>
    <t>Pro100 XTL, CW 3000 x CH 3950,  PE Surfmist, Curtain Red 356, 0.75VSD, RC 433 MHZ 18CH, PE Back, 1x PB, Pneumatic SE, 1XTRA Stiffener Top</t>
  </si>
  <si>
    <t xml:space="preserve">Di Rossi - </t>
  </si>
  <si>
    <t>CAD XR, CW 4520 x CH 5020,  PC Monument, Curtain Orange 224 (Inc SE), 1.5VSD, 1 Loop, Cable +1m, Laser Top</t>
  </si>
  <si>
    <t xml:space="preserve">NAZ - </t>
  </si>
  <si>
    <t>Pro XTR, CW 2500 x CH 3200, 0.75VSD, Curtain Red 356,  GAL, 0.75VSD, 1 Loop (Existing)</t>
  </si>
  <si>
    <t>Pro100 XL, CW 3000 x CH 3800,  GAL, Curtain Orange 224, 240VSD, RC 433 MHZ 2x 4CH, Laser Top</t>
  </si>
  <si>
    <t xml:space="preserve">DoorTec SA - </t>
  </si>
  <si>
    <t>Pro PE100 XTR, CW 2900 x CH 3300,  GAL, Curtain Red 356, 240VSD, Laser Top</t>
  </si>
  <si>
    <t xml:space="preserve">WCB APV - </t>
  </si>
  <si>
    <t>Experimental Freezer Curtain - Pro FR100 XL, CW 2650 x CH 3350,  GAL, Curtain Yellow Poly Foam, 240VSD, Detect?, Heaters + Leg + Motor STC 1000</t>
  </si>
  <si>
    <t>Pro100 XTL, CW 2400 x CH 3350,  GAL, Curtain Green 679, 240VSD, RC 433, 2x 4CH, PE Back, Steel Top</t>
  </si>
  <si>
    <t xml:space="preserve">South East Eggs - </t>
  </si>
  <si>
    <t>BAD FR, CW 2500 x CH 3300,  PE Surfmist, Curtain Blue Ferrari Wear Pads, 240VSD, 1.5VSD, RC 433, 2x TR, Leg Heaters on Controller, Metal Top</t>
  </si>
  <si>
    <t xml:space="preserve">Temptation Bakery - </t>
  </si>
  <si>
    <t>ProPE Curtain Replacement, CW 2250 x CH 2800</t>
  </si>
  <si>
    <t>Control Box, 240V, 0.75USB</t>
  </si>
  <si>
    <t>Symthion</t>
  </si>
  <si>
    <t>ProPE125 XTL, CW 3600 x CH 4025,  GAL, Curtain Green 679, SE, 240VSD, Detect?, 1x Stiffener Bottom, Metal Top, Cable +1m</t>
  </si>
  <si>
    <t>Industrial Foods -</t>
  </si>
  <si>
    <t>DoorTech -</t>
  </si>
  <si>
    <t>ProPE100 XTL, CW 2700 x CH 3350,  GAL, Curtain Orange 224, 240VSD, 2x Ribbon Detect, PB Leg Front &amp; Back, Metal Top</t>
  </si>
  <si>
    <t>ProPE100, CW 2225 x CH 3250,  PE Surfmist, Curtain Blue 543, 240VSD, Soft Edge, RC 433, 4x</t>
  </si>
  <si>
    <t xml:space="preserve">Nice &amp; Fresh - </t>
  </si>
  <si>
    <t>ProPE100 XTL, CW 1600 x CH 2900,  GAL, Curtain Yellow, Soft Edge, 240VSD, 2x PB, Air Lock</t>
  </si>
  <si>
    <t xml:space="preserve">Alligator Pasta - </t>
  </si>
  <si>
    <t>Supro 125 XTL, CW 4800 x CH 4650,  GAL, Curtain Blue 543, 240VSD, 1.5KW</t>
  </si>
  <si>
    <t xml:space="preserve">Mansfield - </t>
  </si>
  <si>
    <t>Supro 125, CW 4500 x CH 5700, 240VSD 2.2KW,  GAL, Curtain Blue 543, Yellow S/E, 1 Loop, PB, 30mm Pipes x2, 50mm Pipe Bottom</t>
  </si>
  <si>
    <t>ProPE 100 XTL, CW 2.4 x CH 4.150,  GAL, Curtain Blue 543, 30% Edge, 240VSD, 1 Loop, PB, Cable +1m, Sheet Metal Top</t>
  </si>
  <si>
    <t xml:space="preserve">Bowden Tullamarine - </t>
  </si>
  <si>
    <t>ProPE 100 XTR, CW 1.600 x CH 2.600,  GAL, Curtain Orange 224, Yellow S/E, 240VSD, Soft Edge, PE Front, No View Ports, Control System by Conveyor Belt</t>
  </si>
  <si>
    <t>JALNA Thomastown</t>
  </si>
  <si>
    <t>Supro 125 XTL, CW 3800 x CH 4350,  GAL, Curtain Yellow, Control 1.5VSD, Detect 1 Loop, Top Cover Flash to Roof Line</t>
  </si>
  <si>
    <t xml:space="preserve">GCP Garden City - </t>
  </si>
  <si>
    <t>Supro 2.2 XTL, CW 5270 x CH 6500,  GAL, Curtain White, VSD 2.2KW, S/E Yellow, Cord Front, Detect RC 433, 1 x 8CH.TR, 38mm Tubes in Curtain, Sheet Metal Top</t>
  </si>
  <si>
    <t>ProPE 100 XTR Right, CW 3000 x CH 3250,  GAL, Curtain Blue 543, 240VSD, 0.75KW, PB, S/E Yellow, Cord Front, Metal Top</t>
  </si>
  <si>
    <t xml:space="preserve">Scott Bakes - </t>
  </si>
  <si>
    <t>ProPE 100 XTL, CW 2180 x CH 3360,  PE Surfmist, Curtain Orange 244, 240VSD 0.75KW, PB Leg BK, Soft Edge, Loose Top 370M (+20)</t>
  </si>
  <si>
    <t xml:space="preserve">Wandin Valley Cherries - </t>
  </si>
  <si>
    <t>ProPE 100 XTR, CW 2800 x CH 3650,  GAL, Curtain Blue 543, No Window, 240VSD 0.75KW, Detection Push Button, Leg Back, Curly Cord Front, Metal Top</t>
  </si>
  <si>
    <t>Supro 125 XTL, CW 4500 x CH 5000,  GAL, Curtain Blue 543, 240VSD 1.5KW, Detect RC 433, 2x ACH.TR, Cle Back, Laser Top</t>
  </si>
  <si>
    <t xml:space="preserve">GUD Altona - </t>
  </si>
  <si>
    <t xml:space="preserve"> CAD XTL, CW 5750 x CH XTH 6850,  GAL, Curtain Green 639, 3Ø AIS - CONTACTORS 1.5KW, Detect 433 HHZ Tankwear, 50mm Pipe Bottom</t>
  </si>
  <si>
    <t>AWGD Chobani Holt Harvey -</t>
  </si>
  <si>
    <t>3Ø Contactors</t>
  </si>
  <si>
    <t xml:space="preserve">Control Box JSB Swift Albany - </t>
  </si>
  <si>
    <t>ProPE 100 XTR Left, CW 3520 x CH 3850,  GAL, Curtain Blue 543, No Window, 240VSD 0.75KW, 1x Tie, Sill Bottom, Cable +500</t>
  </si>
  <si>
    <t xml:space="preserve">NBE  </t>
  </si>
  <si>
    <t>Replacement Curtain (PJO288), Pro 2500 x 3500</t>
  </si>
  <si>
    <t xml:space="preserve">MG Albany - </t>
  </si>
  <si>
    <t>ProPE 100 XTR Left, CW 3000 x CH 3700,  GAL, Curtain Yellow, 240VSD 0.75KW, 1 Loop, PE Front, Metal Top</t>
  </si>
  <si>
    <t xml:space="preserve">Integrity Fruits - </t>
  </si>
  <si>
    <t>Supro 150 XTR, CW 5000 x CH 7500,  GAL, Curtain Red 356, 240VSD 2.2KW, PB Detection, Metal Top</t>
  </si>
  <si>
    <t xml:space="preserve">Maltra - </t>
  </si>
  <si>
    <t>ProPE 100 XTR Right, CW 2700 x CH 2700,  GAL, Curtain Orange 244, 240VSD 0.75KW, S/E PB Leg Back, Metal Top</t>
  </si>
  <si>
    <t xml:space="preserve">HEMCO Ballarat - </t>
  </si>
  <si>
    <t>ProPE 100 XTR Drive Right, CW 2650 x CH 3200,  GAL, Curtain Blue 543, 240VSD 0.75KW, PB Leg Front, Cable +500, Sheet Metal Top</t>
  </si>
  <si>
    <t xml:space="preserve">Inghams Thomastown - </t>
  </si>
  <si>
    <t>ProPE 125 XTR Drive Right,  PE Surfmist, Curtain Red 356, CW 3600 x CH 3750, 240VSD 0.75KW, R/C 433, PB Leg Front, Cable +1000, Sheet Metal Top</t>
  </si>
  <si>
    <t xml:space="preserve">Australian Strawberries Dist 2 - </t>
  </si>
  <si>
    <t>SP150 CW 4265 CH 4430
XTW 4715 XH 4880
 Gal Curtain Red 356
Drive Left Motor 1.5kW 15/1 Rossi
Detect I Loop PB Leg Back
S/E Pneumatic PE Light Curtain
Cable +2000</t>
  </si>
  <si>
    <t>ILT MERIT MEDICAL</t>
  </si>
  <si>
    <t>PE150 CW 4600 x CH 3450
 Gal Curtain Blue 543
Drive Right Motor 0.5kW VSD
Detect RC 433 MH3 PB Leg Back
Cable +1.5m (Norwood Park)</t>
  </si>
  <si>
    <t>ProPE 125 INT Drive Right, CW 3600 x CH 4200,  PE Surfmist, Curtain Orange 4VP, 240VSD 0.75KW, PB, Cable +500, Sheet Metal Top</t>
  </si>
  <si>
    <t xml:space="preserve">Joy Foods - </t>
  </si>
  <si>
    <t>ProPE 100 Drive Right, CW 3400 x CH 3350,  GAL, Curtain Blue 543, 240VSD 0.75KW, PB Leg Back, 1 Loop, Sheet Metal Top</t>
  </si>
  <si>
    <t xml:space="preserve">Dairy Country Cheese - </t>
  </si>
  <si>
    <t>ProPE 100 INT Drive Right, CW 3000 x CH 3850,  GAL, Curtain Orange 244, 240VSD 0.75KW, R/C 433, Cable +1, Sheet Metal Top</t>
  </si>
  <si>
    <t xml:space="preserve">Confoil - </t>
  </si>
  <si>
    <t>Freezer Fold Right Drive, ew 4970 x H 5040,  Gal - Curtain Blue 543, Drive 1.5kW 2ho VSD, Detect PB + RC 433, Cable - 0, Top cover - Metal Sheet</t>
  </si>
  <si>
    <t xml:space="preserve">Punt Road Wines - </t>
  </si>
  <si>
    <t>Dock Door, CW 4100 x CH 2.6</t>
  </si>
  <si>
    <t xml:space="preserve">WCB Harrington - </t>
  </si>
  <si>
    <t>left, Pro PE 100 CW 2400 x CH 3150</t>
  </si>
  <si>
    <t xml:space="preserve">WCB Harrington (ASTREA Pavillion) </t>
  </si>
  <si>
    <t>Pro PE 100 CW 2700 x CH 3800, Drive 0.75kW 2ho VSD Left H/S Drive,  Gal Curtain Red 356, PB key out RC 433 Mfg 2x RR, 45% Roof</t>
  </si>
  <si>
    <t xml:space="preserve">WCB Lactos - </t>
  </si>
  <si>
    <t>Pro PE 100 CW 2400 x CH 3900, Drive 0.75kW VSD Left H/S,  Gal Curtain Blue 543, Detect ILoop PB leg TBA, Top cover Metal Cable +1000</t>
  </si>
  <si>
    <t xml:space="preserve">Biodynamic (3 doors) - </t>
  </si>
  <si>
    <t>Right Hand Drive, Pro PE 100 CW 2000 x CH 3900, Drive 0.75kW VSD Left Hand Drive,  Gal Curtain Blue 543, Detect ILoop PB Leg, Top cover Metal cable +1m</t>
  </si>
  <si>
    <t xml:space="preserve">AS A.B - </t>
  </si>
  <si>
    <t>Pro PE 100 CW 3000 x CH 2850,  Gal Curtain Blue 543, Drive 0.75kW VSD Drive Right H/S, Detect PB TBA, Top cover Metal cable +12m</t>
  </si>
  <si>
    <t xml:space="preserve">AWGD JOSS - </t>
  </si>
  <si>
    <t>Pro PE 100 CW 1500 x CH 2100,  Gal Curtain Red, 0.75kW Right Hand Side Drive, 45% Roof, Door lifted over conveyor belt 696 from Ground</t>
  </si>
  <si>
    <t xml:space="preserve">WCB Harrington Rungfold - </t>
  </si>
  <si>
    <t>Pro PE 125 CW 3000 x CH 4650,  Gal Curtain Orange, 2ho VSD 0.75kW Drive Left, Photocell Flow, SE Soft Edge, Detect Re 433, 1x8 CH TR, View ports x2, Sheet Metal Top, Right Hand Drive</t>
  </si>
  <si>
    <t xml:space="preserve">Lamalina - </t>
  </si>
  <si>
    <t>Pro PE 100 CW 2400 x CH 3175,  Gal Curtain Red 356, Motor 0.75kW VSD Drive Left, Detect ILoop/PB, Cable +500, Special Bkts</t>
  </si>
  <si>
    <t xml:space="preserve">Door Tec - </t>
  </si>
  <si>
    <t xml:space="preserve"> 04639 0463B 0499</t>
  </si>
  <si>
    <t>TABO Replacement Curtains -</t>
  </si>
  <si>
    <t>Pro PE 100 CW 2700 x CH 3250, Motor 0.75kW VSD Drive Right,  Gal Curtain Blue 543, SE Soft Edge, Detection ILoop, Cable +1m, Top Cover Sheet Metal, Stiffener + ?</t>
  </si>
  <si>
    <t>Pro PE 125L CW 4000 x CH 4000,  PC SoftMist Curtain Blue 543, Motor 1.5kW VSD Drive Left, SE Soft Edge Detect ILoop, Cable +1m, Top cover Sheet Metal, Stiffeners +3</t>
  </si>
  <si>
    <t xml:space="preserve">MADE Group - </t>
  </si>
  <si>
    <t>Pro FRR125 CW 2900 x CH 3300,  PC SoftMist Curtain Blue 543, Motor 1.5kW VSD Drive Right, SE Soft Edge Detect RC 433, PB Leg Back, Cable +1m, Top cover Sheet Metal, Heaters + Heater Controllers</t>
  </si>
  <si>
    <t xml:space="preserve">Central Meat - </t>
  </si>
  <si>
    <t>Pro PE 100 R CW 2400 x CH 3350,  Gal Curtain Blue 543, Motor 0.75 VSD Drive Right, SE Soft Edge Detect ILoop, PB Leg Back, Top cover Sheet Metal</t>
  </si>
  <si>
    <t xml:space="preserve">Dairy County Cheese - </t>
  </si>
  <si>
    <t>2x 0.75kW VSD Control Boxes</t>
  </si>
  <si>
    <t xml:space="preserve">Timely - </t>
  </si>
  <si>
    <t>CADSP CW 7800 x CH 4600,  Gal Curtain ? Green, Motor 22kW 6 Poles - 3ø VSD, Drive RHS, Safety Edge Pneumatic, Top Cover + Back Flashing Metal</t>
  </si>
  <si>
    <t xml:space="preserve">Carter Holt Harvey - Morwell - </t>
  </si>
  <si>
    <t>INGRAM Thomastown</t>
  </si>
  <si>
    <t>Pro PE100 CW 2650 x CH 3200
 Gal Curtain Blue 543
Motor 0.75kW VSD Drive left
S/E Pneumatic C/C back
PB - S/S Control Box
Metal Top Cable + 42m</t>
  </si>
  <si>
    <t>Control Box 0.75kW VSD</t>
  </si>
  <si>
    <t>Stephano</t>
  </si>
  <si>
    <t>Pro PE125 CW 2000 x CH 4200
 Gal Curtain Blue 543
Motor 0.75kW VSD Drive left
RC 433 TBA? PB Leg Back Cable + 500</t>
  </si>
  <si>
    <t>ICS Biodynamics</t>
  </si>
  <si>
    <t>SP PRO CW 4.5 x CH 5
 Gal CU Orange
240VSD 1.5kW</t>
  </si>
  <si>
    <t>CONTROL</t>
  </si>
  <si>
    <t>FRESH BERRY CO</t>
  </si>
  <si>
    <t>SP Pro 4.6 x 4.6</t>
  </si>
  <si>
    <t>Pro PE100 CW 2850 x CH 3750
 Gal Curtain Orange 224
Motor 0.75kW VSD Drive Left
Soft Edge PE Front
Detec RC 433 + 1x 8CH TR
PB Leg Back
Cable + 1000 Top Cover Metal</t>
  </si>
  <si>
    <t>Wandin Valley Cherries</t>
  </si>
  <si>
    <t>Pro PE125 CW 3200 x CH 5900
 PC Surfmst Curtain Green 679
Motor 1.5kW VSD Drive Left
Soft Edge PE Front
Detec RC 433 2CH 20pen Height
PB Leg Back
Cable + 1.5m Top Metal</t>
  </si>
  <si>
    <t>Fresh Berry Co Melb Market 1</t>
  </si>
  <si>
    <t>Pro PE100 CW 3000 x CH 3650
 PC Surfmst Curtain Blue 543
Motor 0.75kW VSD Drive Right
S/E Pneumatic PE Front
Detec RC 433 PB Front + Back (Leg)
(Ext. Ant. TOP) Metal Top
Cable + 1m</t>
  </si>
  <si>
    <t>AWGD JOSS H2O</t>
  </si>
  <si>
    <t>CAD CW 4600 x CH 4600 PS 0121
Color Yellow 119</t>
  </si>
  <si>
    <t>Sigma Sheer - New Curtain</t>
  </si>
  <si>
    <t>Pro PE125 CW 3350 x CH 2650
PC Surfmst Curtain Green 679
Motor 0.75kW VSD Drive Left
Soft Edge PE Back
Detec RC 433 + Antennae 2TR ACH
PB Leg Front (Back)
Cable + 2m Metal Top</t>
  </si>
  <si>
    <t>CW 2500 x CH 3450</t>
  </si>
  <si>
    <t>WCB Replacement Curtain</t>
  </si>
  <si>
    <t>PRO FREEZER CW 2500 x CH 3300
 PC Surfmst Curtain Red 356
Motor 1.5kW VSD Drive Left
S/E Soft Edge PE Back
Detec TBA PB Leg Back
Cable + 1m TOP Metal</t>
  </si>
  <si>
    <t>Scorpio Coolstores</t>
  </si>
  <si>
    <t>Pro PE100 CW 3000 x CH 3650
 Gal Curtain Orange 244
Motor VSD 0.75 Drive Right
Soft Edge PE Front
Detec RC 433 PB Leg Front
Cable + 1m Top Metal</t>
  </si>
  <si>
    <t>Pro PE100 CW 2550 x CH 3300
 Gal Curtain Blue 543
Motor 0.15 VSD Drive Left
Soft Edge PE Back
Detec ILoop PB Leg Front
Cable + 3500 Top Cover Metal</t>
  </si>
  <si>
    <t>DAIRY COUNTRY CHEESE</t>
  </si>
  <si>
    <t>Pro PE125 CW 3750 CH 4000
 Gal Curtain Red 356
Motor 1.5 VSD Drive Left
Safety Edge Pneumatic C/Chock PE Front
Detec RC 433 NC Front Leg (Nuance Control)
Top Cover Metal Solenoid Locks</t>
  </si>
  <si>
    <t>WCB - Pallet Shed</t>
  </si>
  <si>
    <t>Pro 125 CW 3050 x CH 3200
 Gal Curtain Green 629
Motor 0.75 VSD Drive Left
Soft Edge PE Front
Detec PB Leg Back
Cable + 1m</t>
  </si>
  <si>
    <t>Santospirito Flowers</t>
  </si>
  <si>
    <t>Pro 125 CW 4000 x CH 3800
 PC Surfmst Curtain Blue 543
Motor 1.5 VSD Drive Left
Soft Edge PE Front
Detec RC 433 PB Leg Back
Cable + 1m Top Metal</t>
  </si>
  <si>
    <t>MEGA FREIGHT</t>
  </si>
  <si>
    <t>Pro PE125 CW 2700 x CH 4350
 PC Surfmst Curtain Blue 543
Motor 1.5 VSD Drive Left
Soft Edge PE Back
Detec RC 433 PB Leg Back
Cable + 500mm Top Cover Metal</t>
  </si>
  <si>
    <t>Bella Rossa</t>
  </si>
  <si>
    <t>Greenlands
Pro PE125 CW 3565 CH 3410
Green 629
Motor 0.75kW VSD Drive Right
Soft Edge PE Front
PB Leg Back
Emergency Power Fail UPS
Cable + 500mm
No Front Cover Backing Sheet??</t>
  </si>
  <si>
    <t xml:space="preserve"> PC Surfmst Curtain </t>
  </si>
  <si>
    <t>Supro 125 CW 5500 x CH 4800
 PC Surfmst Curtain Blue 543
Motor 1.5kW VSD Drive Right
S/E Pneumatic PE Front
Cable + 1m PB Leg Back</t>
  </si>
  <si>
    <t>8pm Handling
Supro 125 CW 5.3 x CH 3.5
 PC Curtain ?
Motor 1.5kW VSD Drive TBA
Emergency ?
S/E Pneumatic</t>
  </si>
  <si>
    <t xml:space="preserve">Fort Knox Keyborough - </t>
  </si>
  <si>
    <t>CAD Door SP 0104/12 CW 3.8 x XH 4.8
S/E +50 RHS</t>
  </si>
  <si>
    <t>Sensenet New Curtain</t>
  </si>
  <si>
    <t>CAD Door P2218 PJ5290
2x Curtain Blue 543 CW 3650 x CH 3700</t>
  </si>
  <si>
    <t>Campide - New Curtains</t>
  </si>
  <si>
    <t>Pro 125 CW 3000 x CH 4050
 PC Surfmst Curtain Orange
Motor 0.75 VSD Drive Left
S/E Pneumatic C/C Front PE Back
Stiffeners +2 Steel Metal Top</t>
  </si>
  <si>
    <t>ALTO</t>
  </si>
  <si>
    <t>Pro PE125 CW 3000 x CH 3000
 Gal Curtain Blue 543
Motor 0.75 VSD Drive Left
Soft Edge PE Front
Metal Top - Detec 2x Reflex PE</t>
  </si>
  <si>
    <t>TULIP FLOWERS</t>
  </si>
  <si>
    <t>CAD Curtain CW 46 x CH 46</t>
  </si>
  <si>
    <t>Sigma Sheer</t>
  </si>
  <si>
    <t>Pro PE125 CW 3000 x CH 4100
 PC Surfmst Curtain Blue 543
Motor 1.5kW VSD Drive Right
Cable + 500mm Soft Edge</t>
  </si>
  <si>
    <t>RAFFLES</t>
  </si>
  <si>
    <t>CAD SP 150
CW 5520 x CH 4300
 Gal Curtain Green 679
1.5kW Contacted! Drive Left
S/E Pneumatic CC Back
Detec ILoop</t>
  </si>
  <si>
    <t>AWGD Carla Holt Harvey</t>
  </si>
  <si>
    <t>Pro PE100 S/S CW XW 3880 x CH 2700 - 50?
 S/Shed Curtain Blue 543
Motor 0.75 VSD Drive Right
S/E Pneumatic Extend Back
Detec ILoop
Cable +1000 Extend 1.700 High</t>
  </si>
  <si>
    <t>Bacchus Marsh Fresh</t>
  </si>
  <si>
    <t>Pro PE125 CW 2400 x CH 4150
 Gal Curtain Green 679
S/E Pneumatic C/C Back
Motor 0.75kW VSD Drive Left
Detec 433 RE 1x 8 CH TR
Topcover Steel</t>
  </si>
  <si>
    <t>Pro PE125 CW 4450 x CH 3600
 Gal Curtain Blue 543
Motor 0.75kW VSD Drive Left
S/E Pneumatic C/C Back
Detec 433 174z 2x 4CH TR</t>
  </si>
  <si>
    <t>EVEREST Ice Cream</t>
  </si>
  <si>
    <t>Pro PE100 CW 3000 x CH 3825
 PC Surfmst Curtain Blue 543
Motor 0.75 VSD Drive
Soft Edge
Detec - RC 433 2x CH TR
Cable + 1m Top Metal
Mounting Holes 3035</t>
  </si>
  <si>
    <t>Diamond Fisheries</t>
  </si>
  <si>
    <t>TASMAN BERWICK</t>
  </si>
  <si>
    <t>CAD PE150 CW 6190 x XH 6.600
 Gal Curtain Red 356
Motor 2.2kW 4Potes Drive Right
Soft Edge
Detec ILoop PB Leg Back
Cable + 1m Top Metal</t>
  </si>
  <si>
    <t>Henderson</t>
  </si>
  <si>
    <t>Pro PE100 CW 2500 x CH 3150
 Gal Curtain Blue 543
Soft Edge
Detec R 433 PB Leg Back
Cable + 1m Top Metal
Motor 0.75 Drive Left</t>
  </si>
  <si>
    <t>FLORIDA Cheese</t>
  </si>
  <si>
    <t>Pro PE125 CW 2400 x CH 4500
Motor 0.75 VSD Drive Left
Soft Edge PE Back
Detec ILoop PB Leg Back
Cable + 1m Top Metal</t>
  </si>
  <si>
    <t>Designer Coolrooms KADAC</t>
  </si>
  <si>
    <t>Pro PE125 CW 3600 x CH 3900
 Gal Curtain Blue 543
Motor 0.75 VSD Drive Right
Detec RC 433 PB Box
S/E Soft Edge
Cable + 1m Top Cover Steel</t>
  </si>
  <si>
    <t>Regold Andrew Young</t>
  </si>
  <si>
    <t>Pro PE125 CW 3000 x CH 4200
 PC Surfmist Curtain Orange
Motor 0.75 VSD Drive Left
S/E Pneumatic PB Leg Back
Detec TBA
Cable + 1m Stiffeners +2
Top Cover - Steel</t>
  </si>
  <si>
    <t>Pro PE125 CW 2400 x CH 3350
Motor 0.75 VSD Drive 1x Left
S/E Soft Edge
Detec ?
Cable +1m Top Cover Metal</t>
  </si>
  <si>
    <t>Pro PE125 CW 3500 x CH 3200
 Gal Curtain Red 356
Motor 0.75 VSD
Drive a Left b+c Right
S/E Soft Edge
Detec RC 433 PB Box</t>
  </si>
  <si>
    <t>FRESH SELECT</t>
  </si>
  <si>
    <t>Pro PE125 CW 2400 x CH 3150
 Gal Curtain Red
Motor 0.75 VSD Drive Right
S/E Soft Edge
Detec 433 MH3 PB Leg Back
Top Cover Metal</t>
  </si>
  <si>
    <t>Monk Brothers</t>
  </si>
  <si>
    <t>Pro PE125 CW 4000 x CH 4300
 Gal Curtain White Yellow S/E
Motor 0.75 VSD Drive Right
S/E Pneumatic C/C Back
Detec RC 433 ME8 1x8 TR
Cable + 1m Top Sheet Metal</t>
  </si>
  <si>
    <t>Pro PE125 CW 2400 x CH 3200
 Gal Curtain Blue 543
Motor 0.75 VSD Drive TBA
S/E Pneumatic C/C Back
Detec TBA PB Leg Back
S/Steel Control Box Cable +1m</t>
  </si>
  <si>
    <t>Curtain 2930 x 4.1 EXT.</t>
  </si>
  <si>
    <t>Dontek Fac. Jac. Nick Jones</t>
  </si>
  <si>
    <t>Pro PE125 CW 4040 x CH 4150
 PC Surfmist Curtain Blue 543
Motor 1.5 VSD Drive Left
S/E Soft Edge
Detec RC 433 8CHTR x2
PB Leg Back (ALL Switches on Leg Steel/Top)
Drive Right</t>
  </si>
  <si>
    <t>Frangane A+B</t>
  </si>
  <si>
    <t>Pro PE125 CW 2750 x CH 3600
 Gal Curtain Blue 543
Motor 0.75 VSD Drive Right
Detec ILoop
S/E Soft Edge
Top Sheet Metal</t>
  </si>
  <si>
    <t>MADE GROUP</t>
  </si>
  <si>
    <t>Pro PE125 CW 2550 x CH 3700
 Gal Curtain Blue 543
Motor 0.75 VSD Drive Left
Detec ILoop PB Leg Back
Cable +1m</t>
  </si>
  <si>
    <t>Pro PE125 CW 3600 x CH 4200
 Gal Curtain Green 679
Motor 1.5kW VSD Drive Left
S/E Pneumatic C/C Back
Detec RC 433 2TR
Cable +0.5m</t>
  </si>
  <si>
    <t>IFS - Industrial Foods</t>
  </si>
  <si>
    <t>Pro PE125 CW 3870 x CH 3000</t>
  </si>
  <si>
    <t>Pro PE100 CW 2800 x CH 2800
 Gal Curtain Red 356
Motor 0.75 VSD Drive Left
S/E Pneumatic C/C Back
Detec 433MH3 2TR 4CH
Cable - Connectors</t>
  </si>
  <si>
    <t>WCBF - Harrington (Cheese Dock Door)</t>
  </si>
  <si>
    <t>CAD CW 7000 x CH 4150</t>
  </si>
  <si>
    <t>Fort Knox Replacement Curtain</t>
  </si>
  <si>
    <t>Pro PE125 CW 3155 x CH 3650
 Gal Curtain Blue 543
Motor 0.75 VSD Drive Left
Detec PB Leg Back
S/E Pneumatic C/C Front
Cable +5m Metal Top</t>
  </si>
  <si>
    <t>Harvest Moon - Scott Bakes (SB)</t>
  </si>
  <si>
    <t>Pro PE100 CW 2400 x CH 3300
 Gal Curtain Red 356
Motor 0.75 VSD Drive Right
S/E Soft Edge Tapered 50mm
Detec TBA
Cable +3500</t>
  </si>
  <si>
    <t>Coolbah</t>
  </si>
  <si>
    <t>Pro PE125 CW 2400 x CH 3550
 PC Surfmist Curtain Blue 543
Motor 0.75 VSD Drive Left
Detec PB Leg (Back)
S/E Soft Edge
Cable +0.5m</t>
  </si>
  <si>
    <t>Della Rossa</t>
  </si>
  <si>
    <t>Pro PE125 CW 3950 x CH 5100
 PC Surfmist Curtain Blue 543
Motor 1.5kW VSD Drive Right
Detec ILoop PB Leg Back
Safety Edge Pneumatic C/C Back
Cable +0.5m
Stiffeners +2 Bottom + Top</t>
  </si>
  <si>
    <t>Control Box - 1.1kW VSD</t>
  </si>
  <si>
    <t>Woolworth Mulgrave</t>
  </si>
  <si>
    <t>New Control Box 1.1kW VSD</t>
  </si>
  <si>
    <t>Tasman Meats Berwick</t>
  </si>
  <si>
    <t>SUPA Profile CW 3000 x CH 6600
 Gal Curtain White</t>
  </si>
  <si>
    <t>Pro PE125 CW 2050 x CH 3300
 Gal Curtain Orange
Motor 0.75 VSD Drive Left
Cable + 1m</t>
  </si>
  <si>
    <t>JALNA - Third Stage</t>
  </si>
  <si>
    <t>Pro PE100 CW 1600 x 2400
 Gal Curtain Blue 543
Motor 0.75 VSD Drive Right
Detec TBA + PB Legs Back
S/E Soft Edge</t>
  </si>
  <si>
    <t>SSP</t>
  </si>
  <si>
    <t>12 PPH
Pro PE100 CW 2000 x CH 2000
Motor 0.75kW Drive
Detec RC 433, 2x 4CH
S/E Pneumatic PB Leg Back</t>
  </si>
  <si>
    <t xml:space="preserve">WCBF - Harrington Weigh Plant Extension </t>
  </si>
  <si>
    <t>COMPLE Food Services</t>
  </si>
  <si>
    <t>FR 125 CW 2400 x CH 3700
 Gal Curtain Blue 543
Motor 1.5kW Drive 1 Left, 1 Right
Detec RC 433 PB Legs BK
1x Right, 1x Left</t>
  </si>
  <si>
    <t>FR 125 x 3</t>
  </si>
  <si>
    <t>HEINZ Wagga</t>
  </si>
  <si>
    <t>Pro PE125 CW 3500 x CH 3500
 Gal Curtain Orange 229
Motor 0.75 VSD Drive Right
Detec RC 433 2x 4CH TR
Keypad + PB Leg Back
Cable + 1m</t>
  </si>
  <si>
    <t>Alligator Pasta</t>
  </si>
  <si>
    <t>Pro PE125 CW 2400 x CH 3550
 Gal Curtain Blue 543
Motor 0.75 VSD Drive Right
Detec RC 433
S/E Pneumatic</t>
  </si>
  <si>
    <t>Farm Pride</t>
  </si>
  <si>
    <t>PRO SP150 CW 3500 x CH 8100
 Gal Curtain Red 356
Motor 2.2kW Drive Right
Detec ? S/E ?</t>
  </si>
  <si>
    <t>MALTRA (See 0682)</t>
  </si>
  <si>
    <t>Pro PE125 CW 2200 x CH 3000
 Gal Curtain Red 356
Motor 0.75kW Drive Left
Detec RC 433 S/E Pneumatic
Airlock (Cua/Mop4)</t>
  </si>
  <si>
    <t>WCBF - Cheese Airlock</t>
  </si>
  <si>
    <t>Pro PE125 CW 2050 x CH 2700
 Gal Curtain Orange 244
Motor 0.75 VSD Drive Right
Detec ILoop
2x PB 2x PE
Cable + 1m</t>
  </si>
  <si>
    <t>JALNA (See 0684-0)</t>
  </si>
  <si>
    <t>1.1 kW Control Box</t>
  </si>
  <si>
    <t>HEINZ WAGGA</t>
  </si>
  <si>
    <t>SP150 CW 3500 x CH 4000
 Gal Curtain Blue 543
Motor 1.5kW VSD Drive Right
Detec 433 MH3 S/E Soft
PB Leg BK PE Front
Cable + 1m</t>
  </si>
  <si>
    <t>CW 2600 x 3900 XT
Blue, Mehler Polymer 543</t>
  </si>
  <si>
    <t xml:space="preserve">Inghams Thomastown - New Curtain For P 973 </t>
  </si>
  <si>
    <t>Pro PE125 CW 2500 x CH 3200
L&gt;2900 Outside Legs Max
Drive 2x Left - 2x Right
Motor 0.75 kW VSD
Detect TBA PB Legs Front
 Gal Colour Blue 543
S/E - Soft Cable +1m</t>
  </si>
  <si>
    <t>MASTER POULTRY</t>
  </si>
  <si>
    <t>Supro 150 CW 5650 x CH 5400
 Gal Curtain Blue 543
Drive Right Motor 1.5kW VSD
Detect 433 + 2X TR PB Legs BK
Cable +1m
50mm Pipe Bottom</t>
  </si>
  <si>
    <t>DOORTECH</t>
  </si>
  <si>
    <t>PE125 CW 4000 x CH 4200
 PC Surfmist Curtain Orange 244
Drive Left Motor 0.75 VSD
Detect Light Curtain? PB Legs BK
Photocell BK</t>
  </si>
  <si>
    <t>JOY Foods - Cancelled</t>
  </si>
  <si>
    <t>SP150 CW 6350 x CH 4050
 PC Surfmist Curtain Blue 543
Drive Right Motor 2.2kW
Detect ? PB Leg Back
PE Front Cable +1m</t>
  </si>
  <si>
    <t>AWGD - H2O - Joss!</t>
  </si>
  <si>
    <t>Pro PE125 CW 3000 x CH 3800
 Gal Curtain Blue 543
Drive Right Motor 0.75kW VSD
Detect PB Legs Back
S/E Pneumatic C/C Front PE Back</t>
  </si>
  <si>
    <t>Scott Bakes - Tasie</t>
  </si>
  <si>
    <t>Pro PE125 CW 4000 x CH 4200
 PC Surfmist Curtain Orange 244
Drive Left Motor 0.75kW VSD
Detect PB Up and Down in Box
Cable +500</t>
  </si>
  <si>
    <t>JOY Foods (0701)</t>
  </si>
  <si>
    <t>Pro PE125 CW 3150 x CH 3700
 Gal Curtain Blue 543
Drive Right Motor 0.75kW VSD
Detect RC 433 PB Legs Back
Cable +1000</t>
  </si>
  <si>
    <t>DAIRY COUNTRY</t>
  </si>
  <si>
    <t>Control Box 1.1kW VSD</t>
  </si>
  <si>
    <t>Flavour MAKERS</t>
  </si>
  <si>
    <t>Pro PE125 CW 2500 x 3000 CH
Existing Control Box (Induction Loop)
Drive Motor 0.75kW</t>
  </si>
  <si>
    <t>PE125 CW 8000 x CH 8500
 Gal Curtain Red 356
Drive Right Motor 0.75 VSD
Detect RC 433
PB Upright BK Cable + 0.5m</t>
  </si>
  <si>
    <t>Dontek</t>
  </si>
  <si>
    <t>SP150 CW CH 5500
XTW 4960
 Gal Curtain Yellow
Drive Right Motor 1.5kW VSD 15/1
Detect I Loops PB Front Leg
Cable +1m</t>
  </si>
  <si>
    <t>Preston Motors</t>
  </si>
  <si>
    <t>PE125 CW 2400 x CH 3200
 Gal Curtain Yellow
Drive Right Motor 0.75kW VSD
Detect I Loop PB Back
Cable +0.5m</t>
  </si>
  <si>
    <t>Designer Deninson</t>
  </si>
  <si>
    <t>2002.07.09</t>
  </si>
  <si>
    <t>2016.10.12</t>
  </si>
  <si>
    <t>WCB Mill LE L</t>
  </si>
  <si>
    <t>DHG New Building</t>
  </si>
  <si>
    <t>Replacement operators x2</t>
  </si>
  <si>
    <t xml:space="preserve">MGD Industries (Donothy) </t>
  </si>
  <si>
    <t>Replacement operators x2 Reception Area</t>
  </si>
  <si>
    <t>CAD W45 x 38H R (Kit 5)</t>
  </si>
  <si>
    <t xml:space="preserve">MGD Braeside - </t>
  </si>
  <si>
    <t>Pro W30-50H R Dispatch + 1x Pro W25-44H R Goods inward</t>
  </si>
  <si>
    <t>Vertilux - Tullamarine</t>
  </si>
  <si>
    <t>Pro CW 2400 x CH 3100</t>
  </si>
  <si>
    <t xml:space="preserve">Ingham - Thomastown </t>
  </si>
  <si>
    <t>2006.07.26</t>
  </si>
  <si>
    <t>2007.04.12</t>
  </si>
  <si>
    <t>2008.11.05</t>
  </si>
  <si>
    <t>2011.04.10</t>
  </si>
  <si>
    <t>2011.05.10</t>
  </si>
  <si>
    <t>2011.11.09</t>
  </si>
  <si>
    <t>2011.11.15</t>
  </si>
  <si>
    <t>2013.06.11</t>
  </si>
  <si>
    <t>2013.08.12</t>
  </si>
  <si>
    <t>2013.10.11</t>
  </si>
  <si>
    <t>2014.01.06</t>
  </si>
  <si>
    <t>2014.03.05</t>
  </si>
  <si>
    <t>2014.03.12</t>
  </si>
  <si>
    <t>2014.04.03</t>
  </si>
  <si>
    <t>2014.07.10</t>
  </si>
  <si>
    <t>2014.07.01</t>
  </si>
  <si>
    <t>2014.09.04</t>
  </si>
  <si>
    <t>2015.01.07</t>
  </si>
  <si>
    <t>2015.02.04</t>
  </si>
  <si>
    <t>2015.06.02</t>
  </si>
  <si>
    <t>2015.06.03</t>
  </si>
  <si>
    <t>2015.08.03</t>
  </si>
  <si>
    <t>2015.08.07</t>
  </si>
  <si>
    <t>2015.09.03</t>
  </si>
  <si>
    <t>2015.12.03</t>
  </si>
  <si>
    <t>2016.01.04</t>
  </si>
  <si>
    <t>2016.02.09</t>
  </si>
  <si>
    <t>2016.04.05</t>
  </si>
  <si>
    <t>2016.04.07</t>
  </si>
  <si>
    <t>2016.05.11</t>
  </si>
  <si>
    <t>2016.09.06</t>
  </si>
  <si>
    <t>2016.10.06</t>
  </si>
  <si>
    <t>2016.10.07</t>
  </si>
  <si>
    <t>2016.12.01</t>
  </si>
  <si>
    <t>2016.12.05</t>
  </si>
  <si>
    <t>2017.02.10</t>
  </si>
  <si>
    <t>2017.09.05</t>
  </si>
  <si>
    <t>2017.12.08</t>
  </si>
  <si>
    <t>2018.01.08</t>
  </si>
  <si>
    <t>2018.02.12</t>
  </si>
  <si>
    <t>2018.03.06</t>
  </si>
  <si>
    <t>2018.05.10</t>
  </si>
  <si>
    <t>2018.06.12</t>
  </si>
  <si>
    <t>2018.07.12</t>
  </si>
  <si>
    <t>2018.10.08</t>
  </si>
  <si>
    <t>2018.11.12</t>
  </si>
  <si>
    <t>2019.01.08</t>
  </si>
  <si>
    <t>2019.02.04</t>
  </si>
  <si>
    <t>2019.03.05</t>
  </si>
  <si>
    <t>2019.04.10</t>
  </si>
  <si>
    <t>2019.07.12</t>
  </si>
  <si>
    <t>2019.07.09</t>
  </si>
  <si>
    <t>2019.11.14</t>
  </si>
  <si>
    <t>2019.12.06</t>
  </si>
  <si>
    <t>2020.06.01</t>
  </si>
  <si>
    <t>2020.06.09</t>
  </si>
  <si>
    <t>2020.07.09</t>
  </si>
  <si>
    <t>2020.08.03</t>
  </si>
  <si>
    <t>2020.10.08</t>
  </si>
  <si>
    <t>2020.11.09</t>
  </si>
  <si>
    <t>2021.02.08</t>
  </si>
  <si>
    <t>2021.03.04</t>
  </si>
  <si>
    <t>2021.06.02</t>
  </si>
  <si>
    <t>2021.09.01</t>
  </si>
  <si>
    <t>2021.09.10</t>
  </si>
  <si>
    <t>2021.10.04</t>
  </si>
  <si>
    <t>2021.10.05</t>
  </si>
  <si>
    <t>2022.01.11</t>
  </si>
  <si>
    <t>2022.03.01</t>
  </si>
  <si>
    <t>2022.05.04</t>
  </si>
  <si>
    <t>2022.05.09</t>
  </si>
  <si>
    <t>2022.06.07</t>
  </si>
  <si>
    <t>2022.06.10</t>
  </si>
  <si>
    <t>2022.07.01</t>
  </si>
  <si>
    <t>2022.12.06</t>
  </si>
  <si>
    <t>2022.12.10</t>
  </si>
  <si>
    <t>2023.02.01</t>
  </si>
  <si>
    <t>2023.03.06</t>
  </si>
  <si>
    <t>2023.05.03</t>
  </si>
  <si>
    <t>2023.05.11</t>
  </si>
  <si>
    <t>2023.08.10</t>
  </si>
  <si>
    <t>2023.12.05</t>
  </si>
  <si>
    <t>2024.03.04</t>
  </si>
  <si>
    <t>2024.03.08</t>
  </si>
  <si>
    <t>2024.05.01</t>
  </si>
  <si>
    <t>2024.07.12</t>
  </si>
  <si>
    <t>2024.08.09</t>
  </si>
  <si>
    <t>2024.09.06</t>
  </si>
  <si>
    <t>2024.11.06</t>
  </si>
  <si>
    <t>2025.01.07</t>
  </si>
  <si>
    <t>FR</t>
  </si>
  <si>
    <t>R</t>
  </si>
  <si>
    <t>2.2KW 3Ø VSD</t>
  </si>
  <si>
    <t>L</t>
  </si>
  <si>
    <t>PB</t>
  </si>
  <si>
    <t>Descrption</t>
  </si>
  <si>
    <t>Aurora Foods</t>
  </si>
  <si>
    <t>Nicway Fresh Berries QLD</t>
  </si>
  <si>
    <t>Designer</t>
  </si>
  <si>
    <t>PE125, CW 2150 x CH 3200, Drive Right, Motor 0.75 R10/1,  GAL, Curtain Blue 543, PE Front, Detect PB Box, Cable 1m</t>
  </si>
  <si>
    <t>New Curtain CW 5.9 x XH 5.8</t>
  </si>
  <si>
    <t>PE125, CW 2600 x CH 3150, Drive Right, Motor 0.75KW R10/1,  GAL, Curtain Green 623, Detect RC MTC, I 8x 4CH Transmitter, PB Box, Cable 1m</t>
  </si>
  <si>
    <t>FR125, CW 4000 x CH 3100 (XH4100),  GAL, Curtain Blue 543, Ferrari 600g, Detect R/C MTC915, PB Box, Cable 1.5m, Drive Left, Motor 1.5KW R15/1</t>
  </si>
  <si>
    <t>0922 A</t>
  </si>
  <si>
    <t>0922 B</t>
  </si>
  <si>
    <t>FR125, CW 2500 x CH 3200, Drive Left, Motor 0.75KW R15/1,  GAL, Curtain Blue 543, PE Back, Banner, PB Front, Cable 2m</t>
  </si>
  <si>
    <t>0912 A</t>
  </si>
  <si>
    <t>SP125, CW 4800 x CH 4700, Drive Right, Motor 0.75 R15/1,  GAL, Curtain Blue 543, PE Front TM120, PB Box, Cable 1m</t>
  </si>
  <si>
    <t>SP125, CW 3100 x CH 4300, Drive Left, Motor 0.75 R15/1,  GAL, Curtain Blue 543, PE Front TM120, PB Box, Cable 1m</t>
  </si>
  <si>
    <t>0912 B</t>
  </si>
  <si>
    <t>0912 C</t>
  </si>
  <si>
    <t>0912 D</t>
  </si>
  <si>
    <t>SP125, CW 2700 x CH 4000, Drive Left, Motor 0.75 R15/1,  GAL, Curtain Blue 543, PE Front TM120, PB Box, Cable 1m</t>
  </si>
  <si>
    <t>PE125, CW 3500 x CH 3385 (+65 RHS), Drive Left, Motor 0.75 R10/1,  GAL, Curtain Blue 543, PE Front TM120 (NPN), Detect RC MTC915, PB Box, Cable Other side (+EXW) 1m, Stiffen +3, All Pockets, Fix Modules 2000 other 3600, Encoder Trial (ISB)</t>
  </si>
  <si>
    <t>0909 A</t>
  </si>
  <si>
    <t>0909 B</t>
  </si>
  <si>
    <t>PE125, CW 1850 x CH 3150, Drive Left, Motor 0.75KW R10/1,  GAL, Curtain Blue 543, Detect RC MTC, Cable 1m</t>
  </si>
  <si>
    <t>PE125, CW 1850 x CH 3150, Drive Right, Motor 0.75KW R10/1,  GAL, Curtain Blue 543, Detect RC MTC, Cable 1m</t>
  </si>
  <si>
    <t>Replacement curtain PJ0886</t>
  </si>
  <si>
    <t>0896 A</t>
  </si>
  <si>
    <t>PE125, CW 4080 x CH 4300, Drive Left, Motor 0.75 R15/1, Flame GAL, Curtain Blue 543, PE Front, PB Box, Cable 1.5m.</t>
  </si>
  <si>
    <t>PE125, CW 3900 x CH 4300, Drive Left, Motor 0.75 R15/1, Flame GAL, Curtain Blue 543, PE Front, PB Box, Cable 1.5m.</t>
  </si>
  <si>
    <t>0896 B</t>
  </si>
  <si>
    <t>PE150, CW 3680 x CH 4500, Drive Left, Motor 0.75 R15/1, Flame GAL, Curtain Blue 543,  PE Front, PB Box, Cable 2m, Cable Entry 2200FL</t>
  </si>
  <si>
    <t>0894 A</t>
  </si>
  <si>
    <t>2023.09.25</t>
  </si>
  <si>
    <t>0894 B</t>
  </si>
  <si>
    <t>0894 C</t>
  </si>
  <si>
    <t>0894 D</t>
  </si>
  <si>
    <t>0894 E</t>
  </si>
  <si>
    <t>Monk Mildura</t>
  </si>
  <si>
    <t xml:space="preserve">PE125, CW 2500 x CH 3250, Drive Left, Motor 0.75 R10/1,  GAL, Curtain Yellow, Cable 1m, PE Front, PB Box. </t>
  </si>
  <si>
    <t xml:space="preserve">PE125, CW 3000 x CH 3650, Drive Right, Motor 0.75 R10/1,  GAL, Curtain Yellow, Cable 1m, PE Front, PB Box. </t>
  </si>
  <si>
    <t xml:space="preserve">PE125, CW 3.5 x CH 4.150, Drive Left, Motor 0.75 R10/1, Control LK MS300,  GAL, Curtain Blue 543, PE Front, Cable 1.5m, PB Box, Detect RC MCB, Outdoors. </t>
  </si>
  <si>
    <t xml:space="preserve">SP150, CW 5.0 x CH 5.0, Drive Left, Motor 1.5KW R15/1,  GAL, Curtain Blue 543, PE Front, PB Box, Cable 1.5m. </t>
  </si>
  <si>
    <t xml:space="preserve">PE125, CW 3.5 x CH 4.150, Drive Right, Motor 0.75 R10/1, Control LK MS300,  GAL, Curtain Blue 543, PE Front, Cable 1.5m, PB Box, Detect RC MCB, Outdoors. </t>
  </si>
  <si>
    <t>0892 A</t>
  </si>
  <si>
    <t>PE125, CW 1.850 x CH 2600, Drive Left, Motor 0.75 R10/1,  P/C Surfmist, Curtain Grey 724, PE Back PB Box, FG x5</t>
  </si>
  <si>
    <t>PE125, CW 1.850 x CH 2600, Drive Right, Motor 0.75 R10/1,  P/C Surfmist, Curtain Grey 724, PE Back PB Box, FG x5</t>
  </si>
  <si>
    <t>0892 B</t>
  </si>
  <si>
    <t>Sherman Foods</t>
  </si>
  <si>
    <t>PE 125 CW 3500 x CH 4100, Drive Right - Motor 0.75 R10/1,  Gal Curtain Red 356, SE Soft - PE Front PB Box, Cable +1m</t>
  </si>
  <si>
    <t>PE125 CW 2800 x CH 3150. Drive Left motor 0.75 R10/1.  Gal Curtain Blue 543. Safety Edge Pneumatic. PE Light Curtain, Overlay Detect ILoop</t>
  </si>
  <si>
    <t>GBP Poowong</t>
  </si>
  <si>
    <t>NBE Test Door</t>
  </si>
  <si>
    <t>0885 A</t>
  </si>
  <si>
    <t>0885 B</t>
  </si>
  <si>
    <t>SP150 CW 5400 x CH 4150. Drive Right motor 1.5 kW R15/1.  Gal Curtain Blue 543. Detect RC MC + PB Box Cable +1m</t>
  </si>
  <si>
    <t>PE125 CW 2300 x CH 3150. Drive Right motor 0.75 R10/1.  Gal Curtain Blue 543. Safety Edge Pneumatic. PE Light Overlay Detect ILoop</t>
  </si>
  <si>
    <t>PE125 CW 2800 x CH 4200. Drive Right motor 0.75 kW R10/1.  Gal Curtain Blue 543. PE Front Detect RC MCT 4CH Cable 1m</t>
  </si>
  <si>
    <t>Tasie Fine Foods</t>
  </si>
  <si>
    <t>KB Seafood</t>
  </si>
  <si>
    <t>0878 A</t>
  </si>
  <si>
    <t>0878 B</t>
  </si>
  <si>
    <t xml:space="preserve">PE125 CW 2500 x CH 3350. Drive Right motor 0.75 kW R10/1. PE Front PB Box Cable +2m Curtain Blue 543. </t>
  </si>
  <si>
    <t>0876 A</t>
  </si>
  <si>
    <t>0876 B</t>
  </si>
  <si>
    <t>PE125 CW 2900 x CH 4150. Drive Right motor 0.75 R15/1.  Gal Curtain Blue 543. PB Box Cable +1m</t>
  </si>
  <si>
    <t>0876 C</t>
  </si>
  <si>
    <t>PE125 CW 2900 x CH 4150. Drive Light motor 0.75 R15/1.  Gal Curtain Blue 543. PB Box Cable +1m</t>
  </si>
  <si>
    <t xml:space="preserve">PE125 CW 2500 x CH 3200 (XH4200) Drive Right motor 0.75 kW R15/1. PE Banner? PB Box Cable +2m Curtain Blue 543. </t>
  </si>
  <si>
    <t>FR125 CW 2800 x CH 3700 mini (XH 5000) Drive Left motor 1.5 kW R15.  Gal Curtain Blue 543. PE Banner! PB Box Cable +1m</t>
  </si>
  <si>
    <t>0876 D</t>
  </si>
  <si>
    <t>PE125 CW 3000 x CH 3150. Drive Right motor 0.75 R15/1.  Gal Curtain Blue 543. PB Box Cable +1m</t>
  </si>
  <si>
    <t>PE125 CW 3.0 x CH 3.0. Drive Left motor 0.75 R10/1 VSD.  Gal Curtain Red 356. Detect R/C MTC1509 PE Out Cable +1m</t>
  </si>
  <si>
    <t>Replacement Legs for Sungold. New Type Legs. P2147 Door PJ0326</t>
  </si>
  <si>
    <t>PE125 CW 4850 x 4100. XTW 5250 x XH 4500. Drive Left motor 1.5 R15/1.  Gal Curtain Yellow. Detect BEA Radar. PB Legs Cable +1 FG Stiffen +1</t>
  </si>
  <si>
    <t>PE125 Top Set 0838 CW 2.6 x CH 3.0. Extend Curtain + 500mm Blue 543</t>
  </si>
  <si>
    <t>Cold Storage Construction</t>
  </si>
  <si>
    <t>PE125 CW 3600 x CH 4800. Drive Left  Motor 0.75 R15/1 Gal Curtain Green 679. PE Front Control Box CU5 + ATV 1.5kw VSD</t>
  </si>
  <si>
    <t>FR125 CW 1450 x CH 5200. Drive Left 0.75kw DELTA VSS LK PLC.  Gal Curtain Orange 244. 2x Photocells Detect RC 433 8CHTR</t>
  </si>
  <si>
    <t>0867 A</t>
  </si>
  <si>
    <t>0867 B</t>
  </si>
  <si>
    <t>0867 C</t>
  </si>
  <si>
    <t>0867 D</t>
  </si>
  <si>
    <t>Replacement Curtains  PJ0260-1 : CW 1810 x CH 3000, PJ0260-4 : CW 1810 x CH 3000</t>
  </si>
  <si>
    <t>2022.08.22</t>
  </si>
  <si>
    <t xml:space="preserve">Carter Holt Harvey Myrteford </t>
  </si>
  <si>
    <t>Fine Foods LK</t>
  </si>
  <si>
    <t>PE125 2.3x3150 Drive Left</t>
  </si>
  <si>
    <t>PE125 2.3x3150 Drive Right</t>
  </si>
  <si>
    <t>0860 A</t>
  </si>
  <si>
    <t>0860 B</t>
  </si>
  <si>
    <t>0860 C</t>
  </si>
  <si>
    <t>0858 A</t>
  </si>
  <si>
    <t>PE125 Reloc CW 2100 x CH 2650. Drive Left motor 0.75 R10/1.  Gal Curtain White 907 S/E Yellow. PE Front. Detect PB box Cable +0.5m</t>
  </si>
  <si>
    <t>0858 B</t>
  </si>
  <si>
    <t>PE125 Reloc CW 2100 x CH 2650. Drive Right motor 0.75 R10/1.  Gal Curtain White 907 S/E Yellow. PE Front. Detect PB box Cable +0.5m</t>
  </si>
  <si>
    <t>PE125 CW 2450 x CH 3450. Drive Right motor 0.75 R10/1.  Gal Curtain Blue 543. Detect R/C MC 915. PB Box Cable +1m</t>
  </si>
  <si>
    <t>PE125 CW 4000 x CH 4150. Drive Left motor 0.75 R10/1.  Gal Curtain Orange Yellow S/E. Detect PB box Cable +1m</t>
  </si>
  <si>
    <t>Designer Coolrooms MOTTA</t>
  </si>
  <si>
    <t>Designer Coolrooms Red Gem</t>
  </si>
  <si>
    <t>PE125 CW 1750 x CH 4100. Drive Right motor 0.75 R10/1.  Gal Curtain Blue 543. Detect PB box PE Front Cable +6m</t>
  </si>
  <si>
    <t>BIGANTE</t>
  </si>
  <si>
    <t>PE125 CW 2000 x CH 3850. Drive Left motor 0.75 R10/1 GAL Curtain Blue 543 Detect RC MC915 + 2x PB Box. Cable +1m. PE Front</t>
  </si>
  <si>
    <t xml:space="preserve">Andrew Newlon - DMF Repair Curtain </t>
  </si>
  <si>
    <t>2070 x 4360. Clear both + S/E</t>
  </si>
  <si>
    <t>Fresh Select</t>
  </si>
  <si>
    <t>SP150 CW 3500 x CH 5650. Drive Right motor 1.5 kW R15/1.  Gal Curtain Red 356. Detect RC 433. Cable +1m</t>
  </si>
  <si>
    <t>PE125 CW 3000 x CH 3200. Blue 543</t>
  </si>
  <si>
    <t>PE125 CW 3300 x CH 4000. Drive Left motor 0.75 R10/1. Soft Edge? PE Front PB Box (CU5 control)</t>
  </si>
  <si>
    <t>0844 A</t>
  </si>
  <si>
    <t>PE125 CW 4000 x CH 3800. Drive Right motor 0.75 R15/1.  PC Surfmist Curtain Green Toll! Detect PB Box. PE Front Cable +1m Motor Cover</t>
  </si>
  <si>
    <t>0844 B</t>
  </si>
  <si>
    <t>PE125 CW 4000 x CH 3800. Drive Right motor 0.75 R15/1.  PC Surfmist Curtain Red356 Detect PB Box. PE Front Cable +1m Motor Cover</t>
  </si>
  <si>
    <t xml:space="preserve">SP125 CW 3590 x CH 4150. Drive Right motor 1.5 kW R15/1.  Gal Curtain Red 356. PE Front - Detect RC 433 + ILoop. PE Front PB Back. Cable +1m </t>
  </si>
  <si>
    <t>AWGD - Riverina Oil</t>
  </si>
  <si>
    <t>Jindi Cheese</t>
  </si>
  <si>
    <t>McColl Smith</t>
  </si>
  <si>
    <t>WCBF - Saputo Dry Goods</t>
  </si>
  <si>
    <t>Garry Young</t>
  </si>
  <si>
    <t>Aligator Pasta</t>
  </si>
  <si>
    <t>Central Meats</t>
  </si>
  <si>
    <t>Everest Icecream</t>
  </si>
  <si>
    <t>0840</t>
  </si>
  <si>
    <t>PE125 CW3000 x CH3750, Drive Left Motor 0.75 R10/1, Gal Curtain Blue 543, PE Front RC MCT915 PB Box Cable +1m</t>
  </si>
  <si>
    <t>PE125 CW 2600 x CH 2500; PE125; Drive Left Motor 0.75 kW R10/1;  Gal Curtain Blue 543; Detect PB M Leg Front PE Back; Cable +1m (No Windows)</t>
  </si>
  <si>
    <t>PE125 CW 2300 x CH 3150; PE125; Drive Left Motor 0.75 R10/1;  Gal Curtain Blue 543; PE Front; Reloc.; Cable +0.5m</t>
  </si>
  <si>
    <t>0836 A</t>
  </si>
  <si>
    <t>PE125; CW 2500 x CH 3700; Drive RHS Motor 0.75 R10/1;  Gal Curtain Orange 244; Detect RCMC PB Box; Cable +500mm; PE Front</t>
  </si>
  <si>
    <t>PE125; CW 2500 x CH 3700; Drive LHS Motor 0.75 R10/1;  Gal Curtain Orange 244; Detect RCMC PB Box; Cable +500mm; PE Front</t>
  </si>
  <si>
    <t>PE125; CW 2000 x CH 3150; Drive Left Motor 0.75 R10/1;  Gal Curtain Red 356; Detect PB Box PE Front; Cable +1m</t>
  </si>
  <si>
    <t>PE125; CW 2425 x CH 3800; Drive Left Motor 0.75 R10/1;  Gal Curtain Blue 543; PB Box; Cable +1m</t>
  </si>
  <si>
    <t>PE100 (Door 7); CW 2500 x CH 4125(L) - 4142(R); Drive Right Motor 1.5kW R15/1;  PC Surfmist Curtain Blue 543; Detect RC MC 16CH PB Leg Back; PE Front?</t>
  </si>
  <si>
    <t>PE125; CW 3450 x CH 4500; Drive Right Motor 0.75 R15/1;  Gal Curtain Blue 543; Detect RC MC1509 PB Box; Cable +1m</t>
  </si>
  <si>
    <t>0828 A</t>
  </si>
  <si>
    <t>0828 B</t>
  </si>
  <si>
    <t>0828 C</t>
  </si>
  <si>
    <t>SP150; 4000 x CH 5150; Drive Left Motor 1.5kW R15/1;  Gal Curtain Blue 543; Detect PB Box; Cable +2m</t>
  </si>
  <si>
    <t>0828 D</t>
  </si>
  <si>
    <t>SP150; 4000 x CH 5150; Drive Right Motor 1.5kW R15/1;  Gal Curtain Blue 543; Detect PB Box; Cable +2m</t>
  </si>
  <si>
    <t>0827 A</t>
  </si>
  <si>
    <t>0827 B</t>
  </si>
  <si>
    <t>PE125; CW 2050 x CH 2600; Drive Right Motor 0.75 10/1;  Gal Curtain Orange 244; Detect RC MC PB Box; SE Soft Cable + 0.5m; PE Front (LK PLC)</t>
  </si>
  <si>
    <t>PE125; CW 2500 x CH 3100; Drive Right Motor 0.75 10/1;  Gal Curtain Orange 244; Detect RC MC PB Box; SE Soft Cable + 0.5m; PE Front (LK PLC)</t>
  </si>
  <si>
    <t>0822 B</t>
  </si>
  <si>
    <t>0822 A</t>
  </si>
  <si>
    <t>FR125 CW 2500 x CH 4000; Drive Right Motor 1.5kW R15/1;  Gal Curtain Blue Ferari 2x Insulation; Detect PB Box; Cable +1m</t>
  </si>
  <si>
    <t>PE125; CW 2600 x CH 2500; Drive Left Motor 0.75 R10/1;  Gal Curtain Blue 543; Detect PB MLeg Front (No View Part)</t>
  </si>
  <si>
    <t>PE125; CW 2300 x CH 3200; Drive RHD Motor 0.75 R10/1;  Gal Curtain Red 356; PE Back; Detect RC MCT PB Box; Cable +1m; Note: 4x Windows</t>
  </si>
  <si>
    <t>Boiler Coolroom Control Box 0.75 kW VSD</t>
  </si>
  <si>
    <t>Poultry &amp; More Cold Storage</t>
  </si>
  <si>
    <t>PE125; CW 3000 x CH 3150; Drive Left Motor 0.75 VSD R10/1;  Gal Curtain Blue 543; PE Front; Detect TBA PB Box; Cable +1m</t>
  </si>
  <si>
    <t>PE125; CW 3000 x CH 3150; Drive Right Motor 0.75 VSD R10/1;  Gal Curtain Blue 543; PE Front; Detect TBA PB Box; Cable +1m</t>
  </si>
  <si>
    <t>0821 A</t>
  </si>
  <si>
    <t>PE125 AF; CW 3500 x CH 4200; Drive Left; Motor 0.75kw R10/1 Gal Curtain Blue 543 Detect R/L MC TR16 PB Box; Cable +1m (new PLC) PE Back</t>
  </si>
  <si>
    <t>PE125 AF; CW 3500 x CH 4200; Drive Right; Motor 0.75kw R10/1 Gal Curtain Blue 543 Detect R/L MC TR16 PB Box; Cable +1m (new PLC) PE Back</t>
  </si>
  <si>
    <t>PE125 AF; CW 3000 x CH 4200; Drive Right; Motor 0.75kw R10/1 Gal Curtain Blue 543 Detect R/L MC TR16 PB Box; Cable +1m (new PLC) PE Back, C200 Pulin top 600mm from FL Curtain Sides 600mm</t>
  </si>
  <si>
    <t>0821 B</t>
  </si>
  <si>
    <t>0821 C</t>
  </si>
  <si>
    <t>PE125; CW 3000 x CH 3750; Drive Left Motor 0.75 R10/1;  Gal Curtain Blue 543; Detect PB Box; PE Front; Cable + 1500</t>
  </si>
  <si>
    <t>PE125 S/S; CW 1930 x CH 2700; XT Legs 2280;  S/S Curtain Blue 543; Detect PB Box; Cable + 1m</t>
  </si>
  <si>
    <t>0818 A</t>
  </si>
  <si>
    <t>0818 B</t>
  </si>
  <si>
    <t>PE100 Drive-L CW 4060 x CH 4872 - 4833 ML</t>
  </si>
  <si>
    <t>0818 C</t>
  </si>
  <si>
    <t>PE100 Drive-R CW 4027 x CH 4892 - 4872 NNL</t>
  </si>
  <si>
    <t>0818 D</t>
  </si>
  <si>
    <t>PE100 Drive-R CW 4027 x CH 4192 - 4189 ML</t>
  </si>
  <si>
    <t>0818 E</t>
  </si>
  <si>
    <t>PE100 Drive-L CW 4100 x CH 4150</t>
  </si>
  <si>
    <t>PE125; CW 3950 x CH 3800; Drive Left Motor 0.75 R10/1;  Frame P/C Surfmist Curtain Red 356; PE Back Soft Edge; Detect PB Box; Cable + 1m</t>
  </si>
  <si>
    <t>PE125; CW 3500 x CH 3700; Drive Left Motor 0.75 10/1;  PC Surfmist Curtain Blue 543; Detect RC MC PB Box; Cable + 1m</t>
  </si>
  <si>
    <t>CAD FR150; CW 5650 x CH 4450; Drive Left Motor 2.2kW R15/1;  Gal Curtain Blue Ferrari 2x 8mm Insul; Detect RC MC PB Back; Plug &amp; Play; Cable +1m</t>
  </si>
  <si>
    <t>2021.03.09</t>
  </si>
  <si>
    <t>PE125; CW 3800 x CH 4150; Drive Left Motor 1.5 R15/1;  Gal Curtain Blue 543; Detect RC MC Code PB Front; S/Edge Soft PE Front; Cable + 2m; Stiffeners + 2FG + 1 Ø25 Steel</t>
  </si>
  <si>
    <t>PE125; CW 3000 x CH 3150; Drive Left (Right?) Motor 0.75 R15/1;  Gal Curtain Orange 244; S/E Soft P/E Back Detect?; Cable + 1m</t>
  </si>
  <si>
    <t>0810 A</t>
  </si>
  <si>
    <t>0810 B</t>
  </si>
  <si>
    <t>PE125;  CW 4000 x CH 3600  Gal  Curtain Blue 543; Drive Left Motor 0.75kW R15/1  Detect PB Back; Cable + 1m</t>
  </si>
  <si>
    <t>PE125;  CW 4000 x CH 4500; Gal Curtain Blue 543; Drive Left Motor 1.5kW R15/1 Detect PB Back; Cable + 1m</t>
  </si>
  <si>
    <t>0810 C</t>
  </si>
  <si>
    <t>PE125;  CW 4000 x CH 3600  Gal  Curtain Blue 543; Drive Right Motor 0.75kW R15/1  Detect PB Back; Cable + 1m</t>
  </si>
  <si>
    <t>0810 D</t>
  </si>
  <si>
    <t>PE125;  CW 4000 x CH 4500  Gal  Curtain Blue 543; Drive Left Motor 1.5kW R15/1  Detect PB Back; Cable + 1m</t>
  </si>
  <si>
    <t>0810 E</t>
  </si>
  <si>
    <t>PE125;  CW 4570 x CH 4100  Gal  Curtain Blue 543; Drive Left Motor 1.5kW R15/1  Detect PB Back; Cable + 1m</t>
  </si>
  <si>
    <t>PE125; CW 2800 x CH 3000; Drive Right Motor 0.75;  Gal Curtain Blue 543; Detect ? PB Leg Back; Cable + 1m</t>
  </si>
  <si>
    <t>PE125; CW 3600 x CH 4130; Drive Right Motor 0.75kW;  Gal Curtain Blue 543; Detect RC Multicode PB Front; Cable + 1000; (Reverse Hook &amp; Loop) on Down Direction</t>
  </si>
  <si>
    <t>PE125; CW 3000 x CH 4500; Drive LHS Motor 0.75 15/1;  Gal Curtain Blue 543; Detect PB Back; PE Back; Cable + 1m</t>
  </si>
  <si>
    <t>PE125; CW 3040 x CH 3000 + 3S LHS; Drive RHS Motor 0.75 R10/1;  Gal Curtain Blue 543; Detect PB Box; PE Back Cable Std</t>
  </si>
  <si>
    <t>FR (old) Replacement Curtain PJ0473; Blue 543 W 2850</t>
  </si>
  <si>
    <t>PE125; CW 1800 x CH 3150; Drive Left Motor 0.75 R10/1;  Gal Curtain Blue 543; Detect PB Back; Cable + 1m</t>
  </si>
  <si>
    <t>PE125; CW 2700 x CH 2300; Drive Right Motor 0.75 10/1;  Gal Curtain Red 356; Detect PB</t>
  </si>
  <si>
    <t>PE125; CW 3620 x CH 3700; Drive Left Motor 0.75 15/1;  Gal Curtain Blue 543 incl. S/E; Detect PB Back; Cable + 2.5m</t>
  </si>
  <si>
    <t>PE125; CW 3200 x CH 5000; Drive Left Motor 1.5kW 15/1;  PC Surfmist Curtain Blue 543; Detect PB Box; Photocell Back; Cable + 0.5m</t>
  </si>
  <si>
    <t>PE125; CW 3300 x CH 3150; Drive Left Motor 0.75 R10/1;  Gal Curtain Blue 543; Detect PB Back; PE Front Cable +1m</t>
  </si>
  <si>
    <t>0797 A</t>
  </si>
  <si>
    <t>PE125; CW 2400 x CH 3150; Drive Right Motor 0.75 R10/1;  Gal Curtain Blue 543; Detect PB Back; PE Front Cable +1m</t>
  </si>
  <si>
    <t>0797 C</t>
  </si>
  <si>
    <t>0797 B</t>
  </si>
  <si>
    <t>PE125; CW 1800 x CH 3150; Drive Right Motor 0.75 R10/1;  Gal Curtain Blue 543; Detect PB Back; PE Front Cable +1m</t>
  </si>
  <si>
    <t>0796 A</t>
  </si>
  <si>
    <t>SP150; CW 5000 x CH 5000; Drive Right Motor 1.5 R15/1;  Gal Curtain Blue 543; Detect PB Leg Back; Cable + 1m; Motor Cover</t>
  </si>
  <si>
    <t>0796 B</t>
  </si>
  <si>
    <t>SP150; CW 3000 x CH 4800; Drive Left Motor 0.75 R15/1;  Gal Curtain Blue 543; Detect PB Leg Back</t>
  </si>
  <si>
    <t>CAD FR150; CW 5650 x CH 4450; Drive Left Motor 2.2kW 15/1;  Gal Curtain Blue Ferrari 2x 8mm insul; Detect RC MC PB Back; Plug &amp; Play; Cable + 1m</t>
  </si>
  <si>
    <t>PE125; CW 2750 x CH 4100; Drive Left Motor 0.75 15/1;  Gal Curtain Blue 543; Detect PB Back; Cable +1m</t>
  </si>
  <si>
    <t>PE125; CW 2500 x CH 3150; Drive RHS Motor 0.75 10/1;  Gal Curtain Blue 543; Detect RC Multicode PB Back; Cable + 1m</t>
  </si>
  <si>
    <t>New Curtain (PJ0312 Blue Scope) CW 4550 x CH 6400; Curtain W 4800 x H 6280</t>
  </si>
  <si>
    <t>PE125; CW 3100 x CH 3150; Drive LHS Motor 0.75 10/1; PB Back; Cable + 1m</t>
  </si>
  <si>
    <t>PE125; CW 3000 x CH 3300; Drive LHS Motor 0.75 R10/1;  PC Surfmist Curtain Blue 543; PB Box; Cable + 0.5m</t>
  </si>
  <si>
    <t>SP150; CW 4200 x CH 4650; Drive Right Motor 1.5kW 15/1;  Gal Curtain Blue 543; PB Front; Cable + 1.5m</t>
  </si>
  <si>
    <t>0788 A</t>
  </si>
  <si>
    <t>0788 B</t>
  </si>
  <si>
    <t>PE125; CW 6000 x CH 4000; Drive Left Motor 1.5kw VSD R15/1;  Gal Curtain Yellow; Detect I Loop PB Back</t>
  </si>
  <si>
    <t>PE125; CW 3700 x CH 4200; Drive Left Motor 0.75kw VSD R15/1;  Gal Curtain Yellow; Detect I Loop PB Back</t>
  </si>
  <si>
    <t>SP150 (Internal); CW 4750 x CH 4550; Drive Left Motor 1.5kW R15/1;  PC Surfmist Curtain Green 634; PB Back Cable + 1.5m; Motor Cover</t>
  </si>
  <si>
    <t>0787 A</t>
  </si>
  <si>
    <t>0787 B</t>
  </si>
  <si>
    <t>SP125; CW 1850 x CH 2300; Drive Left Motor 0.75kW R10/1;  PC Surfmist Curtain Grey 729; PE Back PB Back Cable + 1.0m</t>
  </si>
  <si>
    <t>0786 A</t>
  </si>
  <si>
    <t>0786 B</t>
  </si>
  <si>
    <t>CAD PE200;  CW 7000 x CH 5000; Drive Left Motor 2.2kw 3ø VSD 3kw Gal Curtain Red 356; Detect PB Back; PE Back Cables + 1.5m</t>
  </si>
  <si>
    <t>CAD PE200;  CW 6700 x CH 5000; Drive Right Motor 2.2kw 3ø VSD 3kw Gal Curtain Red 356; Detect PB Back; PE Back Cables + 1.5m</t>
  </si>
  <si>
    <t>PE100 Reloc (RL); CW 2400 x CH 3100; Drive Right Motor 0.75 10/1;  Gal Curtain Blue 543; Detect TBA PB Box; PE Front Cable + 1m</t>
  </si>
  <si>
    <t>2020.02.03</t>
  </si>
  <si>
    <t>PE125; CW 2000 x CH 2900; Drive Left Motor 0.75 R10/1;  PC Surfmist Curtain Grey 729; Detect PB in Box; PE Back - Stiffeners in All Pockets; Cable + 500mm</t>
  </si>
  <si>
    <t>0780 A</t>
  </si>
  <si>
    <t>0780 B</t>
  </si>
  <si>
    <t>PE125; CW 2300 x CH 2900; Drive Right Motor 0.75 R10/1;  PC Surfmist Curtain Grey 729; Detect PB in Box; PE Back - Stiffeners in All Pockets; Cable + 500mm</t>
  </si>
  <si>
    <t>0777 A</t>
  </si>
  <si>
    <t>0777 B</t>
  </si>
  <si>
    <t>CUR</t>
  </si>
  <si>
    <t>PE125, CW 3700 x CH 3750, Drive Right, Motor 0.75 R10/1,  GAL, Curtain Blue 543, PE Front, Cable 1m</t>
  </si>
  <si>
    <t>PE125, CW 2500 x CH 3750, Drive Left, Motor 0.75 R10/1,  GAL, Curtain Blue 543, PE Front, Cable 1m</t>
  </si>
  <si>
    <t>REP</t>
  </si>
  <si>
    <t>ETC</t>
  </si>
  <si>
    <t>PE125; CW 3600 x CH 4320; Drive Left Motor 0.75 R10/1;  Gal Curtain Blue 543; Detect RC433 PB Front; S/E Soft; Cable + 1m</t>
  </si>
  <si>
    <t>PE125; CW 4000 x CH 4600; Drive Right Motor 1.5kW R15/1;  PC Surfmist Curtain Orange 244; Detect TBA PB Back; S/E Soft; Cable + 1m</t>
  </si>
  <si>
    <t>PE125; CW 2400 x CH 3850; Drive Right Motor 0.75 R10/1;  Gal Curtain Orange 244; RC Multicode 16CH TR X1; Cable + 1m</t>
  </si>
  <si>
    <t>PE125; CW 1800 x CH 2400; Drive Right Motor 0.75 R10/1;  Gal Curtain Grey 729; Detect TBA PB Front; Cable + 1m</t>
  </si>
  <si>
    <t>PE125; CW 2800 x CH 3650;Drive Right Motor 0.75 R10/1;  Gal Curtain Blue 543; Detect TBA PB Front; Cable + 1m; S/E Pneumatic PE Back</t>
  </si>
  <si>
    <t>PE125; CW 2450 x CH 3200; Drive Left Motor 0.75 R10/1;  Gal Curtain Blue 543; Detect RC433 PB Front; Cable + 1m</t>
  </si>
  <si>
    <t>PE125; CW 2000 x CH 2700;  Drive Left Motor 0.75 R10/1;  Gal Curtain Blue 543; Detect RC433 PB Leg Front; Cable + 500mm</t>
  </si>
  <si>
    <t>PE125; CW 2450 x CH 3200; Drive Left Motor 0.75kW 10/1;  Gal Curtain Blue 543; Detect RC433 2xTR PB Leg Front; Cable + 1m</t>
  </si>
  <si>
    <t>PE125; CW 2750 x CH 4300; Drive Right Motor 0.75 R10/1;  Gal Curtain Orange 244; Detect RC433 1x8CH PB Leg Back; Cable + 1m; S/E Pneumatic</t>
  </si>
  <si>
    <t>PE125; CW 3000 x CH 3650; Drive Left Motor 0.75 10/1;  Gal Curtain Blue 543; Detect PB Leg - Front; Cable + 10m</t>
  </si>
  <si>
    <t>FR125; CW 2600 x CH 4650; Drive Left Motor 1.5kW 15/1;  Gal Curtain Blue 543; Detect RC433 PB Back ML; Cable + 2.5m</t>
  </si>
  <si>
    <t>PE125; CW 3000 x CH 4100; Drive Right Motor 0.75 10/1;  Gal Curtain Grey 729; Detect RC433 PB MLBack; Cable + 1m</t>
  </si>
  <si>
    <t>PE125; CW 3000 x CH 3150; Drive Left Motor 0.75 R10/1;  Gal Curtain Yellow S/E RED; Detect RC433 + 3TR; PB MLeg; Cable + 0.5m</t>
  </si>
  <si>
    <t>SP200; CW 6350 x CH 4200; Detect RC433; Motor 2.2kW Drive Left; Cable + 1m; Motor Cover</t>
  </si>
  <si>
    <t>PE125; CW 4000 x CH 3750; Drive Left Motor 0.75;  PC SurfMist Curtain Red 356; Detect I Loop PB Leg Front; Cable + 500; P/E Pneumatic</t>
  </si>
  <si>
    <t>PE125; CW 2700 x CH 3700; Drive Left Motor 0.75 10/1;  Gal Curtain Blue 543; Detect RC433 1x 8TR; PB Back</t>
  </si>
  <si>
    <t>SP150;  CW 4200 x CH 5000; Gal Curtain Red 356; Drive Right Motor 1.5kW 15/1; Detect I Loop; Telco Light Walkways</t>
  </si>
  <si>
    <t>PE125;  CW 2750 x CH 3000; Gal Curtain Orange 244; Drive Left; Detect RC433</t>
  </si>
  <si>
    <t>FR125;  CW 2350 x CH 3500; Gal Curtain Blue 543; Detect I Loop PB Leg Back; Drive Right Motor 1.5kW 15/1</t>
  </si>
  <si>
    <t>PE125; CW 3000 x CH 4100; Drive Right Motor 15/1;  Gal Curtain Blue 543; Detect I Loop PB Front; Cable + 0.5m</t>
  </si>
  <si>
    <t>SP150; CW 4250 x CH 4250; Gal Curtain Orange; Drive Right Motor 1.5kW 15/1; Detect RC433MHz; Cable + 500mm PP</t>
  </si>
  <si>
    <t>SP150;  CW 3000 x CH 4000; Gal Curtain Red 356; Drive Right Motor 1.5kW VSD 15/1; Detect RC433 MultiCode</t>
  </si>
  <si>
    <t>PE125;  CW 3000 x CH 4350; PC SurfMist Curtain Blue 543; Drive RHD Motor 0.75kW; Detect TBA PB leg back; Photocell back</t>
  </si>
  <si>
    <t>FR125; CW 2500 x CH 3150; Drive Left Motor 0.75kW;  Gal Curtain Blue 543 (2L); Detect RC433 PB leg back; Heaters &amp; Controllers; Cable +500</t>
  </si>
  <si>
    <t>SP150; CW 4850 x CH 4400; Drive Right Motor 1.5kW;  Gal Curtain Blue 543; Detect I Loop PB leg back; Cable +3500mm; PE back ?</t>
  </si>
  <si>
    <t>CB</t>
  </si>
  <si>
    <t>PE125 (0611) TBA</t>
  </si>
  <si>
    <t>Curtain Repair 0568 - C 224. CAD 50x50 - Lower Half</t>
  </si>
  <si>
    <t>FR125, CW 4200 x CH 4200 (EXH 5600), Drive Right, Motor 1.5 KW R15/1,  GAL, Curtain 18mm insul. Ferrari Blue 543, Banner PE, RC MTC915 4CHTR, Cable 1m</t>
  </si>
  <si>
    <t>Frame</t>
  </si>
  <si>
    <t>PE125 CW 2400 x CH 2700. Drive Left motor 0.75 R10/1.  PC Surfmisnt Curtain Grey 729. Detect PB Box Cable +1.5m. PE Front</t>
  </si>
  <si>
    <t>PE125 CW 2400 x CH 3700. Drive Left Motor 0.75 R10/1. Control PLC LK VSD DELTA.  Surfmist Curtain Blue 543. Detect PB Box Cable +1m</t>
  </si>
  <si>
    <t>PE125 CW 2100 x CH 3700. Drive Left Motor 0.75 R10/1. Control PLC LK VSD DELTA.  Surfmist Curtain Blue 543. Detect PB Box Cable +1m</t>
  </si>
  <si>
    <t>PE125 CW 1200 x CH 2700. Drive Left Motor 0.75 R10/1. Control PLC LK VSD DELTA.  Surfmist Curtain Blue 543. Detect PB Box Cable +1m</t>
  </si>
  <si>
    <t>(0153 Repair) New Curtain CAD 40X44</t>
  </si>
  <si>
    <t>S/E #</t>
  </si>
  <si>
    <t>*</t>
  </si>
  <si>
    <t>3ø VSD</t>
  </si>
  <si>
    <t>MK3 VSD 3KW</t>
  </si>
  <si>
    <t>CW</t>
  </si>
  <si>
    <t>CH</t>
  </si>
  <si>
    <t>PE125, CW 1500 x CH 2600, Drive Right, Motor 0.75 R10/1,  GAL, Curtain Blue 543, S/E Y, PE Front x2 NPN, PB x2 Box, S/S Control Box, Cable 2m, Exit Left</t>
  </si>
  <si>
    <t>PE125, CW 2200 x CH 2900, Drive Left, Motor 0.75 R10/1,  GAL, Curtain Blue 543, PE Front, PB Box, Drive Left Cainbox, RHS Cable +2.5m</t>
  </si>
  <si>
    <t>RDR</t>
  </si>
  <si>
    <t>PB(2)</t>
  </si>
  <si>
    <t>PEC</t>
  </si>
  <si>
    <t>B</t>
  </si>
  <si>
    <t>F</t>
  </si>
  <si>
    <t>R/C</t>
  </si>
  <si>
    <t>I/L</t>
  </si>
  <si>
    <t>BL 543</t>
  </si>
  <si>
    <t>YL</t>
  </si>
  <si>
    <t>GN 623</t>
  </si>
  <si>
    <t>GY 729</t>
  </si>
  <si>
    <t>BL 543 (F)</t>
  </si>
  <si>
    <t>GY 705</t>
  </si>
  <si>
    <t>GN 679</t>
  </si>
  <si>
    <t>RD 543</t>
  </si>
  <si>
    <t>GY 724</t>
  </si>
  <si>
    <t>RD 356</t>
  </si>
  <si>
    <t>OR</t>
  </si>
  <si>
    <t>WT 907</t>
  </si>
  <si>
    <t>3ø VSD 3kw</t>
  </si>
  <si>
    <t>OR 244</t>
  </si>
  <si>
    <t>RD 433</t>
  </si>
  <si>
    <t>GN 634</t>
  </si>
  <si>
    <t>RD</t>
  </si>
  <si>
    <t>SP150, CW 4770 x CH 4400, Drive Right, Motor 1.5kw R15/1,  GAL, Curtain Red 543, PE Back Detect MD (Radar) PB Box, Control LK MS1.5, Cable 4m, 2x C15019 purlins 4.960</t>
  </si>
  <si>
    <t>PE150, CW 3600 x CH 3800, Drive Right, Motor 0.75 R10/1,  GAL, Curtain Blue 543, Safety Edge, PE Back Curly Cord, Detect RC MTC915, PB Box, Cable 1m</t>
  </si>
  <si>
    <t>OUT</t>
  </si>
  <si>
    <t>PB (2)</t>
  </si>
  <si>
    <t>2X</t>
  </si>
  <si>
    <t>R/C (2)</t>
  </si>
  <si>
    <t>B (3)</t>
  </si>
  <si>
    <t>pneumatic</t>
  </si>
  <si>
    <t>soft</t>
  </si>
  <si>
    <t>0774 A</t>
  </si>
  <si>
    <t>0774 B</t>
  </si>
  <si>
    <t>0774 C</t>
  </si>
  <si>
    <t>SP150; CW 3590 x CH 4900; Drive Left  1.5 VSD 15/1;  Frame (Pale Eucalypt p/c) Curtain Red 356; Detect I Loop; S/E Soft Cable + 1m; PB Back</t>
  </si>
  <si>
    <t>PE125; CW 3000 x CH 3200; Drive ?  0.75 VSD 10/1;  Gal Curtain Red 356; Detect RC433 1x8CH TR + I Loop; S/E Soft Cable + 1m; PB Back</t>
  </si>
  <si>
    <t>PE125; CW 3500 x CH 3200; Drive Right  0.75 VSD 10/1;  Gal Curtain Red 356; Detect RC433 1x8CH TR + I Loop; S/E Soft Cable + 1m; PB Back</t>
  </si>
  <si>
    <t>PE125; CW 3500 x CH 3200; Drive Left  0.75 VSD 10/1;  Gal Curtain Red 356; Detect RC433 1x8CH TR + I Loop; S/E Soft Cable + 1m; PB Back</t>
  </si>
  <si>
    <t>SP150;  CW 3500 x CH 4050; PC Pale Eucalypt (Pole Green); Curtain Red 356 (35mm/CL); Drive Left Motor 1.5kW VSD 15/1; Detect Loop + RC433; Cable Plug &amp; Play + 1m; Motor Cover</t>
  </si>
  <si>
    <t>0773 A</t>
  </si>
  <si>
    <t>0773 B</t>
  </si>
  <si>
    <t>0773 C</t>
  </si>
  <si>
    <t>0773 D</t>
  </si>
  <si>
    <t xml:space="preserve">PE125; CW 4200 x CH 4550; Drive L Motor 1.5kW R15/1;  Gal Curtain Blue 543; PE BACK; SE SOFT; Detect PB Box; Cable + 1.0m; </t>
  </si>
  <si>
    <t>0772 A</t>
  </si>
  <si>
    <t>0772 B</t>
  </si>
  <si>
    <t>PE125; CW 4000 x CH 4600; Drive Left Motor 1.5kW R15/1;  PC Surfmist Curtain Orange 244; Detect TBA PB Back; S/E Soft; Cable + 1m</t>
  </si>
  <si>
    <t>0770 B</t>
  </si>
  <si>
    <t>0768 A</t>
  </si>
  <si>
    <t>0768 B</t>
  </si>
  <si>
    <t>PE125; CW 2800 x CH 3750;Drive Right Motor 0.75 R10/1;  Gal Curtain Blue 543; Detect TBA PB Front; Cable + 1m; S/E Pneumatic PE Back</t>
  </si>
  <si>
    <t>0766 A</t>
  </si>
  <si>
    <t>0766 B</t>
  </si>
  <si>
    <t>0766 C</t>
  </si>
  <si>
    <t>0764 A</t>
  </si>
  <si>
    <t>0764 B</t>
  </si>
  <si>
    <t>0762 A</t>
  </si>
  <si>
    <t>0762 B</t>
  </si>
  <si>
    <t>0836 B</t>
  </si>
  <si>
    <t>0836 C</t>
  </si>
  <si>
    <t>2019.06.07</t>
  </si>
  <si>
    <t>0760 A</t>
  </si>
  <si>
    <t>0760 B</t>
  </si>
  <si>
    <t>PE125; CW 3400 x CH 3750; Drive R Motor 0.75 10/1;  Gal Curtain Blue 543; Detect PB in Box; Cable + 1m</t>
  </si>
  <si>
    <t>PE125; CW 3400 x CH 3750; Drive L Motor 0.75 10/1;  Gal Curtain Blue 543; Detect PB in Box; Cable + 1m</t>
  </si>
  <si>
    <t xml:space="preserve"> PE125; CW 2530 x CH 3000;Drive Left Motor 0.75 VSD 10/1;  Gal Curtain Grey 729; Detect PB NMLeg; Cable Entry NML + 3m</t>
  </si>
  <si>
    <t>0756 A</t>
  </si>
  <si>
    <t>0756 B</t>
  </si>
  <si>
    <t>PE125;  CW 4040 x CH 4200; Gal Drive Right; Curtain Red 356; Detect I Loop PB Leg Back; Cables + 1000; Cover Sheet Metal; Motor 1.5kW R 15/1; Cable + 1m</t>
  </si>
  <si>
    <t>PE125;  CW 4040 x CH 4200; Gal Drive Left; Curtain Red 356; Detect I Loop PB Leg Back; Cables + 1000; Cover Sheet Metal; Motor 1.5kW R 15/1; Cable + 1m</t>
  </si>
  <si>
    <t>0754 A</t>
  </si>
  <si>
    <t>PE125; CW 3000 x CH 3150;Drive Left R 10/1;  Gal Curtain Blue 543; Detect 3x RC433 PB Leg Front; Cable + 1m + 1 Pocket</t>
  </si>
  <si>
    <t>PE125; CW 3000 x CH 3150;Drive Right 10/1;  Gal Curtain Blue 543; Detect 3x RC433 PB Leg Front; Cable + 1m + 1 Pocket</t>
  </si>
  <si>
    <t>R/C (3)</t>
  </si>
  <si>
    <t>SP150; CW 5000 x CH 5150;Drive Left 15/1;  Gal Curtain Blue 543; Detect PB Leg Front; Cable + 1m + motor cover</t>
  </si>
  <si>
    <t>0753 A</t>
  </si>
  <si>
    <t>PE125; CW 3000 x CH 4150; Drive Left  Motor 0.75kW;  Gal Curtain Grey 729; Detect RC433; PE Back; Cable +1m</t>
  </si>
  <si>
    <t>0753 B</t>
  </si>
  <si>
    <t>PE125; CW 3000 x CH 4150; Drive Right  Motor 0.75kW;  Gal Curtain Grey 729; Detect RC433; PE Back; Cable +1m</t>
  </si>
  <si>
    <t>XH</t>
  </si>
  <si>
    <t>XW</t>
  </si>
  <si>
    <t>X2</t>
  </si>
  <si>
    <t>SP150; CW 4120 x CH 4000; Drive Left Motor 1.5kW 15/1;  Gal Curtain Blue 543; PE x2 200 x 600mm; Detect RC433 PB Back; Cable + 1m</t>
  </si>
  <si>
    <t>PE100; CW 2300 x CH 2900; Drive Right Motor 0.75 VSD;  Gal Curtain Blue 543; Detect  PB Back; S/E Soft; Cable ?</t>
  </si>
  <si>
    <t>PE125;  CW 1600 x CH 2900; Drive Left; Motor 0.75 10/1; PC SurfMist Curtain Grey 729; Detect NBE 2xPB in BOX; Cable +0.5m</t>
  </si>
  <si>
    <t>0743 A</t>
  </si>
  <si>
    <t>0743 B</t>
  </si>
  <si>
    <t>PE125;  CW 2000 x CH 2900; Drive Left; Motor 0.75 10/1; PC SurfMist Curtain Grey 729; Cable +2.5m</t>
  </si>
  <si>
    <t>0743 C</t>
  </si>
  <si>
    <t>PE125;  CW 2000 x CH 2900; Drive Right; Motor 0.75 10/1; PC SurfMist Curtain Grey 729; Cable +0.5m</t>
  </si>
  <si>
    <t>0743 D</t>
  </si>
  <si>
    <t>PE125;  CW 2000 x CH 2900; Drive Right; Motor 0.75 10/1; PC SurfMist Curtain Grey 729; Cable +1.25m</t>
  </si>
  <si>
    <t>0743 E</t>
  </si>
  <si>
    <t>PE125;  CW 2000 x CH 2900; Drive Left; Motor 0.75 10/1; PC SurfMist Curtain Grey 729; Cable +0.5m</t>
  </si>
  <si>
    <t>0743 F</t>
  </si>
  <si>
    <t xml:space="preserve">PE125;  CW 2200 x CH 3150; Drive Left; Motor 0.75 10/1; PC SurfMist Curtain Red 356; </t>
  </si>
  <si>
    <t>Repair Quote for Vermont</t>
  </si>
  <si>
    <t>Doortec</t>
  </si>
  <si>
    <t>ASBA Curtain</t>
  </si>
  <si>
    <t>DMF CW 3490 x CH 3000</t>
  </si>
  <si>
    <t>OR 224</t>
  </si>
  <si>
    <t>0737 A</t>
  </si>
  <si>
    <t>0737 B</t>
  </si>
  <si>
    <t>0737 C</t>
  </si>
  <si>
    <t>SP150;  CW 3600 x CH 5050; Gal Curtain Grey 729; Drive Left  Motor 1.5kW 15/1; Detect NBE PB Back; Cable + 500mm</t>
  </si>
  <si>
    <t>SP150;  CW 3600 x CH 5050; Gal Curtain Grey 729; Drive Right  Motor 1.5kW 15/1; Detect NBE PB Back; Cable + 500mm</t>
  </si>
  <si>
    <t>0737 E</t>
  </si>
  <si>
    <t>0737 F</t>
  </si>
  <si>
    <t>0737 D</t>
  </si>
  <si>
    <t>PE125;  CW 1500 x CH 2150; Gal Curtain Grey 729; Drive Right  Motor 0.75kW 10/1; DetectRC433 PB Back; Cable + 6500mm</t>
  </si>
  <si>
    <t>PE125;  CW 1800 x CH 3850; Gal Curtain Grey 729; Drive ?  Motor 0.75kW 10/1; DetectRC433 PB Back; Cable + 3000mm</t>
  </si>
  <si>
    <t>PE125;  CW 1500 x CH 2150; Gal Curtain Grey 729; Drive Left  Motor 0.75kW 10/1; DetectRC433 PB Back; Cable + 5000mm</t>
  </si>
  <si>
    <t>PE125;  CW 2400 x CH 3850; Gal Curtain Grey 729; Drive Left Motor 0.75kW 10/1; DetectRC433 PB Back; Cable + 1000mm</t>
  </si>
  <si>
    <t>PE125;  CW 3000 x CH 3850; Gal Curtain Grey 729; Drive Right  Motor 0.75kW 10/1; DetectRC433 PB Back; Cable + 1500mm</t>
  </si>
  <si>
    <t>P/C (Pale Eucalypt)</t>
  </si>
  <si>
    <t>PE125;  CW 2550 x CH 3200 (XH 3600); Gal Curtain Blue 543; Drive Right 0.175 VSD 10/1; Detect Loop</t>
  </si>
  <si>
    <t>WCBF - Bottle Shed (0133-9)</t>
  </si>
  <si>
    <t>0916 (0878A)</t>
  </si>
  <si>
    <t>0882 (0349)</t>
  </si>
  <si>
    <t>0868 (0684)</t>
  </si>
  <si>
    <t>0859 (0571)</t>
  </si>
  <si>
    <t>0838 (0825)</t>
  </si>
  <si>
    <t>0825 (0770)</t>
  </si>
  <si>
    <t>0813 (0795)</t>
  </si>
  <si>
    <t>0803 (0473)</t>
  </si>
  <si>
    <t>0770 A (0825)</t>
  </si>
  <si>
    <t>0749 (0153)</t>
  </si>
  <si>
    <t>0727 (0611)</t>
  </si>
  <si>
    <t>0735 (0164)</t>
  </si>
  <si>
    <t>P/C (surfmist)</t>
  </si>
  <si>
    <t>Designer Coop Rooms</t>
  </si>
  <si>
    <t>PE125 CW 4500 x CH 4650; Drive Left Motor 1.5 R15/1;  PC SurfMist Curtain Blue 543; Detect I Loop PB leg back; Plug &amp; Play</t>
  </si>
  <si>
    <t>0725 A</t>
  </si>
  <si>
    <t>0725 B</t>
  </si>
  <si>
    <t>FR125; XW 2750 x CH 3100; Drive Left Motor 0.75kW;  Gal Curtain Blue 543; Detect ? PB leg back; Heaters &amp; Controllers; Cable Entry 2300 from GL</t>
  </si>
  <si>
    <t>PE125 EXT CW 3400 x CW 2280
Drive Right Motor 0.75 VSD
 Gal Curtain Orange 224
Detect PB Leg Front</t>
  </si>
  <si>
    <t>0720 A</t>
  </si>
  <si>
    <t>TBA</t>
  </si>
  <si>
    <t>0720 B</t>
  </si>
  <si>
    <t>PE125 CW 1500 x CH 2300
Drive Left Motor 0.75 VSD
 Gal Curtain Orange 224
Detect RC 933 S/E Pneumatic</t>
  </si>
  <si>
    <t>WCBF - Butter Dry Goods Store</t>
  </si>
  <si>
    <t>PE100 CW 1600 x CH 2400
Drive Left Motor 0.75 VSD
 Gal Curtain Blue 543
Detect ? PB Legs BK
Cable +1m</t>
  </si>
  <si>
    <t>PE125 CW 3350 x CH 3780
 Gal Curtain Red 356
Drive Left Motor 0.75 VSD
Detect RC433 MH3 PB Legs
Cable +1m</t>
  </si>
  <si>
    <t>SP150 XTW 4960 x CH 5500
 Gal Curtain Yellow
Drive Right Motor 1.5kW VSD 15/1
Detect I Loops PB Front Leg
Cable +1m</t>
  </si>
  <si>
    <t>PE125 CW 3000 x CH 2500
 Gal Curtain Red 356
Drive Right Motor 0.75 VSD
Detect RC 433
PB Upright BK Cable + 0.5m</t>
  </si>
  <si>
    <t>RD 326</t>
  </si>
  <si>
    <t>1.1KW VSD</t>
  </si>
  <si>
    <t>0705 A</t>
  </si>
  <si>
    <t>0705 B</t>
  </si>
  <si>
    <t>0704 A</t>
  </si>
  <si>
    <t>0704 B</t>
  </si>
  <si>
    <t>0699 A</t>
  </si>
  <si>
    <t>PE125 CW 2500 x CH 3200 (Outside Legs Max)
Drive Right
Motor 0.75 kW VSD
Detect TBA PB Legs Front
Gal Colour Blue 543
S/E - Soft Cable +1m</t>
  </si>
  <si>
    <t>PE125 CW 2500 x CH 3200 (Outside Legs Max)
Drive Left
Motor 0.75 kW VSD
Detect TBA PB Legs Front
Gal Colour Blue 543
S/E - Soft Cable +1m</t>
  </si>
  <si>
    <t>PE125 CW 3000 x CH 3200
Drive Right
PB Leg Back
As Above</t>
  </si>
  <si>
    <t>PE125 CW 3000 x CH 3200
Drive Left
PB Leg Back
As Above</t>
  </si>
  <si>
    <t>0699 B</t>
  </si>
  <si>
    <t>0699 C</t>
  </si>
  <si>
    <t>0699 D</t>
  </si>
  <si>
    <t>0698 A</t>
  </si>
  <si>
    <t>2017.07.10</t>
  </si>
  <si>
    <t>0698 B</t>
  </si>
  <si>
    <t>PE125 CW 3600 x CH 3800
Gal Curtain Orange 244
Drive Right, Motor 0.75 VSD
Detect 433MH3
S/E Pneumatic C/C Front
PB Leg Back
Cable +1m</t>
  </si>
  <si>
    <t>PE125 CW 2850 x CH 3800
Gal Curtain Orange 244
Drive Left, Motor 0.75 VSD
Detect 433MH3
S/E Pneumatic C/C Front
PB Leg Back
Cable +1m</t>
  </si>
  <si>
    <t>0697 (0473)</t>
  </si>
  <si>
    <t>0696 A</t>
  </si>
  <si>
    <t>0696 B</t>
  </si>
  <si>
    <t>SP150 CW 5500 x CH 4000
Gal Curtain Blue 543
Motor 1.5kW VSD Drive Right
Detec 433 MH3 S/E Soft
PB Leg BK PE Front
Cable + 1m</t>
  </si>
  <si>
    <t>PE125 CW 3600 x CH 3000
Gal Curtain Blue 543
Motor 0.75kW VSD Drive Left
Detec 433 MH3  PB Leg BK 
Cable + 1m</t>
  </si>
  <si>
    <t>0694 (0684)</t>
  </si>
  <si>
    <t>PE125 CW 2050 x CH 2700
Gal Curtain Orange 244
Motor 0.75 VSD Drive Right
Detect Iloop S/E Soft Edge
2x PB 2x PE
Cable + 1m</t>
  </si>
  <si>
    <t>I/L (ext)</t>
  </si>
  <si>
    <t>0692 (0602)</t>
  </si>
  <si>
    <t>0691 A</t>
  </si>
  <si>
    <t>0691 B</t>
  </si>
  <si>
    <t>0690</t>
  </si>
  <si>
    <t>PE 125 CW2500 x CH3200</t>
  </si>
  <si>
    <t>0687 A</t>
  </si>
  <si>
    <t>0687 B</t>
  </si>
  <si>
    <t>FR 125 CW 2400 x CH 3700
Gal Curtain Blue 543
Motor 1.5kW Drive Left
Detec RC 433 PB Legs BK</t>
  </si>
  <si>
    <t>FR 125 CW 2400 x CH 3700
Gal Curtain Blue 543
Motor 1.5kW Drive Right
Detec RC 433 PB Legs BK</t>
  </si>
  <si>
    <t>0687 C</t>
  </si>
  <si>
    <t>0687 D</t>
  </si>
  <si>
    <t>FR 125 CW 2400 x CH 3900
Gal Curtain Blue 543
Motor 0.75kW Drive Right
Detec RC 433 PB Legs BK</t>
  </si>
  <si>
    <t>FR 125 CW 2300 x CH 3200
Gal Curtain Blue 543
Motor 0.75kW Drive Left
Detec ?  PB Legs BK
Cable +1000</t>
  </si>
  <si>
    <t>0687 E</t>
  </si>
  <si>
    <t>FR 125 CW 3000 x CH 3200
Gal Curtain Blue 543
Motor 0.75kW Drive Left
Detec ?  PB Legs BK
Cable +1000</t>
  </si>
  <si>
    <t xml:space="preserve">WCBF - Harrington Weigh Plant Extension (12 PPH) </t>
  </si>
  <si>
    <t>PE100 CW 2000 x CH 2000
Motor 0.75kW Drive
Detec RC 433, 2x 4CH
S/E Pneumatic PB Leg Back</t>
  </si>
  <si>
    <t>PE100 CW 1600 x 2400
 Gal Curtain Blue 543
Motor 0.75 VSD Drive Right
Detec TBA + PB Legs Back
S/E Soft Edge</t>
  </si>
  <si>
    <t>0684 A</t>
  </si>
  <si>
    <t>0684 B</t>
  </si>
  <si>
    <t>FR 125 CW 2900 x CH 3175
Gal Curtain Orange 244 3 Shapes
16MM Insul Pellon (2x8)
Motor 0.75kW Drive Left
Detec RC 433 1x8 CHTR + Antennae
2 PB in Boxes
Cable +1m 2x PE</t>
  </si>
  <si>
    <t>FR 125 CW 2900 x CH 3175
Gal Curtain Orange 244 3 Shapes
16MM Insul Pellon (2x8)
Motor 0.75kW Drive Right
Detec RC 433 1x8 CHTR + Antennae
2 PB in Boxes
Cable +1m 2x PE</t>
  </si>
  <si>
    <t>2017.02.17</t>
  </si>
  <si>
    <t>0684 D (H)</t>
  </si>
  <si>
    <t>0684 E (I)</t>
  </si>
  <si>
    <t>PE125 CW 2150 x CH 3300
Gal Curtain Orange</t>
  </si>
  <si>
    <t>0684 F (J)</t>
  </si>
  <si>
    <t>0684 C (G)</t>
  </si>
  <si>
    <t>0684 G (N)</t>
  </si>
  <si>
    <t>0684 H (O)</t>
  </si>
  <si>
    <t>WH</t>
  </si>
  <si>
    <t>2016.11.22</t>
  </si>
  <si>
    <t>PE125 CW 2400 x CH 3550
 PC Surfmist Curtain Blue 543
Motor 0.75 VSD Drive Left
Detec PB Leg (Back)
S/E Soft Edge
Cable +0.5m</t>
  </si>
  <si>
    <t>0679 A</t>
  </si>
  <si>
    <t>0679 B</t>
  </si>
  <si>
    <t>PE125 CW 2400 x CH 3550
 PC Surfmist Curtain Blue 543
Motor 0.75 VSD Drive Right
Detec PB Leg (Back)
S/E Soft Edge
Cable +0.5m</t>
  </si>
  <si>
    <t>PE125 CW 3155 x CH 3650
Gal Curtain Blue 543
Motor 0.75 VSD Drive Left
Detec PB Leg Back
S/E Pneumatic C/C Front
Cable +5m Metal Top</t>
  </si>
  <si>
    <t>0677 A</t>
  </si>
  <si>
    <t>0677 B</t>
  </si>
  <si>
    <t>PE125 CW 2450 x CH 3300
Gal Curtain Blue 543
Motor 0.75 VSD Drive Left
Detec PB Leg Back
S/E Pneumatic C/C Front
Cable +0.5m Metal Top</t>
  </si>
  <si>
    <t>PE125 CW 2550 x CH 3700
 Gal Curtain Blue 543
Motor 0.75 VSD Drive Left
Detec ILoop PB Leg Back
Cable +1m</t>
  </si>
  <si>
    <t>PE125 3000 x 3000
Drive Left</t>
  </si>
  <si>
    <t>PE125 CW 2500 x 3000 CH Existing Control Box (Induction Loop)
Drive Motor 0.75kW</t>
  </si>
  <si>
    <t>PE125 CW 3150 x CH 3700
Gal Curtain Blue 543
Drive Right Motor 0.75kW VSD
Detect RC 433 PB Legs Back
Cable +1000</t>
  </si>
  <si>
    <t>PE125 CW 2850 x CH 3200
Gal Curtain Blue 543
Drive Left Motor 0.75kW VSD
Detect RC 433 PB Legs Back
Cable +1000</t>
  </si>
  <si>
    <t>PE125 CW 4000 x CH 4200
 PC Surfmist Curtain Orange 244
Drive Left Motor 0.75kW VSD
Detect PB Up and Down in Box
Cable +500</t>
  </si>
  <si>
    <t>PE125 CW 4000 x CH 4200
 PC Surfmist Curtain Orange 244
Drive Right Motor 0.75kW VSD
Detect PB Up and Down in Box
Cable +500</t>
  </si>
  <si>
    <t>PE125 CW 3000 x CH 3800
 Gal Curtain Blue 543
Drive Right Motor 0.75kW VSD
Detect PB Legs Back
S/E Pneumatic C/C 1 x Front 1x Back PE Back</t>
  </si>
  <si>
    <t>PE125 CW 2200 x CH 3000
Gal Curtain Red 356
Motor 0.75kW Drive Left
Detec RC 433 S/E Pneumatic
Airlock (Cua/Mop4)</t>
  </si>
  <si>
    <t>PE125 CW 2400 x XH 3550
Gal Curtain Blue 543
Motor 0.75 VSD Drive Right
Detec RC 433
S/E Pneumatic</t>
  </si>
  <si>
    <t>PE125 CW 3100 x CH 3700
Gal Curtain Blue 543
Motor 0.75 VSD Drive Right
Detec RC 433
S/E Pneumatic</t>
  </si>
  <si>
    <t>PE125 CW 3500 x CH 3500
 Gal Curtain Orange 229
Motor 0.75 VSD Drive Right
Detec RC 433 2x 4CH TR
Keypad + PB Leg Back
Cable + 1m</t>
  </si>
  <si>
    <t>PE 125 CW 2050 x CH 2800
Gal Drive Left Curtain Orange
Motor 0.75kW
Detec RC 433 1x8 CHTR
2 PB in Boxes
Cable +1m</t>
  </si>
  <si>
    <t>PE125 CW 3870 x CH 3000</t>
  </si>
  <si>
    <t>PE125 CW 3600 x CH 4200
Gal Curtain Green 679
Motor 1.5kW VSD Drive Left
S/E Pneumatic C/C Back
Detec RC 433 2TR
Cable +0.5m</t>
  </si>
  <si>
    <t>PE125 CW 4040 x CH 4150
 PC Surfmist Curtain Blue 543
Motor 1.5 VSD Drive Left
S/E Soft Edge
Detec RC 433 8CHTR x2
PB Leg Back (ALL Switches on Leg Steel/Top)
Drive Right</t>
  </si>
  <si>
    <t>PE125 CW 2400 x CH 3200
 Gal Curtain Blue 543
Motor 0.75 VSD Drive TBA
S/E Pneumatic C/C Back
Detec TBA PB Leg Back
S/Steel Control Box Cable +1m</t>
  </si>
  <si>
    <t>PE125 CW 4000 x CH 4300
 Gal Curtain White Yellow S/E
Motor 0.75 VSD Drive Right
S/E Pneumatic C/C Back
Detec RC 433 ME8 1x8 TR
Cable + 1m Top Sheet Metal</t>
  </si>
  <si>
    <t>PE125 CW 2400 x CH 3150
 Gal Curtain Red
Motor 0.75 VSD Drive Right
S/E Soft Edge
Detec 433 MH3 PB Leg Back
Top Cover Metal</t>
  </si>
  <si>
    <t>PE125 CW 3000 x CH 4200
 PC Surfmist Curtain Orange
Motor 0.75 VSD Drive Left
S/E Pneumatic PB Leg Back
Detec TBA
Cable + 1m Stiffeners +2
Top Cover - Steel</t>
  </si>
  <si>
    <t>PE125 CW 2400 x CH 4500
Motor 0.75 VSD Drive Left
Soft Edge PE Back
Detec ILoop PB Leg Back
Cable + 1m Top Metal</t>
  </si>
  <si>
    <t>PE100 CW 2500 x CH 3150
 Gal Curtain Blue 543
Soft Edge
Detec R 433 PB Leg Back
Cable + 1m Top Metal
Motor 0.75 Drive Left</t>
  </si>
  <si>
    <t>PE125 CW 4450 x CH 3600
 Gal Curtain Blue 543
Motor 0.75kW VSD Drive Left
S/E Pneumatic C/C Back
Detec 433 174z 2x 4CH TR</t>
  </si>
  <si>
    <t>PE125 CW 2400 x CH 4150
 Gal Curtain Green 679
S/E Pneumatic C/C Back
Motor 0.75kW VSD Drive Left
Detec 433 RE 1x 8 CH TR
Topcover Steel</t>
  </si>
  <si>
    <t>PE100 CW 2300 x CH 3525
 Gal Curtain Orange 244
Motor 0.75 VSD Drive Left
S/E Pneumatic C/C Back
Detec ILoop PB Leg Front
Cable + 1000 Top Cover Metal</t>
  </si>
  <si>
    <t>PE100 CW 2550 x CH 3300
 Gal Curtain Blue 543
Motor 0.15 VSD Drive Left
Soft Edge PE Back
Detec ILoop PB Leg Front
Cable + 3500 Top Cover Metal</t>
  </si>
  <si>
    <t>PE100 CW 3000 x CH 3650
 PC Surfmst Curtain Blue 543
Motor 0.75kW VSD Drive Right
S/E Pneumatic PE Front
Detec RC 433 PB Front + Back (Leg)
(Ext. Ant. TOP) Metal Top
Cable + 1m</t>
  </si>
  <si>
    <t>PE125 CW 3200 x CH 5900
 PC Surfmst Curtain Green 679
Motor 1.5kW VSD Drive Left
Soft Edge PE Front
Detec RC 433 2CH 20pen Height
PB Leg Back
Cable + 1.5m Top Metal</t>
  </si>
  <si>
    <t>PE100 CW 2850 x CH 3750
 Gal Curtain Orange 224
Motor 0.75kW VSD Drive Left
Soft Edge PE Front
Detec RC 433 + 1x 8CH TR
PB Leg Back
Cable + 1000 Top Cover Metal</t>
  </si>
  <si>
    <t>PE 100 R CW 2400 x CH 3350,  Gal Curtain Blue 543, Motor 0.75 VSD Drive Right, SE Soft Edge Detect ILoop, PB Leg Back, Top cover Sheet Metal</t>
  </si>
  <si>
    <t>PE 125L CW 4000 x CH 4000,  PC SoftMist Curtain Blue 543, Motor 1.5kW VSD Drive Left, SE Soft Edge Detect ILoop, Cable +1m, Top cover Sheet Metal, Stiffeners +3</t>
  </si>
  <si>
    <t>PE 100 CW 2700 x CH 3250, Motor 0.75kW VSD Drive Right,  Gal Curtain Blue 543, SE Soft Edge, Detection ILoop, Cable +1m, Top Cover Sheet Metal, Stiffener + ?</t>
  </si>
  <si>
    <t>PE 100 CW 3400 x CH 4050,  Gal Curtain Blue 543, Motor 0.75kW VSD Drive Left, SE Soft Edge, Detection ILoop, Cable +1m, Top Cover Sheet Metal, Stiffener + Steel Bottom</t>
  </si>
  <si>
    <t>PE 125 CW 3000 x CH 4650,  Gal Curtain Orange, 2ho VSD 0.75kW Drive Left, Photocell Flow, SE Soft Edge, Detect Re 433, 1x8 CH TR, View ports x2, Sheet Metal Top, Right Hand Drive</t>
  </si>
  <si>
    <t>PE 100 CW 2400 x CH 3900, Drive 0.75kW VSD Left H/S,  Gal Curtain Blue 543, Detect ILoop PB leg TBA, Top cover Metal Cable +1000</t>
  </si>
  <si>
    <t>PE 100 CW 2700 x CH 3800, Drive 0.75kW 2ho VSD Left H/S Drive,  Gal Curtain Red 356, PB key out RC 433 Mfg 2x RR, 45% Roof</t>
  </si>
  <si>
    <t>left, PE 100 CW 2400 x CH 3150</t>
  </si>
  <si>
    <t>PE L CW 2750 CH 3500 One Piece Curtain No S/E R/C 433 X 3 TR XT PB</t>
  </si>
  <si>
    <t>PE XT L CW 4000 x 3750 Surfmesh CH 0.75 VSD Red No S/E Loop XT PB 1 extra Stiffener on top</t>
  </si>
  <si>
    <t>PE XT R CW 4000 x 3750 Surfmesh CH 0.75 VSD Red No S/E Loop XT PB 1 extra Stiffener on top</t>
  </si>
  <si>
    <t>PE XT L CW 3950 X 3750 Surfmesh CH 0.75 VSD Red No S/E Loop XT PB 1 extra Stiffener on top</t>
  </si>
  <si>
    <t>PE XT R CW 3950 X 3750 Surfmesh CH 0.75 VSD Red No S/E Loop XT PB 1 extra Stiffener on top</t>
  </si>
  <si>
    <t>PE 128 XT L CH 1.5 Con 1Loop PB CW 3100 X CH 5000 Blue 543 (P2493)</t>
  </si>
  <si>
    <t>PE L IN Con CW 2700 CH 3150 Blue 543 Remote 2X8 CH A/L MOP4</t>
  </si>
  <si>
    <t>PE R XT CH Con 433-2 Blue PB 4000 x 3620</t>
  </si>
  <si>
    <t>PE R XT R VSD CW 3000 CH 2550 Blue 543 Loop PB A/L</t>
  </si>
  <si>
    <t>PE L Reloc XT CH Con CW 2300 X CH 3500 WH 433 PB</t>
  </si>
  <si>
    <t>PE L XT CH Reloc Con 2600 X 4000 OR 433 PB</t>
  </si>
  <si>
    <t>PE L 2.4 X 3.1</t>
  </si>
  <si>
    <t>PE100 2800 X 3250 R Blue</t>
  </si>
  <si>
    <t>PE R W 3000 X H 3650 Red PC S/M Cont OC Back PB - NCM</t>
  </si>
  <si>
    <t>PE L W 3000 X H 3650 Red PC S/M Cont OC Back PB - NCM</t>
  </si>
  <si>
    <t>PE R/L PC SM W 3000 X H 4100 Cont Grey PE Back</t>
  </si>
  <si>
    <t>PE R W 3000 X H 4150 as a top cover on all doors PE Front</t>
  </si>
  <si>
    <t>PE L W 3000 X H 4150 EXT PC SM - Cont Blue 543 PE Back Remote X Seals Enclosed Stiffeners</t>
  </si>
  <si>
    <t>PE L W 3150 X H 3200 EXT Blue 543 Cont RC + 1X ST</t>
  </si>
  <si>
    <t>PE 27 X 33 Small Warehouse Door</t>
  </si>
  <si>
    <t>PE 42 X 42 Large Warehouse Door</t>
  </si>
  <si>
    <t>PE 2H X 31 (D00213)</t>
  </si>
  <si>
    <t>PE L 245-2600 Red Contactors</t>
  </si>
  <si>
    <t>PE L 35-3250 Blue 543 Cont</t>
  </si>
  <si>
    <t>PE R 31 x 4500 P/C Surfmesh 01D7</t>
  </si>
  <si>
    <t>PE R 31 x 4150 P/C Surfmesh 01D7</t>
  </si>
  <si>
    <t>PE R 31 x (4150-4180) P/C Surfmesh 01D7</t>
  </si>
  <si>
    <t>PE L 31 x (4150-4180) P/C Surfmesh 01D7</t>
  </si>
  <si>
    <t>PE100 3.15-41.5</t>
  </si>
  <si>
    <t>PE100 L 30.5-27.5 PC-W</t>
  </si>
  <si>
    <t>PE 100 L 30-31.5 PC-W</t>
  </si>
  <si>
    <t>PE100 L 26-28.5 PC-W</t>
  </si>
  <si>
    <t>PE 100 4.0 x 5.5 L</t>
  </si>
  <si>
    <t>PE 100 4.0 x 5.5 R</t>
  </si>
  <si>
    <t>PE 100 2.5 x 3.15 L</t>
  </si>
  <si>
    <t>PE 100 2.5 x 3.15 R</t>
  </si>
  <si>
    <t>PE 100 R CW 2800 X CH 3000</t>
  </si>
  <si>
    <t>PE 100 L CW 3500 X CH 3000</t>
  </si>
  <si>
    <t>PE 100 3.3 x 3.35 Yellow S/E</t>
  </si>
  <si>
    <t>PE 100 2.15 x 2.55 Yellow S/E</t>
  </si>
  <si>
    <t>PE 100 2.4 x 3.3 R Yellow S/E</t>
  </si>
  <si>
    <t>PE 100 2.4/2.55 L Blue 543</t>
  </si>
  <si>
    <t>PE 100 2.4/2.55 R Blue 543</t>
  </si>
  <si>
    <t>PE 100 3.2 x 3.2 L</t>
  </si>
  <si>
    <t>PE 100 3.0 x 4.0 R</t>
  </si>
  <si>
    <t>PE 100 3.1 X 3.150</t>
  </si>
  <si>
    <t>PE 100 2.9 X 3.750</t>
  </si>
  <si>
    <t>PE 100 2.5 X 3.550</t>
  </si>
  <si>
    <t>PE 100 3.5 X 4.340</t>
  </si>
  <si>
    <t>PE125 CW 2750 x CH 3600
PC Surfmist  Curtain Blue 543
Motor 0.75 VSD Drive Right
Detec ILoop
S/E Soft Edge
Top Sheet Metal</t>
  </si>
  <si>
    <t>0670 A</t>
  </si>
  <si>
    <t>0670 B</t>
  </si>
  <si>
    <t>PE125 CW 4040 x CH 4150
 PC Surfmist Curtain Blue 543
Motor 1.5 VSD Drive Right
S/E Soft Edge
Detec RC 433 8CHTR x2
PB Leg Back (ALL Switches on Leg Steel/Top)
Drive Right</t>
  </si>
  <si>
    <t>0665 A</t>
  </si>
  <si>
    <t>PE125 CW 3500 x CH 3200
 Gal Curtain Red 356
Motor 0.75 VSD
Drive Left
S/E Soft Edge
Detec RC 433 PB Box</t>
  </si>
  <si>
    <t>0665 B (BC)</t>
  </si>
  <si>
    <t>PE125 CW 3500 x CH 3200
Gal Curtain Red 356
Motor 0.75 VSD
Drive Right
S/E Soft Edge
Detec RC 433 PB Box</t>
  </si>
  <si>
    <t>0664 A</t>
  </si>
  <si>
    <t>0664 B</t>
  </si>
  <si>
    <t>PE125 CW 2200 x CH 3350
Motor 0.75 VSD Drive Left
S/E Soft Edge
Detec ?
Cable +1m Top Cover Metal</t>
  </si>
  <si>
    <t>PE125 CW 2400 x CH 3350
Motor 0.75 VSD Drive Left
S/E Soft Edge
Detec ?
Cable +1m Top Cover Metal</t>
  </si>
  <si>
    <t>0664 C</t>
  </si>
  <si>
    <t>PE125 CW 3600 x CH 3900
Gal Curtain Blue 543
Motor 0.75 VSD Drive Right
Detec RC 433 PB Box
S/E Soft Edge
Cable + 1m Top Cover Steel</t>
  </si>
  <si>
    <t>S/Steel</t>
  </si>
  <si>
    <t>PE100 S/S CW XW 3880 x CH 2700 - 50?
 S/Steel Curtain Blue 543
Motor 0.75 VSD Drive Right
S/E Pneumatic Extend Back
Detec ILoop
Cable +1000 Extend 1.700 High</t>
  </si>
  <si>
    <t>GRN 679</t>
  </si>
  <si>
    <t>0652 A</t>
  </si>
  <si>
    <t>0652 B (BC)</t>
  </si>
  <si>
    <t>PE125 CW 3000 x CH 4100
 PC Surfmst Curtain Blue 543
Motor 0.75kW VSD Drive Right
Cable + 500mm Soft Edge</t>
  </si>
  <si>
    <t>PE125 CW 2400 x CH 4100
 PC Surfmst Curtain Blue 543
Motor 0.75kW VSD Drive Left
Cable + 500mm Soft Edge</t>
  </si>
  <si>
    <t>0652 C (DE)</t>
  </si>
  <si>
    <t>Sigma Shep</t>
  </si>
  <si>
    <t>0651 (0121)</t>
  </si>
  <si>
    <t xml:space="preserve">OR </t>
  </si>
  <si>
    <t>0648 (0290)</t>
  </si>
  <si>
    <t>CAD Door P2218 PJ0290
2x Curtain Blue 543 CW 3650 x CH 3100</t>
  </si>
  <si>
    <t>Sensient New Curtain</t>
  </si>
  <si>
    <t>2016.02.01</t>
  </si>
  <si>
    <t>P/C</t>
  </si>
  <si>
    <t>+50</t>
  </si>
  <si>
    <t>Greenlands</t>
  </si>
  <si>
    <t>PE125 CW 3565 CH 3410
Green 679
Motor 0.75kW VSD Drive Right
Soft Edge PE Front
PB Leg Back
Emergency Power Fail UPS
Cable + 500mm
No Front Cover Backing Sheet??</t>
  </si>
  <si>
    <t>PE125 CW 2700 x CH 4350
 PC Surfmst Curtain Blue 543
Motor 0.75 VSD Drive Left
Soft Edge PE Back
Detec RC 433 PB Leg Back
Cable + 500mm Top Cover Metal</t>
  </si>
  <si>
    <t>0643 (AB)</t>
  </si>
  <si>
    <t>GRN 623</t>
  </si>
  <si>
    <t>0640 A</t>
  </si>
  <si>
    <t>0640 B</t>
  </si>
  <si>
    <t>PE125 CW 3750 CH 4000
Gal Curtain Red 356
Motor 1.5 VSD Drive Left
Safety Edge Pneumatic C/Chock PE Front
Detec RC 433 NC Front Leg (Nuance Control)
Top Cover Metal Solenoid Locks</t>
  </si>
  <si>
    <t>2015.10.26</t>
  </si>
  <si>
    <t>PE100 CW 3000 x CH 3650
Gal Curtain Orange 244
Motor VSD 0.75 Drive Right
Soft Edge PE Front
Detec RC 433 PB Leg Front
Cable + 1m Top Metal</t>
  </si>
  <si>
    <t>0637 A</t>
  </si>
  <si>
    <t>PE100 CW 2030 x CH 3550
 Gal Curtain Orange 244
Motor 0.75 VSD Drive Left
S/E Pneumatic C/C Back
Detec ILoop PB Leg Front
Cable + 1000 Top Cover Metal</t>
  </si>
  <si>
    <t>0637 B</t>
  </si>
  <si>
    <t>PE100 CW 2550 x CH 3400
Gal Curtain Orange 244
Motor VSD 0.75 Drive Right
Soft Edge PE Front
Detec RC 433 PB Leg Front
Cable + 1m Top Metal</t>
  </si>
  <si>
    <t>Sigma Shep - New Curtain</t>
  </si>
  <si>
    <t>YL 119</t>
  </si>
  <si>
    <t>0635 (0121)</t>
  </si>
  <si>
    <t>0634 A</t>
  </si>
  <si>
    <t>0634 B</t>
  </si>
  <si>
    <t>0633 A</t>
  </si>
  <si>
    <t>0633 B</t>
  </si>
  <si>
    <t>0632 A</t>
  </si>
  <si>
    <t>0632 B</t>
  </si>
  <si>
    <t>PE100 CW 2350 x CH 3450
 Gal Curtain Orange 224
Motor 0.75kW VSD Drive Left
Soft Edge PE Front
Detec RC 433 + 1x 8CH TR
PB Leg Back
Cable + 1000 Top Cover Metal</t>
  </si>
  <si>
    <t>0632 C</t>
  </si>
  <si>
    <t>PE100 CW 3000 x CH 3650
 Gal Curtain Orange 224
Motor 0.75kW VSD Drive Left
Soft Edge PE Front
Detec RC 433 + 1x 8CH TR
PB Leg Back
Cable + 1000 Top Cover Metal</t>
  </si>
  <si>
    <t>PE125 CW 3350 x CH 2650
PC Surfmst Curtain Green 679
Motor 0.75kW VSD Drive Left
Soft Edge PE Back
Detec RC 433 + Antennae 2TR ACH
PB Leg Front
Cable + 2m Metal Top</t>
  </si>
  <si>
    <t>0630 A</t>
  </si>
  <si>
    <t>0630 B</t>
  </si>
  <si>
    <t>PE125 CW 4150 x CH 3300
PC Surfmst Curtain Green 679
Motor 0.75kW VSD Drive Left
Soft Edge PE Back
Detec RC 433 + Antennae 2TR ACH
PB Leg Front + Back
Cable + 10m Metal Top</t>
  </si>
  <si>
    <t>0630 C</t>
  </si>
  <si>
    <t>PE125 CW 4150 x CH 3300
PC Surfmst Curtain Green 679
Motor 0.75kW VSD Drive Left
Soft Edge PE Back
Detec RC 433 + Antennae 2TR ACH
PB Leg Front + Back
Cable + 2m Metal Top</t>
  </si>
  <si>
    <t>0629 (0133-2)</t>
  </si>
  <si>
    <t>PE100 CW 2000 x CH 2700
 Gal Curtain Orange 224
Motor 0.75kW VSD Drive Right
S/E Pneumatic I Loop  PB Leg Back</t>
  </si>
  <si>
    <t>0626 A</t>
  </si>
  <si>
    <t>0626 B</t>
  </si>
  <si>
    <t>PE125 CW 2400 x CH 4200
Gal Curtain Blue 543
Motor 0.75kW VSD Drive left
RC 433 TBA? PB Leg Back Cable + 500</t>
  </si>
  <si>
    <t>PE125 CW 3500 x CH 4200
Gal Curtain Blue 543
Motor 1.5kW VSD Drive left
RC 433 PB Leg Front + Back  Cable + 1500 Top Cover Metal</t>
  </si>
  <si>
    <t>0.75KW VSD</t>
  </si>
  <si>
    <t>PE100 CW 2650 x CH 3200
Gal Curtain Blue 543
Motor 0.75kW VSD Drive left
S/E Pneumatic C/C back
PB - S/S Control Box
Metal Top Cable + 42m</t>
  </si>
  <si>
    <t>GN</t>
  </si>
  <si>
    <t>Tindy</t>
  </si>
  <si>
    <t>FRR125 CW 2900 x CH 3300,  PC SoftMist Curtain Blue 543, Motor 1.5kW VSD Drive Right, SE Soft Edge Detect RC 433, PB Leg Back, Cable +1m, Top cover Sheet Metal, Heaters + Heater Controllers</t>
  </si>
  <si>
    <t>0621</t>
  </si>
  <si>
    <t>0620</t>
  </si>
  <si>
    <t>Central Meat</t>
  </si>
  <si>
    <t>Carter Holt Harvey - Morwell</t>
  </si>
  <si>
    <t>Lamalina</t>
  </si>
  <si>
    <t>WCB Harrington Rungfold</t>
  </si>
  <si>
    <t>WCB Lactos</t>
  </si>
  <si>
    <t>Punt Road Wines</t>
  </si>
  <si>
    <t>0619</t>
  </si>
  <si>
    <t>0618 A</t>
  </si>
  <si>
    <t>0618 B</t>
  </si>
  <si>
    <t>0617 A (0429)</t>
  </si>
  <si>
    <t>0617 B (0463)</t>
  </si>
  <si>
    <t>PJ0429</t>
  </si>
  <si>
    <t>PJ0463</t>
  </si>
  <si>
    <t>0614 A (AB)</t>
  </si>
  <si>
    <t>PE 100 CW 3000 x CH 2850,  Gal Curtain Blue 543, Drive 0.75kW VSD Drive Right H/S, Detect PB TBA, Top cover Metal cable +0.5m</t>
  </si>
  <si>
    <t>PE 100 CW 3000 x CH 3200,  Gal Curtain Blue 543, Drive 0.75kW VSD Drive Right H/S, Detect PB TBA, Top cover Metal cable +0.5m</t>
  </si>
  <si>
    <t>0614 B (C)</t>
  </si>
  <si>
    <t>Biodynamic</t>
  </si>
  <si>
    <t>0613 B (C)</t>
  </si>
  <si>
    <t>0613 A (AB)</t>
  </si>
  <si>
    <t>0613 C (D)</t>
  </si>
  <si>
    <t>PE 100 CW 2400 x CH 3900, Drive 0.75kW VSD Right H/S,  Gal Curtain Blue 543, Detect ILoop PB leg TBA, Top cover Metal Cable +1000</t>
  </si>
  <si>
    <t>PE 100 CW 2600 x CH 3900, Drive 0.75kW VSD Left Hand Drive,  Gal Curtain Blue 543, Detect ILoop PB Leg, Top cover Metal cable +1m</t>
  </si>
  <si>
    <t>Freezer Fold Right Drive, ew 4970 x XH 5040,  Gal - Curtain Blue 543, Drive 1.5kW 2ho VSD, Detect PB + RC 433, Cable - 0, Top cover - Metal Sheet</t>
  </si>
  <si>
    <t>WCB Harrington (Doortec Dock Room)</t>
  </si>
  <si>
    <t>2015.02.01</t>
  </si>
  <si>
    <t>0609</t>
  </si>
  <si>
    <t>Joy Foods</t>
  </si>
  <si>
    <t>Australian Strawberries Dist 2</t>
  </si>
  <si>
    <t>Integrity Fruits</t>
  </si>
  <si>
    <t>MG Albany</t>
  </si>
  <si>
    <t>AWGD Chobani Holt Harvey</t>
  </si>
  <si>
    <t>GUD Altona</t>
  </si>
  <si>
    <t>Bowden Tullamarine</t>
  </si>
  <si>
    <t>Nice &amp; Fresh</t>
  </si>
  <si>
    <t>Temptation Bakery</t>
  </si>
  <si>
    <t>South East Eggs</t>
  </si>
  <si>
    <t>WCB APV</t>
  </si>
  <si>
    <t>Lion Alansford</t>
  </si>
  <si>
    <t>NAZ</t>
  </si>
  <si>
    <t>Di Rossi</t>
  </si>
  <si>
    <t>Goetz Can</t>
  </si>
  <si>
    <t>M/G Leongatha</t>
  </si>
  <si>
    <t>Lanatina</t>
  </si>
  <si>
    <t>WCB Loading  Loading Dock</t>
  </si>
  <si>
    <t>PE 100 INT Drive Right, CW 3000 x CH 3850,  GAL, Curtain Orange 244, 240VSD 0.75KW, R/C 433, Cable +1, Sheet Metal Top</t>
  </si>
  <si>
    <t>PE 125 INT Drive Right, CW 3600 x CH 4200,  PE Surfmist, Curtain Orange 4VP, 240VSD 0.75KW, PB, Cable +500, Sheet Metal Top</t>
  </si>
  <si>
    <t>PE 100 XTR Drive Right, CW 2650 x CH 3200,  GAL, Curtain Blue 543, 240VSD 0.75KW, PB Leg Front, Cable +500, Sheet Metal Top</t>
  </si>
  <si>
    <t>PE 100 XTR Right, CW 2700 x CH 2700,  GAL, Curtain Orange 244, 240VSD 0.75KW, S/E PB Leg Back, Metal Top</t>
  </si>
  <si>
    <t>PE 100 XTR Left, CW 3520 x CH 3850,  GAL, Curtain Blue 543, No Window, 240VSD 0.75KW, 1x Tie, Sill Bottom, Cable +500</t>
  </si>
  <si>
    <t>PE 100 XTR, CW 2800 x CH 3650,  GAL, Curtain Blue 543, No Window, 240VSD 0.75KW, Detection Push Button, Leg Back, Curly Cord Front, Metal Top</t>
  </si>
  <si>
    <t>PE 100 XTL, CW 2180 x CH 3360,  PE Surfmist, Curtain Orange 244, 240VSD 0.75KW, PB Leg BK, Soft Edge, Loose Top 370M (+20)</t>
  </si>
  <si>
    <t>PE 100 XTR Right, CW 3000 x CH 3250,  GAL, Curtain Blue 543, 240VSD, 0.75KW, PB, S/E Yellow, Cord Front, Metal Top</t>
  </si>
  <si>
    <t>PE 100 XTR, CW 1.600 x CH 2.600,  GAL, Curtain Orange 224, Yellow S/E, 240VSD, Soft Edge, PE Front, No View Ports, Control System by Conveyor Belt</t>
  </si>
  <si>
    <t>PE100 XTL, CW 2700 x CH 3350,  GAL, Curtain Orange 224, 240VSD, 2x Ribbon Detect, PB Leg Front &amp; Back, Metal Top</t>
  </si>
  <si>
    <t>PE125 XTL, CW 3600 x CH 4025,  GAL, Curtain Green 679, SE, 240VSD, Detect?, 1x Stiffener Bottom, Metal Top, Cable +1m</t>
  </si>
  <si>
    <t>PE Curtain Replacement, CW 2250 x CH 2800</t>
  </si>
  <si>
    <t>PE100 XTL, CW 3000 x CH 3746,  PE Surfmist, Curtain Red 356, 0.75VSD, No SE, RC 433 4XTR, PB, Metal Top, 1X XTRA FG Stiffener Top</t>
  </si>
  <si>
    <t>PE100 XTL, CW 2500 x CH 4100,  GAL, Curtain Yellow SE Red, 240VSD, RC 433, PB, Xtra Stiffener Top, Xtra Cable 1m, Sheet Metal Top</t>
  </si>
  <si>
    <t>PE125 XTL, CW 3650 x CH 4550,  GAL, Curtain Green, 240VSD, 0.75CD, RC 433, C/C Back, Metal Top</t>
  </si>
  <si>
    <t>PE100 R INT, CW 2500 x CH 3150,  Red, PE Front, C/C Back, Cable +1m, Steel Top</t>
  </si>
  <si>
    <t>PE100 INT, CW 2500 x CH 3050,  Orange, 0.75VSD, SE Cord Front, Palm Switch x2</t>
  </si>
  <si>
    <t>PE100 XTL, CW 2500 x CH 3880,  Blue, 0.75 Cont, PB, PC Surfmist</t>
  </si>
  <si>
    <t>PE XTR, CW 1800 x CH 3150,  Blue, 0.75VSD, PE Detection x2, +1m Xtra Cable, Metal Cover</t>
  </si>
  <si>
    <t>PE100 INL, CW 1550 x CH 3300,  Red, 0.75VSD, No SE, RC 433, PB, Xtra Cable 4M, Metal Cover</t>
  </si>
  <si>
    <t>PE100 EXTL, CW 1950 x CH 3500,  Blue, No SE, Cont Loop, Xtra PB, Metal Cover, Xtra 5M Cable</t>
  </si>
  <si>
    <t>PE100 XTL, CW 2000 x CH 2450,  PE Surfmist, Green 679, RC 433, 2 x 4CH, 0.75CH, Cont 415VAC, Steel Top Cover</t>
  </si>
  <si>
    <t>PE125 XT L, CW 3700 x CH 4780, Blue 543, Cont - RC 433, Stiffener Top</t>
  </si>
  <si>
    <t>PE125 XT R, CW 4000 x CH 4550, Blue 543, Cont - RC 433, Stiffener Top</t>
  </si>
  <si>
    <t>PE100 XTL, CW 1900 x CH 2800, Red, R/C</t>
  </si>
  <si>
    <t>0608 A</t>
  </si>
  <si>
    <t>0608 B</t>
  </si>
  <si>
    <t>PE 100 INT Drive Right, CW 3500 x CH 3500,  GAL, Curtain Orange 244, 240VSD 0.75KW, R/C 433, Sheet Metal Top, Flashing motor side</t>
  </si>
  <si>
    <t>0607 A</t>
  </si>
  <si>
    <t>0607 B</t>
  </si>
  <si>
    <t>0606 A</t>
  </si>
  <si>
    <t>0606 B</t>
  </si>
  <si>
    <t>PE 125 INT Drive Right, CW 4000 x CH 4200,  PE Surfmist, Curtain Orange 4VP, 240VSD 0.75KW, PB, Cable +500, Sheet Metal Top</t>
  </si>
  <si>
    <t>PE 125 XTR Drive Right,  PC Surfmist, Curtain Red 356, CW 3600 x CH 3750, 240VSD 0.75KW, R/C 433, PB Leg Front, Cable +1000, Sheet Metal Top</t>
  </si>
  <si>
    <t>0602 A</t>
  </si>
  <si>
    <t>0602 B</t>
  </si>
  <si>
    <t>2015.02.15</t>
  </si>
  <si>
    <t>2014.12.01</t>
  </si>
  <si>
    <t>0601 A</t>
  </si>
  <si>
    <t>PE 100 XTR Left, CW 3000 x CH 3700,  GAL, Curtain Yellow, 240VSD 0.75KW, I Loop, PE Front, Metal Top</t>
  </si>
  <si>
    <t>PE 100 XTR Right, CW 3000 x CH 3700,  GAL, Curtain Yellow, 240VSD 0.75KW, I Loop, PE Front, Metal Top</t>
  </si>
  <si>
    <t>0601 B</t>
  </si>
  <si>
    <t>0600 (0218)</t>
  </si>
  <si>
    <t>JSB Swift Albany</t>
  </si>
  <si>
    <t>1.5KW VSD</t>
  </si>
  <si>
    <t>0597 (0378)</t>
  </si>
  <si>
    <t>0596 A (0568)</t>
  </si>
  <si>
    <t>0596 B (0568)</t>
  </si>
  <si>
    <t xml:space="preserve">0594 </t>
  </si>
  <si>
    <t>0595 (0588)</t>
  </si>
  <si>
    <t>0591 A</t>
  </si>
  <si>
    <t>0591 B</t>
  </si>
  <si>
    <t>0591 C</t>
  </si>
  <si>
    <t>GCP Garden City Plates</t>
  </si>
  <si>
    <t>SP 150 CW 5650 x CH 5400
 Gal Curtain Blue 543
Drive Right Motor 1.5kW VSD
Detect 433 + 2X TR PB Legs BK
Cable +1m
50mm Pipe Bottom</t>
  </si>
  <si>
    <t>SP 125 CW 5.3 x CH 3.5
PC Curtain ?
Motor 1.5kW VSD Drive TBA
Emergency ?
S/E Pneumatic</t>
  </si>
  <si>
    <t>SP 125 CW 5500 x CH 4800
 PC Surfmst Curtain Blue 543
Motor 1.5kW VSD Drive Right
S/E Pneumatic PE Front
Cable + 1m PB Leg Back</t>
  </si>
  <si>
    <t>SP 150 XTR, CW 5000 x CH 7500,  GAL, Curtain Red 356, 240VSD 2.2KW, PB Detection, Metal Top</t>
  </si>
  <si>
    <t>SP 150 XTR, CW 2500 x CH 7500,  GAL, Curtain Red 356, 240VSD 1.5KW, S/E PB Detection, Metal Top</t>
  </si>
  <si>
    <t>SP 2.2 XTL, CW 5270 x CH 6500,  GAL, Curtain White, VSD 2.2KW, S/E Yellow, Cord Front, Detect RC 433, 1 x 8CH.TR, 38mm Tubes in Curtain, Sheet Metal Top</t>
  </si>
  <si>
    <t>SP 1.5 XTL, CW 4000 x CH 6500,  GAL, Curtain White, VSD 1.5KW, S/E Yellow, Cord Front, Detect RC 433, 1 x 8CH.TR, 38mm Tubes in Curtain, Sheet Metal Top</t>
  </si>
  <si>
    <t>SP 1.5 XTR, CW 4000 x CH 6500,  GAL, Curtain White, VSD 1.5KW, S/E Yellow, Cord Front, Detect RC 433, 1 x 8CH.TR, 38mm Tubes in Curtain, Sheet Metal Top</t>
  </si>
  <si>
    <t>SP 125 XTL, CW 4800 x CH 4650,  GAL, Curtain Blue 543, 240VSD, 1.5KW</t>
  </si>
  <si>
    <t>YL (soft)</t>
  </si>
  <si>
    <t>0588 A</t>
  </si>
  <si>
    <t>0588 B</t>
  </si>
  <si>
    <t>0587 A</t>
  </si>
  <si>
    <t>0587 B</t>
  </si>
  <si>
    <t>SP 125 XTR, CW 4800 x CH 4650,  GAL, Curtain Blue 543, 240VSD, 1.5KW</t>
  </si>
  <si>
    <t>0587 C</t>
  </si>
  <si>
    <t>0586 A</t>
  </si>
  <si>
    <t>0586 B</t>
  </si>
  <si>
    <t>PE100 XTL, CW 1600 x CH 2400,  GAL, Curtain Yellow, Soft Edge, 240VSD, 2x PB, Air Lock</t>
  </si>
  <si>
    <t>PE100 XTL, CW 2000 x CH 2500,  GAL, Curtain Yellow, Soft Edge, 240VSD, 2x PB, Air Lock</t>
  </si>
  <si>
    <t>PE100, CW 2125 x CH 3150,  PE Surfmist, Curtain Blue 543, 240VSD, Soft Edge, RC 433, 4x</t>
  </si>
  <si>
    <t>0580 A</t>
  </si>
  <si>
    <t>0580 B</t>
  </si>
  <si>
    <t>PE100 XTL, CW 2600 x CH 3600,  GAL, Curtain Grey 729, 240VSD, 0.75KW, PB, Xtra Stiffener Top, Cable +1m, Sheet Metal Cover</t>
  </si>
  <si>
    <t>PE125 XTL, CW 4000 x CH 4400,  GAL, Curtain Yellow SE Red, 240VSD, 0.75KW, RC 433, PB, Cable +1m, Steel Top</t>
  </si>
  <si>
    <t>PE125 XTL, CW 3500 x CH 5000,  GAL, Curtain Blue 543, 240VSD, 1.5KW, Loop, PB, Hazard Light on Leg &amp; Buzzer</t>
  </si>
  <si>
    <t xml:space="preserve">Designa Durkin PEduce </t>
  </si>
  <si>
    <t>PE SP150 CW 3500 x CH 8100
Gal Curtain Red 356
Motor 2.2kW Drive Right
Detec ? S/E ?</t>
  </si>
  <si>
    <t>SUPA PEfile CW 3000 x CH 6600
 Gal Curtain White</t>
  </si>
  <si>
    <t>PE 125 CW 4000 x CH 3800
 PC Surfmst Curtain Blue 543
Motor 0.75 VSD Drive Left
Soft Edge PE Front
Detec RC 433 PB Leg Back
Cable + 1m Top Metal</t>
  </si>
  <si>
    <t>PE 125 CW 3050 x CH 3200
 Gal Curtain Green 629
Motor 0.75 VSD Drive Left
Soft Edge PE Front
Detec PB Leg Back
Cable + 1m</t>
  </si>
  <si>
    <t>PE FREEZER CW 2500 x CH 3300
 PC Surfmst Curtain Red 356
Motor 1.5kW VSD Drive Left
S/E Soft Edge PE Back
Detec TBA PB Leg Back
Cable + 1m TOP Metal</t>
  </si>
  <si>
    <t>SP PE 4.6 x 4.6</t>
  </si>
  <si>
    <t>SP PE CW 4.5 x CH 5
Gal CU Orange
240VSD 1.5kW</t>
  </si>
  <si>
    <t>Replacement Curtain (PJO288), PE 2500 x 3500</t>
  </si>
  <si>
    <t>PE100 XTL, CW 3000 x CH 3950,  PE Surfmist, Curtain Red 356, 0.75VSD, RC 433 MHZ 18CH, PE Back, 1x PB, Pneumatic SE, 1XTRA Stiffener Top</t>
  </si>
  <si>
    <t>PE125 XTL, CW 3000 x CH 4150,  PE Surfmist, Curtain Blue 543, 0.75CD VSD, RC 433 MHZ + 2TR, Metal Top, Cable +3M</t>
  </si>
  <si>
    <t>PEXTR, CW 3650 x CH 4150, Cont Loop, Xtra PB</t>
  </si>
  <si>
    <t>PE100 XT L, CW 3000 x CH 3000, Detection Remote Control 933, 8CH Detect</t>
  </si>
  <si>
    <t>PE100 XT L, CW 2900 x CH 2400</t>
  </si>
  <si>
    <t>PE100 XT R, CW 2000 x CH 2700</t>
  </si>
  <si>
    <t>PE S/S INT L Rossi 0.75 VSD CW 3500 X CH 3800 Blue R/C 433 S/S C Box No VP</t>
  </si>
  <si>
    <t>PE 2.4-2.550 R VSD Blue</t>
  </si>
  <si>
    <t>2.3 x 2.8, 1x PEfile (as 0326)</t>
  </si>
  <si>
    <t>PE 100 R 1820 X 3000</t>
  </si>
  <si>
    <t>PE 32 35 L P/C</t>
  </si>
  <si>
    <t>PE 100 PE CW 2330 X CH 3150</t>
  </si>
  <si>
    <t>PE RL 2.0 x 3.0 A/L Nomafa</t>
  </si>
  <si>
    <t>PE RL 3.5 x 5.0 A/L BA2i</t>
  </si>
  <si>
    <t>PE RL R Blue 2700 X 4500</t>
  </si>
  <si>
    <t>PE R 1.15 x 3.2 VSD</t>
  </si>
  <si>
    <t>PE L 1.450 x 3.2 UPS Orange</t>
  </si>
  <si>
    <t>PE R 25 X 28 L</t>
  </si>
  <si>
    <t>PE N 100 PE W3100 X H3300 Right Leg + 140</t>
  </si>
  <si>
    <t>PE 30 X 30 CW 2850 75mm Reloc</t>
  </si>
  <si>
    <t>PE Reloc W 2750 X CH 3650 L Red Y</t>
  </si>
  <si>
    <t>PE (100mm poly sides) 4000 x 4400</t>
  </si>
  <si>
    <t>PE 2.2 x 3.94</t>
  </si>
  <si>
    <t>PE R 2000 X 3100 CB L</t>
  </si>
  <si>
    <t>PE S 1.6-3.750 R</t>
  </si>
  <si>
    <t>PE S 1.6-3.750 L</t>
  </si>
  <si>
    <t>PE S 1.6-2.5 R</t>
  </si>
  <si>
    <t>PE S 1.6-2.5 L</t>
  </si>
  <si>
    <t>PE R 2100 X 3900 White 907 VSD</t>
  </si>
  <si>
    <t>PE 3000 X 3100 P/C White</t>
  </si>
  <si>
    <t>PE R CW 1906 X CH 2500 Red/ YSE</t>
  </si>
  <si>
    <t>PE R 3.5 x 3.5</t>
  </si>
  <si>
    <t>PE L CW 2450 X 3000 CH Orange</t>
  </si>
  <si>
    <t>PE R CW 2400 X 4000 CH Orange</t>
  </si>
  <si>
    <t>PE 3.5 x 2.5</t>
  </si>
  <si>
    <t>PEfile S 33 x 35</t>
  </si>
  <si>
    <t>PE S R 3800 X 3500 Blue</t>
  </si>
  <si>
    <t>PE R 2.5 x 3.1</t>
  </si>
  <si>
    <t>PE R 2.4 x 3.1</t>
  </si>
  <si>
    <t>L PE R 4500 x 4590</t>
  </si>
  <si>
    <t>L PE L 4600 x 4590</t>
  </si>
  <si>
    <t>PE R 2100 x 3310</t>
  </si>
  <si>
    <t>PE L 2100 x 3310</t>
  </si>
  <si>
    <t>WCB - Cheese PEcessing update</t>
  </si>
  <si>
    <t>PE L 2.1 x 2.4</t>
  </si>
  <si>
    <t>PE R 4.0 x 3.0</t>
  </si>
  <si>
    <t>A/L PE 3.0 x 2.9</t>
  </si>
  <si>
    <t>A/L PE 3.2 x 2.9</t>
  </si>
  <si>
    <t>A/L PE 2.7 x 2</t>
  </si>
  <si>
    <t>PE 2400 x 4500</t>
  </si>
  <si>
    <t>SAFEWAY PE L</t>
  </si>
  <si>
    <t>PE 35 x 45 R</t>
  </si>
  <si>
    <t>PE S 2.6 x 3.2 R VF Yellow</t>
  </si>
  <si>
    <t>PE R 1000 x 2300 A/L</t>
  </si>
  <si>
    <t>PE R 1400 x 2300 A/L R</t>
  </si>
  <si>
    <t>PE L 32x34 Red New Remote Oblong</t>
  </si>
  <si>
    <t>PE R 2800 x 3600 blue 596</t>
  </si>
  <si>
    <t>PE R 2020 x 3000 blue 596</t>
  </si>
  <si>
    <t>PE R 20 x 30</t>
  </si>
  <si>
    <t>PE L 20 x 30</t>
  </si>
  <si>
    <t>PE R 3650 x 3900 ORANGE</t>
  </si>
  <si>
    <t>PE L 1960 x 3000 Orange</t>
  </si>
  <si>
    <t>PE R 24 36</t>
  </si>
  <si>
    <t>PE R 1850/2950</t>
  </si>
  <si>
    <t>ADP 3x3 PE L</t>
  </si>
  <si>
    <t>PE L 2500 x 2500 P/C Orange</t>
  </si>
  <si>
    <t>PE L 2500 x 3000</t>
  </si>
  <si>
    <t>PE L 40-42 Yellow Red S/E Oblong 1000</t>
  </si>
  <si>
    <t>PE R 2.1W x 2.6H</t>
  </si>
  <si>
    <t>PE L 2.7 x 3.1 Blue 543 R 2 x 2H</t>
  </si>
  <si>
    <t>PE S/S R 1800 x 2300</t>
  </si>
  <si>
    <t>PE S/S L 1800 x 3000</t>
  </si>
  <si>
    <t>PE S/S R 1640 x 2950</t>
  </si>
  <si>
    <t>PE S/S L 1690 x 2400</t>
  </si>
  <si>
    <t>PE S/S R 1530 x 2100</t>
  </si>
  <si>
    <t>PE 43 x 43</t>
  </si>
  <si>
    <t>PE 2.6 x 4.0</t>
  </si>
  <si>
    <t>PE R 2.1 x 2.95 Blue 557 / Yellow S/E</t>
  </si>
  <si>
    <t>PE R 1.0 x 2.1 Yellow Red S/E</t>
  </si>
  <si>
    <t>PE L 1.4 x 2.48 Yellow Red S/E</t>
  </si>
  <si>
    <t>PE L 2.9 x 3.6 Blue 543</t>
  </si>
  <si>
    <t>PE L 4.0 x 4.4 Yellow (Red S/E)</t>
  </si>
  <si>
    <t>PE 27/40</t>
  </si>
  <si>
    <t>PE R 2000 x 2150 P/C Orange OVP Remote Inlock</t>
  </si>
  <si>
    <t>PE R 2450 x 3600</t>
  </si>
  <si>
    <t>PE L 48-28</t>
  </si>
  <si>
    <t>PE L 36-36 Blue</t>
  </si>
  <si>
    <t>PEL 3005 x 2705 Red</t>
  </si>
  <si>
    <t>PE SR 2700 x 3200</t>
  </si>
  <si>
    <t>PE SL 2500 x 3950</t>
  </si>
  <si>
    <t>PE R 2650 x 3900 Blue 557</t>
  </si>
  <si>
    <t>PEL 2400 x 3100</t>
  </si>
  <si>
    <t>PES 2000 x 3300 x UPS L</t>
  </si>
  <si>
    <t>PE in 2000 x 3600 R Yellow</t>
  </si>
  <si>
    <t>PE L W2.4 x H 3000 Blue 543</t>
  </si>
  <si>
    <t>PE L W3000 x H3300 Yellow</t>
  </si>
  <si>
    <t>PE R 30 x 28</t>
  </si>
  <si>
    <t>PE 35 x 36</t>
  </si>
  <si>
    <t>PE S 2300W x 2800H</t>
  </si>
  <si>
    <t>PE CW 2400 x CH 3100</t>
  </si>
  <si>
    <t>PE R 2400W x 3500H</t>
  </si>
  <si>
    <t>PE R VF 3510W x 3600H</t>
  </si>
  <si>
    <t>PE 1.7 x 2.2 Blue 557 Y SE R</t>
  </si>
  <si>
    <t>PE 1.7 x 2.2 Blue 557 Y SE L</t>
  </si>
  <si>
    <t>PE 2.9W x 3.0H L</t>
  </si>
  <si>
    <t>PE 30 x 32 R</t>
  </si>
  <si>
    <t>PE L 2450W x 2250H</t>
  </si>
  <si>
    <t>PE L 2100W x 2250H</t>
  </si>
  <si>
    <t>PE 2120 x 3000 L</t>
  </si>
  <si>
    <t>PE L 3.6 x 3.6</t>
  </si>
  <si>
    <t>PE S 2.4 x 3050 L</t>
  </si>
  <si>
    <t>PE R 24x45 Blue 557 Y SE</t>
  </si>
  <si>
    <t>PE S 5000W x 5770H R Yellow S/E - I PB</t>
  </si>
  <si>
    <t>PE S 1900W x 3300H Left</t>
  </si>
  <si>
    <t>PE L 2.1 x 2.6</t>
  </si>
  <si>
    <t>PE R 3.0 x 3150</t>
  </si>
  <si>
    <t>PE L 2550 x 3500</t>
  </si>
  <si>
    <t>PE 2x2.5</t>
  </si>
  <si>
    <t>PEs 30x38</t>
  </si>
  <si>
    <t>PE S L 35x35</t>
  </si>
  <si>
    <t>PE S R 30x30</t>
  </si>
  <si>
    <t>PE CW 2500 x CH 3600</t>
  </si>
  <si>
    <t>PE125, CW 3500 x CH 3500,  PE Surfmist, Curtain Blue 543, RC 433, 2x TR, Metal Top, 1.5m</t>
  </si>
  <si>
    <t>PE100 XTL, CW 2900 x CH 3350,  GAL, Curtain Green 679, 240VSD, RC 433, 2x 4CH, PE Back, Steel Top</t>
  </si>
  <si>
    <t>PE FR100 XL, CW 2650 x CH 3350,  GAL, Curtain Yellow Poly Foam, 240VSD, Detect?, Heaters + Leg + Motor STC 1000</t>
  </si>
  <si>
    <t>0573 A</t>
  </si>
  <si>
    <t>0573 B</t>
  </si>
  <si>
    <t>PE100 XTL, CW 3820 x CH 5000,  GAL, Curtain Red 356, 1.5VSD, RC 433 MHZ 18CH, PE Back, 1x PB, Pneumatic SE, 1XTRA Stiffener Top</t>
  </si>
  <si>
    <t>0571 (0228)</t>
  </si>
  <si>
    <t>YL (pneumatic)</t>
  </si>
  <si>
    <t>PE125 2x XTL, CW 3000 x CH 4650, 240VSD, 0.75KW CHD,  PE Surfmist, Curtain Orange 224, Yellow SE, C.Cord Back (Pneumatic), Sheet Metal Cover, 8x View Ports Instead of 4</t>
  </si>
  <si>
    <t>PE125 2x XTR, CW 3000 x CH 4650, 240VSD, 0.75KW CHD,  PE Surfmist, Curtain Orange 224, Yellow SE, C.Cord Back (Pneumatic), Sheet Metal Cover, 8x View Ports Instead of 4</t>
  </si>
  <si>
    <t>0569 A (AB)</t>
  </si>
  <si>
    <t>0569 B (CD)</t>
  </si>
  <si>
    <t>0569 C (E)</t>
  </si>
  <si>
    <t>Freezer  XTR, CW 3000 x CH 4650, 240VSD, 0.75KW CHD,  PE Surfmist, Curtain Orange 224, Yellow SE, C.Cord Back (Pneumatic), Sheet Metal Cover, 8x View Ports Instead of 4</t>
  </si>
  <si>
    <t>Murray Goulburn (Inspection Report)</t>
  </si>
  <si>
    <t>New Front Leg &amp; Install (Door Repairs)</t>
  </si>
  <si>
    <t>0565 (AB)</t>
  </si>
  <si>
    <t>Boardcraft</t>
  </si>
  <si>
    <t>0559 A</t>
  </si>
  <si>
    <t>0559 B</t>
  </si>
  <si>
    <t>0559 C</t>
  </si>
  <si>
    <t>0558 (0498)</t>
  </si>
  <si>
    <t>Techniques</t>
  </si>
  <si>
    <t>WH (+LOGO)</t>
  </si>
  <si>
    <t xml:space="preserve">Moka Foods </t>
  </si>
  <si>
    <t>Scorpio Meats</t>
  </si>
  <si>
    <t>DTG Venture (Replacement Curtain)</t>
  </si>
  <si>
    <t>0553 (C2013)</t>
  </si>
  <si>
    <t>Made Group</t>
  </si>
  <si>
    <t>PE100 XTR, CW 2750 x CH 3600,  PE Surfmist, Curtain Blue 543, 240VSD, 0.75KW, Loop, PB, Sheet Metal Top</t>
  </si>
  <si>
    <t>Moka Foods</t>
  </si>
  <si>
    <t>0547 A</t>
  </si>
  <si>
    <t>0548 C</t>
  </si>
  <si>
    <t>0548 B</t>
  </si>
  <si>
    <t>PE100 XTR, CW 2500 x CH 4100,  GAL, Curtain Yellow SE Red, 240VSD, RC 433, PB, Xtra Stiffener Top, Xtra Cable 1m, Sheet Metal Top</t>
  </si>
  <si>
    <t>0548 D</t>
  </si>
  <si>
    <t>PE100 XTL, CW 2800 x CH 3200,  GAL, Curtain Yellow SE Red, 240VSD, 0.75KW, RC 433, PB, Cable +1m, Steel Top</t>
  </si>
  <si>
    <t>Altimate Foods</t>
  </si>
  <si>
    <t>DAG Venture</t>
  </si>
  <si>
    <t>0542 A</t>
  </si>
  <si>
    <t>SP150, CW 5000 x CH 5200, Drive Left, Motor 2.2KW R15/1,  GAL, Curtain Blue 543, S/E Y PE Back, PEvision for Front TM20, Relay PB Box, I Loop, Cable 1.5m, Motor Cover</t>
  </si>
  <si>
    <t>SP150Int; CW 5800 x CH 4800; Drive Right Motor 1.5kW 15/1;  Gal Curtain Yellow; Detect I Loop</t>
  </si>
  <si>
    <t>PE 100 Drive Right, CW 2400 x CH 3350,  GAL, Curtain Blue 543, 240VSD 0.75KW, PB Leg Back, I Loop, Sheet Metal Top</t>
  </si>
  <si>
    <t>PE 100 Drive Right, CW 3400 x CH 3500,  GAL, Curtain Blue 543, 240VSD 0.75KW, PB Leg Back, I Loop, Sheet Metal Top</t>
  </si>
  <si>
    <t>PE 125 XTL, CW 3600 x CH 4350,  GAL, Curtain Yellow, Control 1.5VSD, Detect I Loop, Top Cover Flash to Roof Line</t>
  </si>
  <si>
    <t>PE 100 XTL, CW 2.4 x CH 4.150,  GAL, Curtain Blue 543, Soft Edge, 240VSD, I Loop, PB, Cable +1m, Sheet Metal Top</t>
  </si>
  <si>
    <t>PE 100 XTR, CW 2.4 x CH 4.150,  GAL, Curtain Blue 543, Soft Edge, 240VSD, I Loop, PB, Cable +1m, Sheet Metal Top</t>
  </si>
  <si>
    <t>SP 125, CW 4500 x CH 5700, 240VSD 2.2KW,  GAL, Curtain Blue 543, Yellow S/E, I Loop, PB, 30mm Pipes x2, 50mm Pipe Bottom</t>
  </si>
  <si>
    <t>PE XTR, CW 2500 x CH 3200, 0.75VSD, Curtain Red 356,  GAL, 0.75VSD, I Loop (Existing)</t>
  </si>
  <si>
    <t>PE100 INTR, CW 2500 x CH 3200, 240VSD, 0.75KW CHD,  GAL, Curtain Red 356, Yellow SE, Pneumatic C/C Back, I Loop (Existing)</t>
  </si>
  <si>
    <t>PE100 XTR, CW 2450 x CH 5750,  PE Surfmist, Curtain White + Logo Front, C/C Back, I Loop, PB, Metal Top (P130556)</t>
  </si>
  <si>
    <t>PE125 XTL, CW 4300 x CH 4400 (XH 4800),  GAL, Curtain Blue 543, 240VSD, 1.5KW, Stiffeners 600F, Soft Edge, I Loop, PB, Cable +1.5m, Steel Top</t>
  </si>
  <si>
    <t>PE100 XTR, CW 2000 x CH 2750,  GAL, Curtain Orange, 240VSD, 0.75CD, I Loop, C/C Back, Cable +1m, Metal Top</t>
  </si>
  <si>
    <t>PE125 XTL, CW 3000 x CH 3590 (XH3990),  GAL, Curtain Blue 543, 0.75VSD, C/C Back, I Loop, PB, Metal Top, Cable +1m, 1x Stiffener Top</t>
  </si>
  <si>
    <t>0542 B</t>
  </si>
  <si>
    <t>0542 C</t>
  </si>
  <si>
    <t>0542 D</t>
  </si>
  <si>
    <t>0540 (ABC)</t>
  </si>
  <si>
    <t>Flowers by Van Gogh</t>
  </si>
  <si>
    <t>GY</t>
  </si>
  <si>
    <t>PE100 XTR, CW 2400 x CH 3150,  GAL, Curtain Grey, 240VSD, 0.75CD, C/C Back, RC 433, PB, Metal Top</t>
  </si>
  <si>
    <t>0539 A</t>
  </si>
  <si>
    <t>0539 B</t>
  </si>
  <si>
    <t>P/C (black)</t>
  </si>
  <si>
    <t>PE100 XTR, CW 1500 x CH 2800,  P/C (black), Curtain Grey, 240VSD, 0.75CD, C/C Back, RC 433, PB, Metal Top</t>
  </si>
  <si>
    <t>0536 A</t>
  </si>
  <si>
    <t>PE100 XTR, CW 2000 x CH 2750,  GAL, Curtain Orange, 240VSD, 0.75CD, I Loop, C/C Back, Cable +4m, Metal Top</t>
  </si>
  <si>
    <t>0536 B</t>
  </si>
  <si>
    <t>0535</t>
  </si>
  <si>
    <t>2013.01.11</t>
  </si>
  <si>
    <t>Visy Glama (Curtain Repair)</t>
  </si>
  <si>
    <t>C2225 + Other</t>
  </si>
  <si>
    <t>2013.01.07</t>
  </si>
  <si>
    <t>0534</t>
  </si>
  <si>
    <t>PE125 XTR, CW 5600 x CH 3220,  GAL, Curtain Green, 1.5KW VSD, RC 433RC + RC remd</t>
  </si>
  <si>
    <t>0533</t>
  </si>
  <si>
    <t>PE100 XTL, CW 2350 x CH 3300,  P/C Surfmist, Curtain Blue 543, 240VSD, 0.75KW, RC433PB, Cable standard, metal Top</t>
  </si>
  <si>
    <t>PE100 XTR, CW 2400 x CH 2850,  P/C Surfmist, Curtain Green, 0.75KW VSD, I Loop</t>
  </si>
  <si>
    <t>0532</t>
  </si>
  <si>
    <t>2012.12.12</t>
  </si>
  <si>
    <t>PE100 XTR, CW 2150 x CH 4300,  PE Surfmist, Curtain Red 356, 0.75VSD, C/C Back</t>
  </si>
  <si>
    <t>WCB Harrington (Carbon Filter Airlock )</t>
  </si>
  <si>
    <t>CAD XTL, CW 4300 x CH 3500, Curtain Yellow Count, I Loop</t>
  </si>
  <si>
    <t>2012.11.29</t>
  </si>
  <si>
    <t>0531 A</t>
  </si>
  <si>
    <t>Maltra Foods</t>
  </si>
  <si>
    <t>WCB - New Curtain Bottle Shed, Sungold</t>
  </si>
  <si>
    <t>0529 (0133-9)</t>
  </si>
  <si>
    <t>Brady Ferguson Plarre</t>
  </si>
  <si>
    <t>0528 A</t>
  </si>
  <si>
    <t>0528 B</t>
  </si>
  <si>
    <t>FR XT, CW 1500 x CH 2600, P/C (Surfmist), Blue Ferrari, 0.75VSD, Air Lock, Xtra Relay 5x8, PE Back, Cable +3000, Top Load Bearings</t>
  </si>
  <si>
    <t>BL 543 (Ferrari)</t>
  </si>
  <si>
    <t>PE,  Blue 543, CW 3200 x CH 5050, P/C (Surfmist), 0.75VSD, C/C Back I Loops, Xtra Stiffener Top</t>
  </si>
  <si>
    <t>Chris Dips</t>
  </si>
  <si>
    <t>Frewstall</t>
  </si>
  <si>
    <t>BL</t>
  </si>
  <si>
    <t>PE100 IN R, CW 1900 x CH 2225,  Blue, 0.75 Cont, 2x PB, Metal Top</t>
  </si>
  <si>
    <t>PE100 IN L, CW 1900 x CH 2225,  Blue, 0.75 Cont, 2x PB, Metal Top</t>
  </si>
  <si>
    <t>Austral VIP Packaging</t>
  </si>
  <si>
    <t>Carter Holt Harvey</t>
  </si>
  <si>
    <t>0519 A</t>
  </si>
  <si>
    <t>0519 B</t>
  </si>
  <si>
    <t>0519 C</t>
  </si>
  <si>
    <t>VIP Plastics</t>
  </si>
  <si>
    <t>S/S XTL, CW 4150 x CH 3250,  Blue, VSD, UPS, Open Power Fall, Metal Top, View Ports, I Loop</t>
  </si>
  <si>
    <t>Roger Whyett</t>
  </si>
  <si>
    <t>2012.03.14</t>
  </si>
  <si>
    <t>PE100 INL, CW 2400 x CH 3150,  Blue 543, Cont PB</t>
  </si>
  <si>
    <t>0508 A</t>
  </si>
  <si>
    <t>0508 B</t>
  </si>
  <si>
    <t>FR, CW 2900 x CH 3500, CD 1.5KW</t>
  </si>
  <si>
    <t>0507 A (AB)</t>
  </si>
  <si>
    <t>0507 B (C)</t>
  </si>
  <si>
    <t>PE100 XTR, CW 2300 x CH 2650,  PE Surfmist, Green 679, RC 433, 2 x 4CH, 0.75CH, Cont 415VAC, Steel Top Cover</t>
  </si>
  <si>
    <t>PE125 XTR, CW 3550 x CH 4200,  Green, VSD, PE Front, Metal Top, Special BRT +300mm</t>
  </si>
  <si>
    <t>PE100 XT R(?), CW 2800 x CH 2400</t>
  </si>
  <si>
    <t>BL 543 / RBL 557</t>
  </si>
  <si>
    <t>PE 100 XT L Blue 543 Cont No S/E RC 433 PB CW 2600 X CH 2850</t>
  </si>
  <si>
    <t>0500 B (C)</t>
  </si>
  <si>
    <t>0500 A (AB)</t>
  </si>
  <si>
    <t>PE 100 XT R Blue 543 Cont No S/E RC 433 PB CW 2850(L) - 2890(R) X CH 2850</t>
  </si>
  <si>
    <t>PE 100 TR CW 2000 X CH 3100 Orange I Loops Cont</t>
  </si>
  <si>
    <t>PE XT R CW 2450 X CH 3000  CH 0.75 VSD RC 433 2X4CH  Blue 543 PC SM ST</t>
  </si>
  <si>
    <t>PE CW 3600 X XH 4380</t>
  </si>
  <si>
    <t>National Foods</t>
  </si>
  <si>
    <t>2400 X 3100</t>
  </si>
  <si>
    <t>2550 X 3200</t>
  </si>
  <si>
    <t>PE INT R CH Con I Loop PB CW 3000 X CH 3550 Orange</t>
  </si>
  <si>
    <t>0489
(SN2493)</t>
  </si>
  <si>
    <t>PE R XT CH Con 433-2 Blue PB 3450 x 4020</t>
  </si>
  <si>
    <t>PE100 RL RHS CW 3000 XCH 3750 Cont Yellow RC 433</t>
  </si>
  <si>
    <t>PE XW 4380 XH 4900 Blue 2PE Loop P</t>
  </si>
  <si>
    <t>0475 (0326)</t>
  </si>
  <si>
    <t>Ready Meals</t>
  </si>
  <si>
    <t>Freezer Fold W 2600 X 3000 H Blue Cont 433 (Also 0697)</t>
  </si>
  <si>
    <t>0472 (0228)</t>
  </si>
  <si>
    <t>Reloc Door JSB Swift</t>
  </si>
  <si>
    <t>2010.10.01</t>
  </si>
  <si>
    <t>CAD 47-50 Paper Stan</t>
  </si>
  <si>
    <t>P/C (white)</t>
  </si>
  <si>
    <t>WCB - Songold</t>
  </si>
  <si>
    <t>Albany Repair Ingham</t>
  </si>
  <si>
    <t>PE L 1.3 x 3.2 P/C Surfmist</t>
  </si>
  <si>
    <t>0436 (0395)</t>
  </si>
  <si>
    <t>WH 907</t>
  </si>
  <si>
    <t>YLL</t>
  </si>
  <si>
    <t>Montague Storage</t>
  </si>
  <si>
    <t xml:space="preserve"> </t>
  </si>
  <si>
    <t>BL 586</t>
  </si>
  <si>
    <t>CAD XL 42 x 50</t>
  </si>
  <si>
    <t>0388 A</t>
  </si>
  <si>
    <t>0388 B</t>
  </si>
  <si>
    <t>0388 C</t>
  </si>
  <si>
    <t>CADCW 5x6</t>
  </si>
  <si>
    <t>PE 2.5x3.0</t>
  </si>
  <si>
    <t>PE 1.6x2.5</t>
  </si>
  <si>
    <t>PE 3100 x 3550</t>
  </si>
  <si>
    <t>0378
(SN2296)</t>
  </si>
  <si>
    <t>Lay Brothers</t>
  </si>
  <si>
    <t>Prowse Quantity Surveyors</t>
  </si>
  <si>
    <t>Prowse Quantity Surveyors  WBC</t>
  </si>
  <si>
    <t>BL 557</t>
  </si>
  <si>
    <t>2007.10.09</t>
  </si>
  <si>
    <t>GY 789</t>
  </si>
  <si>
    <t>0349 (0882)</t>
  </si>
  <si>
    <t>VCM G/A Mapak</t>
  </si>
  <si>
    <t>C+G Coolrooms</t>
  </si>
  <si>
    <t>PE 30 x 37</t>
  </si>
  <si>
    <t>2007.02.07</t>
  </si>
  <si>
    <t>PE S 2250 x 3400  L  P/C</t>
  </si>
  <si>
    <t>0325
(SN2136)</t>
  </si>
  <si>
    <t>0324</t>
  </si>
  <si>
    <t>2007.01.22</t>
  </si>
  <si>
    <t>6x PE S</t>
  </si>
  <si>
    <t>2 x PE S  R  3000 X 3500  Orange  RC4</t>
  </si>
  <si>
    <t>0319
(SN2247)</t>
  </si>
  <si>
    <t>Y</t>
  </si>
  <si>
    <t>0312 (0792)</t>
  </si>
  <si>
    <t>0309 A (0568)</t>
  </si>
  <si>
    <t>0568 (0309 A)</t>
  </si>
  <si>
    <t>CAD 4810 x 4600 L</t>
  </si>
  <si>
    <t>CAD 4810 x 4600 R</t>
  </si>
  <si>
    <t>WE Cash Warragul</t>
  </si>
  <si>
    <t>0302 (0800)</t>
  </si>
  <si>
    <t>NO</t>
  </si>
  <si>
    <t>CAD  4020 x 4500H  Left  No S/E  Blue 557  PB</t>
  </si>
  <si>
    <t>PE S 2870W x 3200H Left</t>
  </si>
  <si>
    <t>0293 B</t>
  </si>
  <si>
    <t>0293 A</t>
  </si>
  <si>
    <t>PE W30-50H R Dispatch</t>
  </si>
  <si>
    <t>PE W25-44H R Goods inward</t>
  </si>
  <si>
    <t>DMG Braeside</t>
  </si>
  <si>
    <t xml:space="preserve">DMG Industries (Donothy) </t>
  </si>
  <si>
    <t>Replacement operators x2 Reception Area, Replace Working Components</t>
  </si>
  <si>
    <t>PE L 3650W x 3180H</t>
  </si>
  <si>
    <t>PE R 3650W x 3680H</t>
  </si>
  <si>
    <t>0290 A
(P2218)</t>
  </si>
  <si>
    <t>0290 B
(P2218)</t>
  </si>
  <si>
    <t>0289 A</t>
  </si>
  <si>
    <t>0289 B</t>
  </si>
  <si>
    <t>PE L 1200 x 2000 ADP</t>
  </si>
  <si>
    <t>PE L 3000 x 2800 ADP</t>
  </si>
  <si>
    <t>0288 A</t>
  </si>
  <si>
    <t>0288 B</t>
  </si>
  <si>
    <t>CAD FR  2500 x 3600</t>
  </si>
  <si>
    <t>PE R  2500 x 3850 (SN P229)</t>
  </si>
  <si>
    <t>CAD 4.3 x 4.67 + 2 x Roller Shutters 4 x 4.67</t>
  </si>
  <si>
    <t>IL</t>
  </si>
  <si>
    <t>Fort Knox - Alphington Eltham</t>
  </si>
  <si>
    <t>0285 A</t>
  </si>
  <si>
    <t>0285 B</t>
  </si>
  <si>
    <t>PE  2700 x 4000</t>
  </si>
  <si>
    <t>FR  3450 x 4550 EXT</t>
  </si>
  <si>
    <t>Induction Loops</t>
  </si>
  <si>
    <t>CAD  3.650 x 4.5</t>
  </si>
  <si>
    <t>CAD  3.25 x 4.3</t>
  </si>
  <si>
    <t>PE L Grey 729  2700W x 3300H</t>
  </si>
  <si>
    <t>PE 30-38 (Gary Chen)</t>
  </si>
  <si>
    <t>CAD 4000W x 4800H L (0.244) Loop, O/N 1004 AL CDS (Kilsyth)</t>
  </si>
  <si>
    <t>CAD R 35x40</t>
  </si>
  <si>
    <t>PE L CW 1800 x CH 3000 (SN P2202)</t>
  </si>
  <si>
    <t>PE L CW 1810 x 3000 (SN P2199)</t>
  </si>
  <si>
    <t>0171 A</t>
  </si>
  <si>
    <t>0171 B</t>
  </si>
  <si>
    <t>3000 x 4000</t>
  </si>
  <si>
    <t>3600 x 4000</t>
  </si>
  <si>
    <t>Bottle Shed</t>
  </si>
  <si>
    <t>0133-8
(P2167)</t>
  </si>
  <si>
    <t>3000 x 3000 (P2167) ADP</t>
  </si>
  <si>
    <t>0133-4
(SN2101)</t>
  </si>
  <si>
    <t>0133-2 (0629)</t>
  </si>
  <si>
    <t>PE125 CW 3200 x CH 3700. Drive Right Motor 0.75 R10/1. Control PLC LK VSD DELTA.  Surfmist Curtain Blue 543. Detect PB Front PE Front Cable +1m</t>
  </si>
  <si>
    <t>CAD FR CW 1900 x CH 3000. Drive Left motor 0.75 kW R15/1.  Gal Curtain Blue 543. PE Banner (back) Detect ILoop PB Box. Heater in Legs Cables + 2000. Filleners Enclosed</t>
  </si>
  <si>
    <t>CAD 150 External CW 5500 x CH 7100. Drive Left motor 2.2 - 3ø VSD.  Gal Curtain Colour Green 679. Detect PB Box. Motor Cover Cable +1m</t>
  </si>
  <si>
    <t>SP150 CW 5500 x CH 5750. Drive Left motor 1.5 kW R15/1. Control - PLC VSD 2.2 kW. PB Legs Front Motor Cover. Cable +1m Curtain Blue 543 GAL</t>
  </si>
  <si>
    <t>CAD PE200 (CAD SP200) CW 8000 x XTH 6350. Drive Right motor 3 kW PLC MK3 VSD 3 kW. PB Legs Front Motor Cover. Cable +1.5m Curtain Blue 543 GAL</t>
  </si>
  <si>
    <t>CAD150 XT CW.6000 x XTH 6000.  Gal curtain Blue 543. Drive Right motor 2.2kW R15/1. PE Back RC MC 915 PB Front Cable +1m Curtain Pipes ø41 Green</t>
  </si>
  <si>
    <t>PE125; CW 2475 x CH 3700; Drive ? Motor 0.75 R10/1;  Gal Curtain Orange 244; Detect RCMC PB Box; Cable +2000mm; PE Front Cable Entry 2200 from GL</t>
  </si>
  <si>
    <t>PE125; CW 2600 x CH 3150; Drive Left Motor 0.75 R10/1;  Gal Curtain Orange 244; Detect PB Box RC MC1509 4CHT; Cable +0.5m</t>
  </si>
  <si>
    <t>PE125; CW 3000 x CH 3650 Make 3700; Drive Left Motor 0.75 R10/1;  Gal Curtain Orange 244; PB Box RC MC1509 1x16TR; Cable +0.5m</t>
  </si>
  <si>
    <t>SP150; CW 6085 x CH 5000; Drive Left Motor 2.2 R15/1 3ø VSD; Detect RC 433 PB Box; Cable +1m</t>
  </si>
  <si>
    <t>CAD PE200; CW 7950 x CH 5000; Drive Left Motor 3kW3ø R15/1 (90Box);  Gal Curtain Blue 543; Detect PB Box; Cable +2m</t>
  </si>
  <si>
    <t>CAD PE200; CW 7950 x CH 5000; Drive Right Motor 3kW3ø R15/1 (90Box);  Gal Curtain Blue 543; Detect PB Box; Cable +2m (21.11.16 Velcro Rever Seel Loop on drum)</t>
  </si>
  <si>
    <t>PE100 Drive-L CW 3590 x CH 4150 ML -3133 Frame P/C Surfmist, Curtain Blue 543, Motor 1.5kw R15/1 VSD Controlbox Above Motor Switches M Leg Detection M/C RC 16TR PB M Leg Back Cable +1m from motor Bearings Inside Capping door A+D M Leg Only, Door A+B+C+D All in Line Slots in top section front</t>
  </si>
  <si>
    <t>FR125; CW 2950 x CH 3000 (XH4000); Drive Left Motor 1.5kW R15/1;  Gal Curtain Blue 543; Detect RC MC 15 PB Back &amp; Front; S/S Control Box; Cable + 1500; Heaters Legs x2 &amp; Control</t>
  </si>
  <si>
    <t>PE125 S/S; CW 3000 x CH 3150; Drive Left Motor 0.75 R10/1;  S/S Curtain Blue 543; Detect Multicode PB Box; S/E Pneumatic</t>
  </si>
  <si>
    <t>PE125; CW 2500 x CH 3300; Drive Left Motor 0.75 R10/1;  Gal Curtain Blue 543; Detect I Loop + PB Front; Motor Fixing Holes 3200 of GL</t>
  </si>
  <si>
    <t>FR125; CW 2250 x CH 3000; Drive Left Motor 1.5kW 10/1;  Gal Curtain Blue 543 900G; PE Back x3; Detect Loop PB Box; Control Box S/S; Cable Opposite Motors; Heaters</t>
  </si>
  <si>
    <t>PE100 (RL); CW 3020 x CH 3150; Drive Left Motor 0.75 10/1;  Gal Curtain Blue 543; Detect TBA PB Box (Reloc); Cable + 1m</t>
  </si>
  <si>
    <t>PE125; CW 2450 x CH 3200; Drive Left Motor 0.75 10/1;  Gal Curtain Blue 543; Detect RC433 1x8CH TR; PB Front - PE Back; Cable + 1.5m</t>
  </si>
  <si>
    <t>PE125; CW 2020 x CH 2700; Drive Left Motor 0.75 10/1;  PC Surfmist Curtain Blue 543; No View Parts; Detect PB Box x2 Up and Down; Cable + 1m</t>
  </si>
  <si>
    <t>PE125; CW 2020 x CH 2700; Drive Right Motor 0.75 10/1;  PC Surfmist Curtain Blue 543; No View Parts; Detect PB Box x2 Up and Down; Cable + 1m</t>
  </si>
  <si>
    <t>PE125; CW 2450 x CH 2200; Drive Left Motor 0.75 10/1;  Gal Curtain Blue 543; No View Parts; Detect PB Front XTDem; Cable + 1m</t>
  </si>
  <si>
    <t xml:space="preserve">PE125; CW 3000 x CH 3650; Drive L Motor 0.75kW R10/1;  Gal Curtain Blue 543; PE FRONT; SE SOFT; Detect PB Box; Cable + 0.5m; FG Stiffener; Top Pocket </t>
  </si>
  <si>
    <t xml:space="preserve">PE125; CW 3000 x CH 3650; Drive R Motor 0.75kW R10/1;  Gal Curtain Blue 543; PE FRONT; SE SOFT; Detect PB Box; Cable + 0.5m; FG Stiffener; Top Pocket </t>
  </si>
  <si>
    <t>PE125; CW 4200 x CH 4550; Drive R Motor 1.5kW R15/1;  Gal Curtain Red:  PE BACK; SE SOFT; Detect PB Box; Cable + 1.0m; 25mm pipe in lower pocket + 2x FG Stiffener - top x window</t>
  </si>
  <si>
    <t>PE125; CW 2600 x CH 2500; Drive Left Motor 0.75 R10/1;  Gal Curtain Blue 543; Detect TBA PB Leg Front; Cable + 1m, No view Parts</t>
  </si>
  <si>
    <t>PE125; CW 2600 x CH 2500; Drive Right Motor 0.75 R10/1;  Gal Curtain Blue 543; Detect TBA PB Leg Front; Cable + 1m, No view Parts</t>
  </si>
  <si>
    <t>PE150; CW 3450 x CH 5000;  Drive Right Motor 1.5 R15/1;  Gal Curtain Blue 543; Detect ? PB Leg Front; Cable + 2.5m  Entry 1.95 GL  Drive Four Access</t>
  </si>
  <si>
    <t>FR125; CW 2500 x CH 3400;  Drive Left Motor 1.5 R15/1;  Gal Curtain Blue 543; Detect RC433 PB Leg Back; Cable + 1.0, PE -1.5m from Front, Back of leg - 20mm (ramp)</t>
  </si>
  <si>
    <t>PE125; CW 2500 x CH 3200; Drive Left Motor 0.75 R10/1;  Gal Curtain Orange 244; Detect PB Leg Back; C/C Front  Cable + 1m; S/E Pneumatic</t>
  </si>
  <si>
    <t>PE125; CW 2990 CH 4550L / 4450R; Drive Left;  Gal Curtain Red 356; Detect RC433MH; S/E Soft Edge; PB Back; Cable + 1m</t>
  </si>
  <si>
    <t>FR150; XH 6350+40 R CW 4650; Gal Curtain Blue 543; Detect 433 H3; SE Soft Edge; PE Back; Motor 2.2kW; Drive Left</t>
  </si>
  <si>
    <t>PE125; CW 2800 x CH 3950; Drive Right Motor 0.75 10/1;  Gal Curtain Orange 224; Detect I Loop PB Leg Front OP Motor; Cable + 3000 OP Motor Legs</t>
  </si>
  <si>
    <t>PE125; CW 3900 x CH 3500; Gal Curtain Red 356; Drive Right Motor 0.75 VSD 10/1; Detect 433 PB leg back; Cable Plug &amp; Play</t>
  </si>
  <si>
    <t>PE150;  CW 1800 x CH 2800; Gal Curtain Grey 729; Drive Left Motor 0.75 VSD; Detect PB leg back; Cable 0.5m Plug &amp; Play</t>
  </si>
  <si>
    <t>SP150 CW 4950 CH 4500
Curtain Gap 10mm (35mm)
Gal Curtain Blue 543
Drive Right Motor 1.5kW VSD
Detect RC433 PB Back
Safety PEX2
Cable +1000</t>
  </si>
  <si>
    <t>PE150 CW 4600 x CH 3450
 Gal Curtain Blue 543
Drive Right Motor 1.5kW VSD
Detect RC 433 MH3 PB Leg Back
Cable +0.5m (No View Part)</t>
  </si>
  <si>
    <t>FR 125 CW 2450 x CH (unclear)
Gal Curtain Orange 244
Leg Extension 1205 + 50 30% x
Detec &amp; Speedas Safety Shutdown on Power Fail
Dual Open Height with Limit Switch
2nd Opening Key Switch</t>
  </si>
  <si>
    <t>PE125 CW 2050 x CH 3300 (3335?)
Gal Curtain Orange
Motor 0.75 VSD Drive Left
Detect Falcon
Cable + 1m</t>
  </si>
  <si>
    <t>PE125 CW 2050 x CH 3300
Gal Curtain Orange
Motor 0.75 VSD Drive Left
Detect 2xPB UPS SYSTEM 
Cable + 1m</t>
  </si>
  <si>
    <t>PE125 CW 2050 x CH 2700
Gal Curtain Orange
Motor 0.75 VSD Drive Left
Detect RC 433
Cable + 1m</t>
  </si>
  <si>
    <t>PE125 CW 1475 x CH 4225 (XH5200)
Motor 0.75 VSD Drive Left
Detect RC433
Cable + 1m</t>
  </si>
  <si>
    <t>PE125 CW 1475 x CH 4225 (XH5200)
Motor 0.75 VSD Drive Right
Detect RC433
Cable + 1m</t>
  </si>
  <si>
    <t>PE125 CW 3950 x CH 5100
PC Surfmist Curtain Blue 543
Motor 1.5kW VSD Drive Right
Detec ILoop PB Leg Back
Safety Edge Pneumatic C/C Back
Cable +0.5m
Stiffeners +2 Bottom + Top</t>
  </si>
  <si>
    <t>PE100 CW 2400 x CH 3300 R / 3250 L
 Gal Curtain Red 356
Motor 0.75 VSD Drive Right
S/E Soft Edge Tapered 50mm
Detec TBA
Cable +3500</t>
  </si>
  <si>
    <t>PE100 CW 3000 x CH 3825
 PC Surfmst Curtain Blue 543
Motor 0.75 VSD Drive
Soft Edge
Detec - RC 433 2x CH TR
Cable + 1m Top Metal
Mounting Holes 3035</t>
  </si>
  <si>
    <t>PE125 CW 3000 x CH 3000
 Gal Curtain Blue 543
Motor 0.75 VSD Drive Left
Soft Edge PE Front
Metal Top - Detec 2x Reflex PE</t>
  </si>
  <si>
    <t>PE 125 CW 3000 x CH 4050
 PC Surfmst Curtain Orange
Motor 0.75 VSD Drive Left
S/E Pneumatic C/C Front PE Back
Stiffeners +2 Steel Metal Top</t>
  </si>
  <si>
    <t>PE100 CW 5000 x CH 4700
 PC Surfmst Curtain Blue 543
Motor 1.5kW VSD Drive Right
S/E Pneumatic PE Front
Detec RC 433 PB Front + Back (Leg)
Steel Stiffners Ø38 tubes (bottom pipe)
Cable + 1m</t>
  </si>
  <si>
    <t>CADSP CW 7800 x CH 4600,  Gal Curtain ? Green, Motor 2.2kW 6 Poles - 3ø VSD, Drive RHS, Safety Edge Pneumatic, Top Cover + Back Flashing Metal</t>
  </si>
  <si>
    <t>PE 100 CW 1500 x CH 2100,  Gal Curtain Red, 0.75kW Right Hand Side Drive, 45% Roof, Door lifted over conveyor belt 646 from Ground</t>
  </si>
  <si>
    <t xml:space="preserve"> CAD XTL, CW 5750 x CH XTH 6850,  GAL, Curtain Green 639, 3Ø AIS - CONTACTORS 1.5KW, Detect 433 HHZ Tankwear, 50mm Pipe Bottom  No Windows</t>
  </si>
  <si>
    <t xml:space="preserve"> CAD XTR, CW 5750 x CH XTH 6850,  GAL, Curtain Green 639, 3Ø AIS - CONTACTORS 1.5KW, Detect 433 HHZ Tankwear, 50mm Pipe Bottom  No Windows</t>
  </si>
  <si>
    <t>SP 125 XTL, CW 4500 x CH 5000,  GAL, Curtain Blue 543, 240VSD 1.5KW, Detect RC 433, 2x ACH.TR, Cle Back, Laser Top</t>
  </si>
  <si>
    <t>PE100 XTR, CW 2900 x CH 3300,  GAL, Curtain Red 356, 240VSD, Laser Top</t>
  </si>
  <si>
    <t>PE100 XL, CW 3000 x CH 3000,  GAL, Curtain Orange 224, 240VSD, RC 433 MHZ 2x 4CH, Laser Top</t>
  </si>
  <si>
    <t>CAD XR, CW 4520 x CH 5020,  PC Monument, Curtain Orange 224 (Inc SE), 1.5VSD, I Loop, Cable +1m, Laser Top</t>
  </si>
  <si>
    <t>PE100 XTL, CW 2900 x CH 3750,  GAL, Curtain Blue 543, 0.75VSD, PB, Stiffener Top x1, Metal Top (S130565 a+b)</t>
  </si>
  <si>
    <t>PE100 XTL, CW 3600 x CH 4150,  GAL, Curtain Blue 543, 0.75VSD, RC 433, PB, 2x Stiffener Bottom &amp; Top, Cable +3000, Sheet Metal Top (SN130564)</t>
  </si>
  <si>
    <t>PE100 XTL, CW 4000 x CH 4150,  PE Surfmist, Curtain Blue 543, 1.5KW VSD, RC 433 + 8CH, PB, Isotherm Top &amp; Bottom, Sheet Metal, Remote Switches (SN130563 a+b)</t>
  </si>
  <si>
    <t>CAD XTL, CW 4400 x CH 4180,  GAL, Curtain Orange Yellow SE, 1.5KW VSD, RC 433, Curtain to be 3700 Cut</t>
  </si>
  <si>
    <t>PE125 XTL, CW 3650 x CH 4450,  GAL, Curtain Green 679, 1.5KW VSD, RC 433 + 2TR, PB, XTRA Stiffener Bottom &amp; Top, Metal Top (SN130561)</t>
  </si>
  <si>
    <t>PE100 XTL, CW 2660 x CH 3370,  PE Surfmist, Curtain Blue 543, 0.75VSD, RC 433, PB, SP Brackets Laser (SN130560)</t>
  </si>
  <si>
    <t>PE100 XTR, CW 1800 x CH 2400,  GAL, Curtain Red 356, 0.75VSD, PB, RC 433, Laser Top (SN130559a)</t>
  </si>
  <si>
    <t>PE100 XTR, CW 3200 x CH 3000,  GAL, Curtain Red 356, 0.75VSD, PB, RC 433, Laser Top (SN130559b)</t>
  </si>
  <si>
    <t>PE100 XTR, CW 2800 x CH 3000,  GAL, Curtain Red 356, 0.75VSD, PB, RC 433, Laser Top (SN130559c)</t>
  </si>
  <si>
    <t>Freezer INR, CW 2800 x CH 3600,  PE Surfmist, Curtain Yellow, 1.5VSD, C/C Front, RC 433 PB, 20AMP R 30, 0/6, Heaters x6 on 3 Phase, Beeper (SN130555)</t>
  </si>
  <si>
    <t>PE100 XTL, CW 2700 x 3000 (SN P2583/4/5/6)</t>
  </si>
  <si>
    <t>PE125 XTL, CW 3000 x CH 3930,  GAL, Curtain Blue 543, 0.75VSD, I Loop, PB, Metal Top, Cable +1m, 1 Stiffener Top (Same as 0542A)</t>
  </si>
  <si>
    <t>PE125 XTL, CW 4300 x CH 4425 (XH 4825),  GAL, Curtain Blue 543, 240VSD, 1.5KW, Stiffeners 600F, Soft Edge, I Loop, PB, Cable +1.5m, Laser Top</t>
  </si>
  <si>
    <t>PE100 XTR, CW 3000 x CH 3600,  GAL, Curtain Orange 244, 0.75VSD, C/C Back, I Loop, PB, Metal Top, Cable +1m (100mm inside CW), 1x Stiffener Top</t>
  </si>
  <si>
    <t>PE100 XTL, CW 4000 x CH 3600,  GAL, Curtain Orange 244, 0.75VSD, C/C Back, I Loop, PB, Metal Top, Cable +1m (100mm inside CW), 1x Stiffener Top</t>
  </si>
  <si>
    <t>PE100 XTR, CW 4000 x CH 3600,  GAL, Curtain Orange 244, 0.75VSD, C/C Back, I Loop, PB, Metal Top, Cable +1m (100mm inside CW), 1x Stiffener Top</t>
  </si>
  <si>
    <t>PE125 XTR, CW 4000 x CH 4650,  GAL, Curtain Blue 543, 1.5KW VSD CD, C/C Back, RC 433, PB, 2x PE (1.2m), Laser Top</t>
  </si>
  <si>
    <t>PE125 XTR, CW 5215 x CH 5000,  GAL, Curtain Blue 543, 1.5KW VSD ED, C/C Back, RC 433, PB, Laser Top</t>
  </si>
  <si>
    <t>PE100 XTL, CW 3000 x CH 3950,  PE Surfmist, Curtain Red, 240VSD, 0.75CD, C/C Front, RC 433, PB, Laser Top</t>
  </si>
  <si>
    <t>PE100 XTL, CW 3000 x CH 4150, White, P/C Surfmist, 0.75VSD, Cc Front, PE Back, 2xPB, Laser Top, 433MHZ R/C</t>
  </si>
  <si>
    <t>New Curtain Bottle Shed, Sungold, CW 3600 x CH 3900 (0133-9)</t>
  </si>
  <si>
    <t>PE100 L Internal, CW 1500 x CH 2150, P/C (Surfmist), Blue 543, 0.75VSD, Air Lock, Xtra Relay 5x8, PE Back, Cable +3000, Laser Top, Top Load Bearings</t>
  </si>
  <si>
    <t>PE100 INT, CW 2400 x CH 2600,  Yellow, SE PC Surfmist, 0.75VSD, SE Cord, PE Back, Laser Top, RC 433 MHZ</t>
  </si>
  <si>
    <t>PE100 INT, CW 3000 x CH 3750,  Red, 0.75VSD, SE Cord, PE Back, Laser Top, I Loop</t>
  </si>
  <si>
    <t>CAD XTR, CW 4535 x CH 4400,  Green, 1.5KW Cont, I Loop, PB, Xtra View Port</t>
  </si>
  <si>
    <t>CAD XTR, CW 4535 x CH 4400,  Green, 1.5KW Cont, I Loop, PB, +80 R leg</t>
  </si>
  <si>
    <t>CAD XTR, CW 4535 x CH 4400,  Green, 1.5KW Cont, I Loop, PB, Xtra View Port, +50 L leg</t>
  </si>
  <si>
    <t>PE100 XTR, CW 3000 x CH 3150,  Yellow, 0.75VSD, RC 433, PB, No SE, Laser Top</t>
  </si>
  <si>
    <t>PE100 XTL, CW 3000 x CH 8150,  Yellow, 0.75VSD, RC 433, PB, No SE, Laser Top</t>
  </si>
  <si>
    <t>PE125 XTR, CW 4200 x CH 4100,  Blue 543, 1.5KW Cont, Motion Sensor, Xtra PB, Stiffener Top, Laser Top, PC Surfmist</t>
  </si>
  <si>
    <t>PE100 INL, CW 2100 x CH 3150,  Yellow, RC 433, Laser Top, +1m Cable</t>
  </si>
  <si>
    <t>PE100 XTR, CW 3030 x CH 3650, CD 0.75KW, Yellow, RC 433, Laser Top</t>
  </si>
  <si>
    <t>PE100 PE IT R, CW 3000 x CH 3100, Blue 543, VSD, XPB, No View Port, Curtain Blue 543</t>
  </si>
  <si>
    <t>PE100 XT R, CW 3000 x CH 3000, Orange, VSD, Xtra PB, UPS, Laser Top</t>
  </si>
  <si>
    <t>0931</t>
  </si>
  <si>
    <t>2025.02.27</t>
  </si>
  <si>
    <t>Di Rossi Retal Dairy</t>
  </si>
  <si>
    <t>2025.03.07</t>
  </si>
  <si>
    <t>L &amp; H Poultry</t>
  </si>
  <si>
    <t>0932 A</t>
  </si>
  <si>
    <t>0932 B</t>
  </si>
  <si>
    <t>BL 541</t>
  </si>
  <si>
    <t>BL 542</t>
  </si>
  <si>
    <t>PE100 CW 2000 x CH 2800
 Gal Curtain Red 356
Motor 0.75 VSD Drive Left
S/E Pneumatic C/C Back
Detec 433MH3 2TR 4CH
Cable - Connectors</t>
  </si>
  <si>
    <t>WCB - Replacement Doors</t>
  </si>
  <si>
    <t>Bondor (NBE)</t>
  </si>
  <si>
    <t>OZ Pack (NBE)</t>
  </si>
  <si>
    <t>Diamonds Valley Park (NBE)</t>
  </si>
  <si>
    <t>Australian Weaving Mills Tasmania (NBE)</t>
  </si>
  <si>
    <t>0933</t>
  </si>
  <si>
    <t>2025.03.28</t>
  </si>
  <si>
    <t>2025.04.01</t>
  </si>
  <si>
    <t>Lamb Weston</t>
  </si>
  <si>
    <t>0934 A</t>
  </si>
  <si>
    <t>BL 544</t>
  </si>
  <si>
    <t>BL 545</t>
  </si>
  <si>
    <t>0934 B</t>
  </si>
  <si>
    <t>0737 G (GH)</t>
  </si>
  <si>
    <t>0935 (0737F)</t>
  </si>
  <si>
    <t>2025.04.16</t>
  </si>
  <si>
    <t>PE</t>
  </si>
  <si>
    <t>0936</t>
  </si>
  <si>
    <t>2025.05.07</t>
  </si>
  <si>
    <t>YL/soft</t>
  </si>
  <si>
    <t>Inghams Somerville</t>
  </si>
  <si>
    <t>Previous (0737F) = PE125;  CW 2400 x CH 3850; Motor 0.75kW 10/1; DetectRC433 PB Back; Cable + 1000mm</t>
  </si>
  <si>
    <t>0937</t>
  </si>
  <si>
    <t>2025.05.20</t>
  </si>
  <si>
    <t>Angled Bottom Edge 100mm: CW 4600 (Motor Side) - 4500 (Non-motor Side)</t>
  </si>
  <si>
    <t>Control</t>
  </si>
  <si>
    <t>ENC</t>
  </si>
  <si>
    <t>LS</t>
  </si>
  <si>
    <t>2025.07.08</t>
  </si>
  <si>
    <t>Industrial Food Services</t>
  </si>
  <si>
    <t>Andrei</t>
  </si>
  <si>
    <t>2/4 Reid St, Bayswater VIC 3153</t>
  </si>
  <si>
    <t>0938 A</t>
  </si>
  <si>
    <t>Light Curtain (Front); Interlock (between PLC and CU4)</t>
  </si>
  <si>
    <t>Light Curtain (Back); Interlock (between PLC and CU4)</t>
  </si>
  <si>
    <t>0938 B</t>
  </si>
  <si>
    <t>0939 A</t>
  </si>
  <si>
    <t>0939 B</t>
  </si>
  <si>
    <t>2025.07.16</t>
  </si>
  <si>
    <t>Cop Rice</t>
  </si>
  <si>
    <t>Corner L Graylands &amp; Warrnambool Roads, Cobden VIC 3266</t>
  </si>
  <si>
    <t>0940 A</t>
  </si>
  <si>
    <t>0940 B</t>
  </si>
  <si>
    <t>2025.07.25</t>
  </si>
  <si>
    <t>Farm Pride Foods</t>
  </si>
  <si>
    <t>Sydney Muller</t>
  </si>
  <si>
    <t>Sydney.Muller@farmpride.com.au</t>
  </si>
  <si>
    <t>551 Chandler Rd, Keysborough VIC 3173</t>
  </si>
  <si>
    <t>80 (NA)</t>
  </si>
  <si>
    <t>Dermott Ryan</t>
  </si>
  <si>
    <t>deryan@coprice.com.au</t>
  </si>
  <si>
    <t>P/C (Y)</t>
  </si>
  <si>
    <t>NA</t>
  </si>
  <si>
    <t>FF</t>
  </si>
  <si>
    <t>BB</t>
  </si>
  <si>
    <t>pneum/YL</t>
  </si>
  <si>
    <t>0941</t>
  </si>
  <si>
    <t>0942</t>
  </si>
  <si>
    <t>0943</t>
  </si>
  <si>
    <t>2025.08.11</t>
  </si>
  <si>
    <t>AWGD</t>
  </si>
  <si>
    <t>Interlocking with existing NBE door (7m away), plus extra for running down the walls</t>
  </si>
  <si>
    <t>2025.08.15</t>
  </si>
  <si>
    <t>Yumi's Quality Foods</t>
  </si>
  <si>
    <t>BL 540</t>
  </si>
  <si>
    <t>2025.08.20</t>
  </si>
  <si>
    <t>Tasman Meats Brooklyn (JBS)</t>
  </si>
  <si>
    <t>0944</t>
  </si>
  <si>
    <t>0945</t>
  </si>
  <si>
    <t>2025.09.01</t>
  </si>
  <si>
    <t>ENC/LS</t>
  </si>
  <si>
    <t>Interlocking with existing NBE door</t>
  </si>
  <si>
    <t>2025.09.08</t>
  </si>
  <si>
    <t>AUD</t>
  </si>
  <si>
    <t>USD</t>
  </si>
  <si>
    <t>MOTOR</t>
  </si>
  <si>
    <t>FREIGHT</t>
  </si>
  <si>
    <t>TOTAL</t>
  </si>
  <si>
    <t>STIFFENER</t>
  </si>
  <si>
    <t>FG</t>
  </si>
  <si>
    <t>PIPE</t>
  </si>
  <si>
    <t>DIA</t>
  </si>
  <si>
    <t>∅32</t>
  </si>
  <si>
    <t>∅40</t>
  </si>
  <si>
    <t>∅38</t>
  </si>
  <si>
    <t>∅50</t>
  </si>
  <si>
    <t>CH*</t>
  </si>
  <si>
    <t>0684 PQR</t>
  </si>
  <si>
    <t>2017.04.26</t>
  </si>
  <si>
    <t>0684 PQR (J)</t>
  </si>
  <si>
    <t>0684 KLM (I)</t>
  </si>
  <si>
    <t>*CH = Frame Height</t>
  </si>
  <si>
    <t>0616 A</t>
  </si>
  <si>
    <t>0616 B</t>
  </si>
  <si>
    <t>NR</t>
  </si>
  <si>
    <t xml:space="preserve">0774 D  </t>
  </si>
  <si>
    <t>0774 EF</t>
  </si>
  <si>
    <t>0754 I</t>
  </si>
  <si>
    <t>0754 BC</t>
  </si>
  <si>
    <t>2025.10.21</t>
  </si>
  <si>
    <t>Gazzola Farms</t>
  </si>
  <si>
    <t>RD356</t>
  </si>
  <si>
    <t>Bijiga.Defa@yumis.com.au</t>
  </si>
  <si>
    <t>Bijiga Defa</t>
  </si>
  <si>
    <t>63-69 Bungower Rd, Somerville VIC 3912</t>
  </si>
  <si>
    <t>Jarrad Monk</t>
  </si>
  <si>
    <t>jarrod@monkbrothers.com.au</t>
  </si>
  <si>
    <t>Catherine Howard</t>
  </si>
  <si>
    <t>catherine.howard@awgd.net.au</t>
  </si>
  <si>
    <t>117-119 Douro St, North Geelong VIC 3215</t>
  </si>
  <si>
    <t>S</t>
  </si>
  <si>
    <t>67-75 Wedgewood Rd, Hallam VIC 3803</t>
  </si>
  <si>
    <t>327 Settlement Rd, Thomastown VIC 3074</t>
  </si>
  <si>
    <t>0894 FGH</t>
  </si>
  <si>
    <t>0894 I, J</t>
  </si>
  <si>
    <t>2023.07.23</t>
  </si>
  <si>
    <t>0894 K</t>
  </si>
  <si>
    <t>0894 L</t>
  </si>
  <si>
    <t>Monk Noisette</t>
  </si>
  <si>
    <t>0946</t>
  </si>
  <si>
    <t>0947 A</t>
  </si>
  <si>
    <t>0947 B</t>
  </si>
  <si>
    <t>2025.11.03</t>
  </si>
  <si>
    <t>Farm Pride Foods (Carton Room)</t>
  </si>
  <si>
    <t>Farm Pride Foods (Battery Room)</t>
  </si>
  <si>
    <t>PEC to be installed in the bollards (Front and Back)</t>
  </si>
  <si>
    <t>B(SLC)</t>
  </si>
  <si>
    <t>F(SLC)</t>
  </si>
  <si>
    <t>Paul Gazzola</t>
  </si>
  <si>
    <t>paul@gazzolafarms.com.au</t>
  </si>
  <si>
    <t>2025.11.06</t>
  </si>
  <si>
    <t>0948 AB</t>
  </si>
  <si>
    <t>Control Box to be installed at the top + Push Button (5-hole) at standard operating height, both behind the wall</t>
  </si>
  <si>
    <t>0948 CD</t>
  </si>
  <si>
    <t>Mansfields</t>
  </si>
  <si>
    <t xml:space="preserve">Robert </t>
  </si>
  <si>
    <t>13 Fiveways Boulevarde, Keysborough VIC 3173</t>
  </si>
  <si>
    <t>mansfields.com.au</t>
  </si>
  <si>
    <t>Albert Theron</t>
  </si>
  <si>
    <t>planner@midfield.com.au</t>
  </si>
  <si>
    <t>Scott Street Warrnambool VIC 3280</t>
  </si>
  <si>
    <t>Midfield Group</t>
  </si>
  <si>
    <t>0949</t>
  </si>
  <si>
    <t>31 Commercial Dr, Thomastown VIC 3074</t>
  </si>
  <si>
    <t>0950</t>
  </si>
  <si>
    <t>2025.11.19</t>
  </si>
  <si>
    <t>Curtain #</t>
  </si>
  <si>
    <t>0951</t>
  </si>
  <si>
    <t>sales@awgd.net.au</t>
  </si>
  <si>
    <t>28 Queen Street, Wodonga VIC 3690</t>
  </si>
  <si>
    <t>0952</t>
  </si>
  <si>
    <t>2025.11.24</t>
  </si>
  <si>
    <t>sales@monkbrothers.com.au</t>
  </si>
  <si>
    <t>5 Tiffany Ave, Cheltenham, VIC 3192</t>
  </si>
  <si>
    <t>Rohan (Les) Monk</t>
  </si>
  <si>
    <t>Extra View Port, Radars</t>
  </si>
  <si>
    <t>2026.02.06</t>
  </si>
  <si>
    <t>2025.12.12</t>
  </si>
  <si>
    <t>Radfolds</t>
  </si>
  <si>
    <t>Gus Marson</t>
  </si>
  <si>
    <t>office@radfords.com.au</t>
  </si>
  <si>
    <t>Skinners Road Warrangul, VIC 3820</t>
  </si>
  <si>
    <t>SLC-B</t>
  </si>
  <si>
    <t>SLC-F</t>
  </si>
  <si>
    <t>2x push Switch + Cord = $216</t>
  </si>
  <si>
    <t>0953</t>
  </si>
  <si>
    <t>Bio Dynamic (Pending)</t>
  </si>
  <si>
    <t>0955A</t>
  </si>
  <si>
    <t>0955B</t>
  </si>
  <si>
    <t>James Breen</t>
  </si>
  <si>
    <t>James.Breen@georgerydell.com</t>
  </si>
  <si>
    <t>YL/pneu</t>
  </si>
  <si>
    <t>External Door, 100mm clearance</t>
  </si>
  <si>
    <t>0954</t>
  </si>
  <si>
    <t>Gerty Chahal</t>
  </si>
  <si>
    <t>gerty@biodynamic.om.au</t>
  </si>
  <si>
    <t>Store 1 &amp; 3, Melbourne Markets, 35 Produce Drive, Epping VIC 3076</t>
  </si>
  <si>
    <t xml:space="preserve">Seven (7) Chefs </t>
  </si>
  <si>
    <t>AREA</t>
  </si>
  <si>
    <t>Raffa Fields</t>
  </si>
  <si>
    <t>Raffles</t>
  </si>
  <si>
    <t>0958</t>
  </si>
  <si>
    <t>0960</t>
  </si>
  <si>
    <t>0961</t>
  </si>
  <si>
    <t>2026.02.20</t>
  </si>
  <si>
    <t>0956B</t>
  </si>
  <si>
    <t>0956A</t>
  </si>
  <si>
    <t>2026.02.26</t>
  </si>
  <si>
    <t>0959C</t>
  </si>
  <si>
    <t>0959AB</t>
  </si>
  <si>
    <t>0959D</t>
  </si>
  <si>
    <t>2026.02.27</t>
  </si>
  <si>
    <t>Fabbris Smallgoods</t>
  </si>
  <si>
    <t>Contactless Exit Button</t>
  </si>
  <si>
    <t>2026.03.06</t>
  </si>
  <si>
    <t xml:space="preserve">Lamb Weston </t>
  </si>
  <si>
    <t>Montague Storage (Relocation)</t>
  </si>
  <si>
    <t>2026.03.12</t>
  </si>
  <si>
    <t>DOOR TYPE</t>
  </si>
  <si>
    <t>Andre Kohn</t>
  </si>
  <si>
    <t>Artic Motta</t>
  </si>
  <si>
    <t>ASH Brothers Fishmongers</t>
  </si>
  <si>
    <t>Assa Abloy</t>
  </si>
  <si>
    <t>Ausfresh</t>
  </si>
  <si>
    <t>Austral Insulation</t>
  </si>
  <si>
    <t>Austral Lion Nathan</t>
  </si>
  <si>
    <t>Austral Little Creatures</t>
  </si>
  <si>
    <t>AWGD - Braken</t>
  </si>
  <si>
    <t xml:space="preserve">AWGO - Alpine MDF </t>
  </si>
  <si>
    <t>AWGD - Joss H20</t>
  </si>
  <si>
    <t>AWGD - Ashi</t>
  </si>
  <si>
    <t>AWGD - Billson</t>
  </si>
  <si>
    <t>AWGD - Carla Holt Harvey</t>
  </si>
  <si>
    <t>AWGD - Chobani Holt Harvey</t>
  </si>
  <si>
    <t>AWGD - Joss H21</t>
  </si>
  <si>
    <t>AWGD - Joss H22</t>
  </si>
  <si>
    <t>AWGD - Joss H23</t>
  </si>
  <si>
    <t>AWGD - Joss H24</t>
  </si>
  <si>
    <t>AWGD - Joss H25</t>
  </si>
  <si>
    <t>AWGD - Joss H26</t>
  </si>
  <si>
    <t>AWGD - Joss H27</t>
  </si>
  <si>
    <t>AWGD - Joss H28</t>
  </si>
  <si>
    <t>AWGD - Joss H29</t>
  </si>
  <si>
    <t>AWGD - V2</t>
  </si>
  <si>
    <t>AWGD - V3</t>
  </si>
  <si>
    <t>Baroda</t>
  </si>
  <si>
    <t>Besam WA - Assa Abloy</t>
  </si>
  <si>
    <t>Floridia Cheese</t>
  </si>
  <si>
    <t>Fresh Berry Co. (Melbourne Market)</t>
  </si>
  <si>
    <t>Floridia Cheese (George Rydell)</t>
  </si>
  <si>
    <t>Goetz Ganeo</t>
  </si>
  <si>
    <t>WCBF Gos (Spares)</t>
  </si>
  <si>
    <t>Hallmark</t>
  </si>
  <si>
    <t xml:space="preserve">Hawkes Vegetables </t>
  </si>
  <si>
    <t>Holeproof</t>
  </si>
  <si>
    <t>Honda - Tullamarine</t>
  </si>
  <si>
    <t>Icon Plastics</t>
  </si>
  <si>
    <t>ILT Merit Medical</t>
  </si>
  <si>
    <t>Inner City</t>
  </si>
  <si>
    <t>In Vitro Technologies</t>
  </si>
  <si>
    <t>Itoen</t>
  </si>
  <si>
    <t>Jalna</t>
  </si>
  <si>
    <t xml:space="preserve">Jalna - McCormick Foods </t>
  </si>
  <si>
    <t>Joe - Bararat</t>
  </si>
  <si>
    <t>Joy Foods (0701)</t>
  </si>
  <si>
    <t>Langdons</t>
  </si>
  <si>
    <t>Master Poultry</t>
  </si>
  <si>
    <t>Mayne</t>
  </si>
  <si>
    <t>Mega Freight</t>
  </si>
  <si>
    <t>Merit - ITL</t>
  </si>
  <si>
    <t>ASSA Abloy - Mobogues Tulla</t>
  </si>
  <si>
    <t>Morgan Bakery</t>
  </si>
  <si>
    <t xml:space="preserve">Nicway  </t>
  </si>
  <si>
    <t>NMPS Food Group</t>
  </si>
  <si>
    <t>Numega</t>
  </si>
  <si>
    <t xml:space="preserve">Pasta Master  </t>
  </si>
  <si>
    <t>PD Propagation</t>
  </si>
  <si>
    <t>WCB (Rydell)</t>
  </si>
  <si>
    <t>Santos Pirito Flowers</t>
  </si>
  <si>
    <t>Frontesa Nuts II (Rydell)</t>
  </si>
  <si>
    <t>Saputo (Repair Tony AN)</t>
  </si>
  <si>
    <t>Saputo (Skim Plant ADC)</t>
  </si>
  <si>
    <t>Saputo (Suncoed Loading Docks )</t>
  </si>
  <si>
    <t>Saputo</t>
  </si>
  <si>
    <t>Saputo (WCBF Cheese Outpack)</t>
  </si>
  <si>
    <t>Scott Bakes (Tasmania)</t>
  </si>
  <si>
    <t>Sensient (New Curtain)</t>
  </si>
  <si>
    <t>Sigma Shep (New Curtain)</t>
  </si>
  <si>
    <t>Tabro Meats</t>
  </si>
  <si>
    <t xml:space="preserve">Tempo Foods </t>
  </si>
  <si>
    <t>Terra Harvest (new curtain)</t>
  </si>
  <si>
    <t>TGI Smiths</t>
  </si>
  <si>
    <t>Confectionery House</t>
  </si>
  <si>
    <t>Tulip Flowers</t>
  </si>
  <si>
    <t>Turosi</t>
  </si>
  <si>
    <t>Velisha</t>
  </si>
  <si>
    <t>VIP Puar</t>
  </si>
  <si>
    <t>WCBF Saputo Hallamsford</t>
  </si>
  <si>
    <t>Baiada Poultry</t>
  </si>
  <si>
    <t>64/66 Chifley Dr, Preston VIC 3072</t>
  </si>
  <si>
    <t>67 Scanlon Dr, Epping VIC 3076</t>
  </si>
  <si>
    <t>44 Capital Link Dr, Campbellfield VIC 3061</t>
  </si>
  <si>
    <t>25 Abbott Rd, Hallam VIC 3803</t>
  </si>
  <si>
    <t>5331 Great Ocean Rd, Allansford VIC 3277</t>
  </si>
  <si>
    <t>14 Plateau Rd, Reservoir VIC 3073</t>
  </si>
  <si>
    <t>223-225 Governor Rd, Braeside VIC 3195</t>
  </si>
  <si>
    <t>16-18 Bate Dr, Braeside VIC 3915</t>
  </si>
  <si>
    <t>250 Old Telegraph Rd, Jindivick VIC 3818</t>
  </si>
  <si>
    <t>33/59 Clarinda Rd, Oakleigh South VIC 3167</t>
  </si>
  <si>
    <t>96 Bakers Rd, Coburg North VIC 3058</t>
  </si>
  <si>
    <t>29 Queen Street, Wodonga VIC 3690</t>
  </si>
  <si>
    <t>30 Queen Street, Wodonga VIC 3690</t>
  </si>
  <si>
    <t>31 Queen Street, Wodonga VIC 3690</t>
  </si>
  <si>
    <t>32 Queen Street, Wodonga VIC 3690</t>
  </si>
  <si>
    <t>Cotex Construction</t>
  </si>
  <si>
    <t>FBJ</t>
  </si>
  <si>
    <t>FBJ Cadbury</t>
  </si>
  <si>
    <t>319 Settlement Rd, Thomastown VIC 3074</t>
  </si>
  <si>
    <t>121 Grant Rd, Somerville VIC 3912</t>
  </si>
  <si>
    <t>6 Sarton Rd, Clayton VIC 3168</t>
  </si>
  <si>
    <t>47 Hunter Rd, Wandin North VIC 3139</t>
  </si>
  <si>
    <t>288 Leith Rd, Forth TAS 7310</t>
  </si>
  <si>
    <t>W8, 7-9 Chambers Road Altona North VIC 3025</t>
  </si>
  <si>
    <t>Wandin Valley Farms</t>
  </si>
  <si>
    <t>217-221 Governor Rd, Braeside VIC 3195</t>
  </si>
  <si>
    <t xml:space="preserve">Blackmores  </t>
  </si>
  <si>
    <t>Blackmores - Catalent</t>
  </si>
  <si>
    <t>128 Paramount Blvd, Derrimut, VIC 3026</t>
  </si>
  <si>
    <t>73 High St, Thomastown VIC 3074</t>
  </si>
  <si>
    <t>4 Ricketts Rd, Mount Waverley VIC 3149</t>
  </si>
  <si>
    <t>Plunketts</t>
  </si>
  <si>
    <t>490 Taylors Rd, Skye VIC 3977</t>
  </si>
  <si>
    <t>3 Sara Grove, Tottenham VIC 3012</t>
  </si>
  <si>
    <t>540 Bacchus Marsh Rd Bacchus Marsh, VIC 3340</t>
  </si>
  <si>
    <t>67 Trawalla Ave, Thomastown VIC 3074</t>
  </si>
  <si>
    <t>532-534 Clayton Rd, Clayton South VIC 3169</t>
  </si>
  <si>
    <t>Bulla Dairy Foods</t>
  </si>
  <si>
    <t>15 Swann Dr, Derrimut VIC 3026</t>
  </si>
  <si>
    <t>CCL Label Health Care</t>
  </si>
  <si>
    <t>20 Fletcher Rd, Chirnside Park VIC 3116</t>
  </si>
  <si>
    <t>Complete Food Services</t>
  </si>
  <si>
    <t>45 Raglan St, Preston VIC 3072</t>
  </si>
  <si>
    <t>5 Clay Ct, Thomastown VIC 3074</t>
  </si>
  <si>
    <t>491 Mountain Hwy, Bayswater VIC 3153</t>
  </si>
  <si>
    <t xml:space="preserve">Consolidated Freight   </t>
  </si>
  <si>
    <t>641 Burwood Hwy, Vermont South VIC 3133</t>
  </si>
  <si>
    <t>Fresh Berry Co</t>
  </si>
  <si>
    <t>730 Maroondah Hwy, Coldstream VIC 3770</t>
  </si>
  <si>
    <t>731 Maroondah Hwy, Coldstream VIC 3770</t>
  </si>
  <si>
    <t>732 Maroondah Hwy, Coldstream VIC 3770</t>
  </si>
  <si>
    <t>733 Maroondah Hwy, Coldstream VIC 3770</t>
  </si>
  <si>
    <t>55 Produce Dr, Epping VIC 3076</t>
  </si>
  <si>
    <t>610 Duncans Rd, Werribee South VIC 3030</t>
  </si>
  <si>
    <t>60 Gardner Ln, Poowong VIC 3988</t>
  </si>
  <si>
    <t>40 Scanlon Dr, Epping VIC 3076</t>
  </si>
  <si>
    <t>18 Carrington Dr, Albion VIC 3020</t>
  </si>
  <si>
    <t>Aurum Poultry (Golden Poultry )</t>
  </si>
  <si>
    <t>Kraftheinz  Wagga</t>
  </si>
  <si>
    <t>18/20 Bomen Rd, Bomen NSW 2650</t>
  </si>
  <si>
    <t>118 Learmonth St, Alfredton VIC 3350</t>
  </si>
  <si>
    <t>95-99 Keilor Park Dr, Tullamarine VIC 3043</t>
  </si>
  <si>
    <t>10 English St, Essendon Fields VIC 3041</t>
  </si>
  <si>
    <t>2/220 Old Geelong Rd, Hoppers Crossing VIC 3029</t>
  </si>
  <si>
    <t>63 Nar Nar Goon Rd, Nar Nar Goon VIC 3812</t>
  </si>
  <si>
    <t>Red Rich Fruits</t>
  </si>
  <si>
    <t>713 Maroondah Hwy, Coldstream VIC 3770</t>
  </si>
  <si>
    <t>657 Springvale Rd, Mulgrave VIC 3170</t>
  </si>
  <si>
    <t>91-93 Riggall St, Broadmeadows VIC 3047</t>
  </si>
  <si>
    <t>89 Northern Rd, Heidelberg West VIC 3081</t>
  </si>
  <si>
    <t>17-19 Pipe Rd, Laverton North VIC 3026</t>
  </si>
  <si>
    <t>Company Name</t>
  </si>
  <si>
    <t>Company Address</t>
  </si>
  <si>
    <t>Contact Information</t>
  </si>
  <si>
    <t>(03) 9368 9050</t>
  </si>
  <si>
    <t>Bakerydomain</t>
  </si>
  <si>
    <t>3 Lisa Pl, Coolaroo VIC 3048</t>
  </si>
  <si>
    <t>(03) 9309 8011</t>
  </si>
  <si>
    <t>251 Myrtleford-Yackandandah Rd, Myrtleford VIC 3737</t>
  </si>
  <si>
    <t>(03) 5751 9213</t>
  </si>
  <si>
    <t>Fonterra (Dairy Country Cheese)</t>
  </si>
  <si>
    <t>50 Glenbarry Rd, Campbellfield VIC 3061</t>
  </si>
  <si>
    <t>(03) 8541 1588</t>
  </si>
  <si>
    <t>Dans Plants</t>
  </si>
  <si>
    <t>Dans Plants (PJ0825)</t>
  </si>
  <si>
    <t xml:space="preserve">Demroc  </t>
  </si>
  <si>
    <t>16 Plant Grove, Heatherton VIC 3202</t>
  </si>
  <si>
    <t>(03) 9551 4888</t>
  </si>
  <si>
    <t>Di Rossi Foods</t>
  </si>
  <si>
    <t>(03) 9587 2999</t>
  </si>
  <si>
    <t>1/9 Samuel St, Hackham SA 5163</t>
  </si>
  <si>
    <t>(08) 8384 5049</t>
  </si>
  <si>
    <t>Joy Foods (Diva Foods)</t>
  </si>
  <si>
    <t>10 Fox Dr, Dandenong South VIC 3175</t>
  </si>
  <si>
    <t>Mondelez (Fine Food Holdings)</t>
  </si>
  <si>
    <t>(03) 9769 0194</t>
  </si>
  <si>
    <t>(03) 9801 6888</t>
  </si>
  <si>
    <t>1 Southpark Cl, Keysborough VIC 3173</t>
  </si>
  <si>
    <t>(03) 8525 1005</t>
  </si>
  <si>
    <t>Fort Knox - Keythborough</t>
  </si>
  <si>
    <t>Fort Knox - Vermont (Harding Architects)</t>
  </si>
  <si>
    <t>Fort Knox - Vermont (Replacement Curtain)</t>
  </si>
  <si>
    <t>197 Sherbourne Rd, Eltham VIC 3095</t>
  </si>
  <si>
    <t>(03) 9431 4200</t>
  </si>
  <si>
    <t>Frangapane Farms</t>
  </si>
  <si>
    <t>820 Duncans Road Werribee South Victoria 3030</t>
  </si>
  <si>
    <t>(03) 9742 1634</t>
  </si>
  <si>
    <t>661 Boneo Rd, Boneo VIC 3939</t>
  </si>
  <si>
    <t>(03) 5988 6785</t>
  </si>
  <si>
    <t>(04) 1855 6366</t>
  </si>
  <si>
    <t>1/7 Whitely Parade, West Footscray VIC 3012</t>
  </si>
  <si>
    <t>(03) 8329 8111</t>
  </si>
  <si>
    <t>(03) 9701 8711</t>
  </si>
  <si>
    <t>Meat 2 U</t>
  </si>
  <si>
    <t>1/4 Assembly Dr, Tullamarine VIC 3043</t>
  </si>
  <si>
    <t>(03) 9338 4430</t>
  </si>
  <si>
    <t>150-154 Dohertys Rd, Laverton North VIC 3026</t>
  </si>
  <si>
    <t>(03) 9369 1120</t>
  </si>
  <si>
    <t>(04) 3536 2743</t>
  </si>
  <si>
    <t>3 Pitt St, Reservoir VIC 3073</t>
  </si>
  <si>
    <t>(03) 9460 1766</t>
  </si>
  <si>
    <t>(04) 0915 1058</t>
  </si>
  <si>
    <t>(04) 2723 3661</t>
  </si>
  <si>
    <t>0493 A (P2497)</t>
  </si>
  <si>
    <t>0493 B (P2485)</t>
  </si>
  <si>
    <t>0493 C (P2499)</t>
  </si>
  <si>
    <t>Scott Bakes (Tasmania) - Bath Farm</t>
  </si>
  <si>
    <t>Scott Bakes (Tasmania) - Harvest Moon</t>
  </si>
  <si>
    <t>(03) 9687 0870</t>
  </si>
  <si>
    <t>Catalent Pharma Solutions</t>
  </si>
  <si>
    <t>(016) 1728 5880</t>
  </si>
  <si>
    <t>(03) 9350 1800</t>
  </si>
  <si>
    <t>(03) 9350 1801</t>
  </si>
  <si>
    <t>(03) 9350 1802</t>
  </si>
  <si>
    <t>(03) 9350 1803</t>
  </si>
  <si>
    <t>(03) 9363 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</si>
</sst>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&quot;/1&quot;"/>
    <numFmt numFmtId="165" formatCode="#.##&quot;M&quot;"/>
    <numFmt numFmtId="166" formatCode="0.0##&quot;KW&quot;"/>
    <numFmt numFmtId="167" formatCode="#0.0##&quot;M&quot;"/>
    <numFmt numFmtId="168" formatCode="_-* #,##0_-;\-* #,##0_-;_-* &quot;-&quot;??_-;_-@_-"/>
    <numFmt numFmtId="169" formatCode="&quot;0&quot;###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rebuchet MS"/>
      <family val="2"/>
    </font>
    <font>
      <sz val="10"/>
      <name val="Roboto"/>
    </font>
    <font>
      <b/>
      <sz val="10"/>
      <color theme="1"/>
      <name val="Roboto"/>
    </font>
    <font>
      <sz val="10"/>
      <color theme="1" tint="0.499984740745262"/>
      <name val="Roboto"/>
    </font>
    <font>
      <sz val="10"/>
      <color theme="1"/>
      <name val="Roboto"/>
    </font>
    <font>
      <b/>
      <sz val="10"/>
      <name val="Roboto"/>
    </font>
    <font>
      <b/>
      <sz val="10"/>
      <color theme="1" tint="0.499984740745262"/>
      <name val="Roboto"/>
    </font>
    <font>
      <sz val="10"/>
      <color theme="0" tint="-0.499984740745262"/>
      <name val="Roboto"/>
    </font>
    <font>
      <u/>
      <sz val="10"/>
      <color theme="10"/>
      <name val="Roboto"/>
    </font>
    <font>
      <sz val="10"/>
      <color rgb="FF006100"/>
      <name val="Roboto"/>
    </font>
    <font>
      <sz val="10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</cellStyleXfs>
  <cellXfs count="17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49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 wrapText="1"/>
    </xf>
    <xf numFmtId="3" fontId="2" fillId="0" borderId="0" xfId="0" applyNumberFormat="1" applyFont="1" applyAlignment="1">
      <alignment vertical="top"/>
    </xf>
    <xf numFmtId="4" fontId="2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8" fontId="0" fillId="0" borderId="2" xfId="2" applyNumberFormat="1" applyFont="1" applyBorder="1" applyAlignment="1">
      <alignment horizontal="center" vertical="top"/>
    </xf>
    <xf numFmtId="168" fontId="0" fillId="0" borderId="3" xfId="2" applyNumberFormat="1" applyFont="1" applyBorder="1" applyAlignment="1">
      <alignment horizontal="center" vertical="top"/>
    </xf>
    <xf numFmtId="168" fontId="0" fillId="0" borderId="0" xfId="2" applyNumberFormat="1" applyFont="1" applyBorder="1" applyAlignment="1">
      <alignment horizontal="center" vertical="top"/>
    </xf>
    <xf numFmtId="168" fontId="0" fillId="0" borderId="0" xfId="2" applyNumberFormat="1" applyFont="1" applyAlignment="1">
      <alignment horizontal="center" vertical="top"/>
    </xf>
    <xf numFmtId="168" fontId="0" fillId="0" borderId="0" xfId="2" applyNumberFormat="1" applyFont="1" applyFill="1" applyBorder="1" applyAlignment="1">
      <alignment horizontal="center" vertical="top"/>
    </xf>
    <xf numFmtId="168" fontId="0" fillId="0" borderId="0" xfId="2" applyNumberFormat="1" applyFont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vertical="center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right"/>
    </xf>
    <xf numFmtId="0" fontId="0" fillId="2" borderId="5" xfId="0" applyFill="1" applyBorder="1"/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5" fillId="0" borderId="14" xfId="1" applyFill="1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168" fontId="0" fillId="0" borderId="0" xfId="2" applyNumberFormat="1" applyFont="1" applyBorder="1" applyAlignment="1">
      <alignment horizontal="center" vertical="top" wrapText="1"/>
    </xf>
    <xf numFmtId="168" fontId="0" fillId="0" borderId="6" xfId="2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5" fillId="3" borderId="14" xfId="1" applyBorder="1" applyAlignment="1">
      <alignment horizontal="center" vertical="top"/>
    </xf>
    <xf numFmtId="0" fontId="5" fillId="3" borderId="13" xfId="1" applyBorder="1" applyAlignment="1">
      <alignment horizontal="center" vertical="top"/>
    </xf>
    <xf numFmtId="0" fontId="5" fillId="3" borderId="7" xfId="1" applyBorder="1" applyAlignment="1">
      <alignment horizontal="center" vertical="top"/>
    </xf>
    <xf numFmtId="0" fontId="0" fillId="0" borderId="15" xfId="0" applyBorder="1" applyAlignment="1">
      <alignment horizontal="left" vertical="top"/>
    </xf>
    <xf numFmtId="0" fontId="0" fillId="0" borderId="14" xfId="0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49" fontId="0" fillId="0" borderId="1" xfId="0" applyNumberFormat="1" applyBorder="1" applyAlignment="1">
      <alignment vertical="center"/>
    </xf>
    <xf numFmtId="49" fontId="0" fillId="0" borderId="15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10" fillId="0" borderId="0" xfId="0" applyFont="1" applyAlignment="1">
      <alignment horizontal="center" vertical="center"/>
    </xf>
    <xf numFmtId="0" fontId="13" fillId="0" borderId="0" xfId="0" applyFont="1"/>
    <xf numFmtId="49" fontId="13" fillId="0" borderId="2" xfId="0" applyNumberFormat="1" applyFont="1" applyBorder="1" applyAlignment="1">
      <alignment vertical="center"/>
    </xf>
    <xf numFmtId="0" fontId="13" fillId="0" borderId="1" xfId="0" applyFont="1" applyBorder="1"/>
    <xf numFmtId="0" fontId="13" fillId="0" borderId="9" xfId="0" applyFont="1" applyBorder="1" applyAlignment="1">
      <alignment horizontal="left" vertical="top"/>
    </xf>
    <xf numFmtId="0" fontId="13" fillId="0" borderId="11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6" fillId="0" borderId="2" xfId="0" applyFont="1" applyBorder="1" applyAlignment="1">
      <alignment horizontal="center" vertical="top"/>
    </xf>
    <xf numFmtId="168" fontId="13" fillId="0" borderId="2" xfId="2" applyNumberFormat="1" applyFont="1" applyBorder="1" applyAlignment="1">
      <alignment horizontal="center" vertical="top"/>
    </xf>
    <xf numFmtId="168" fontId="13" fillId="0" borderId="3" xfId="2" applyNumberFormat="1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166" fontId="13" fillId="0" borderId="3" xfId="0" applyNumberFormat="1" applyFont="1" applyBorder="1" applyAlignment="1">
      <alignment horizontal="center" vertical="top"/>
    </xf>
    <xf numFmtId="164" fontId="13" fillId="0" borderId="4" xfId="0" applyNumberFormat="1" applyFont="1" applyBorder="1" applyAlignment="1">
      <alignment horizontal="center" vertical="top"/>
    </xf>
    <xf numFmtId="167" fontId="13" fillId="0" borderId="1" xfId="0" applyNumberFormat="1" applyFont="1" applyBorder="1" applyAlignment="1">
      <alignment horizontal="center" vertical="top"/>
    </xf>
    <xf numFmtId="165" fontId="13" fillId="0" borderId="4" xfId="0" applyNumberFormat="1" applyFont="1" applyBorder="1" applyAlignment="1">
      <alignment horizontal="center" vertical="top"/>
    </xf>
    <xf numFmtId="49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8" fillId="3" borderId="0" xfId="1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168" fontId="13" fillId="0" borderId="0" xfId="2" applyNumberFormat="1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6" fontId="13" fillId="0" borderId="0" xfId="0" applyNumberFormat="1" applyFont="1" applyAlignment="1">
      <alignment horizontal="center" vertical="top"/>
    </xf>
    <xf numFmtId="164" fontId="13" fillId="0" borderId="0" xfId="0" applyNumberFormat="1" applyFont="1" applyAlignment="1">
      <alignment horizontal="center" vertical="top"/>
    </xf>
    <xf numFmtId="167" fontId="13" fillId="0" borderId="0" xfId="0" applyNumberFormat="1" applyFont="1" applyAlignment="1">
      <alignment horizontal="center" vertical="top"/>
    </xf>
    <xf numFmtId="165" fontId="13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top"/>
    </xf>
    <xf numFmtId="0" fontId="18" fillId="3" borderId="0" xfId="1" applyFont="1" applyAlignment="1">
      <alignment horizontal="center" vertical="top"/>
    </xf>
    <xf numFmtId="168" fontId="13" fillId="0" borderId="0" xfId="2" applyNumberFormat="1" applyFont="1" applyAlignment="1">
      <alignment horizontal="center" vertical="top"/>
    </xf>
    <xf numFmtId="0" fontId="19" fillId="0" borderId="0" xfId="0" applyFont="1" applyAlignment="1">
      <alignment horizontal="center" vertical="top"/>
    </xf>
    <xf numFmtId="49" fontId="13" fillId="0" borderId="0" xfId="0" applyNumberFormat="1" applyFont="1" applyAlignment="1">
      <alignment vertical="top"/>
    </xf>
    <xf numFmtId="168" fontId="10" fillId="0" borderId="0" xfId="2" applyNumberFormat="1" applyFont="1" applyAlignment="1">
      <alignment horizontal="center" vertical="top"/>
    </xf>
    <xf numFmtId="0" fontId="13" fillId="0" borderId="0" xfId="0" applyFont="1" applyAlignment="1">
      <alignment horizontal="left"/>
    </xf>
    <xf numFmtId="165" fontId="19" fillId="0" borderId="0" xfId="0" applyNumberFormat="1" applyFont="1" applyAlignment="1">
      <alignment horizontal="center" vertical="top"/>
    </xf>
    <xf numFmtId="0" fontId="18" fillId="0" borderId="0" xfId="1" applyFont="1" applyFill="1" applyBorder="1" applyAlignment="1">
      <alignment horizontal="center" vertical="top"/>
    </xf>
    <xf numFmtId="168" fontId="19" fillId="0" borderId="0" xfId="2" applyNumberFormat="1" applyFont="1" applyAlignment="1">
      <alignment horizontal="center" vertical="top"/>
    </xf>
    <xf numFmtId="168" fontId="13" fillId="0" borderId="0" xfId="2" applyNumberFormat="1" applyFont="1" applyFill="1" applyAlignment="1">
      <alignment horizontal="center" vertical="top"/>
    </xf>
    <xf numFmtId="49" fontId="19" fillId="0" borderId="0" xfId="0" applyNumberFormat="1" applyFont="1" applyAlignment="1">
      <alignment vertical="top"/>
    </xf>
    <xf numFmtId="0" fontId="13" fillId="0" borderId="0" xfId="0" applyFont="1" applyAlignment="1">
      <alignment horizontal="center" vertical="top" wrapText="1"/>
    </xf>
    <xf numFmtId="0" fontId="18" fillId="3" borderId="0" xfId="1" applyFont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168" fontId="13" fillId="0" borderId="0" xfId="2" applyNumberFormat="1" applyFont="1" applyAlignment="1">
      <alignment horizontal="center" vertical="top" wrapText="1"/>
    </xf>
    <xf numFmtId="0" fontId="18" fillId="0" borderId="0" xfId="1" applyFont="1" applyFill="1" applyAlignment="1">
      <alignment horizontal="center" vertical="top"/>
    </xf>
    <xf numFmtId="168" fontId="13" fillId="0" borderId="0" xfId="2" applyNumberFormat="1" applyFont="1" applyFill="1" applyBorder="1" applyAlignment="1">
      <alignment horizontal="center" vertical="top"/>
    </xf>
    <xf numFmtId="0" fontId="18" fillId="3" borderId="0" xfId="1" applyFont="1" applyBorder="1" applyAlignment="1">
      <alignment horizontal="center" vertical="top" wrapText="1"/>
    </xf>
    <xf numFmtId="168" fontId="13" fillId="0" borderId="0" xfId="2" applyNumberFormat="1" applyFont="1" applyAlignment="1">
      <alignment horizontal="left" vertical="top"/>
    </xf>
    <xf numFmtId="168" fontId="10" fillId="0" borderId="0" xfId="2" applyNumberFormat="1" applyFont="1" applyFill="1" applyBorder="1" applyAlignment="1">
      <alignment horizontal="center" vertical="top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166" fontId="10" fillId="0" borderId="0" xfId="0" applyNumberFormat="1" applyFont="1" applyAlignment="1">
      <alignment horizontal="center" vertical="top"/>
    </xf>
    <xf numFmtId="168" fontId="13" fillId="0" borderId="0" xfId="2" applyNumberFormat="1" applyFont="1" applyAlignment="1">
      <alignment horizontal="right" vertical="top"/>
    </xf>
    <xf numFmtId="49" fontId="13" fillId="0" borderId="0" xfId="0" applyNumberFormat="1" applyFont="1" applyAlignment="1">
      <alignment vertical="top" wrapText="1"/>
    </xf>
    <xf numFmtId="0" fontId="11" fillId="0" borderId="0" xfId="0" applyFont="1" applyAlignment="1">
      <alignment horizontal="center" vertical="top"/>
    </xf>
    <xf numFmtId="0" fontId="11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167" fontId="11" fillId="0" borderId="1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168" fontId="13" fillId="4" borderId="3" xfId="2" applyNumberFormat="1" applyFont="1" applyFill="1" applyBorder="1" applyAlignment="1">
      <alignment horizontal="center" vertical="top"/>
    </xf>
    <xf numFmtId="43" fontId="13" fillId="4" borderId="0" xfId="2" applyFont="1" applyFill="1" applyAlignment="1">
      <alignment horizontal="center" vertical="top"/>
    </xf>
    <xf numFmtId="0" fontId="12" fillId="0" borderId="1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top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0" fontId="17" fillId="0" borderId="0" xfId="3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5">
    <cellStyle name="Comma" xfId="2" builtinId="3"/>
    <cellStyle name="Good" xfId="1" builtinId="26"/>
    <cellStyle name="Hyperlink" xfId="3" builtinId="8"/>
    <cellStyle name="Normal" xfId="0" builtinId="0"/>
    <cellStyle name="Normal 3" xfId="4" xr:uid="{A9F8149D-D8B1-485A-B1AA-97E7B9D20E0A}"/>
  </cellStyles>
  <dxfs count="21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/>
        </patternFill>
      </fill>
    </dxf>
    <dxf>
      <font>
        <color rgb="FF1D4465"/>
      </font>
      <fill>
        <patternFill>
          <bgColor rgb="FF7EC8E3"/>
        </patternFill>
      </fill>
    </dxf>
    <dxf>
      <font>
        <color theme="0"/>
      </font>
      <fill>
        <patternFill>
          <bgColor rgb="FF347AB5"/>
        </patternFill>
      </fill>
    </dxf>
    <dxf>
      <font>
        <color theme="0"/>
      </font>
      <fill>
        <patternFill>
          <bgColor rgb="FF2AA876"/>
        </patternFill>
      </fill>
    </dxf>
    <dxf>
      <font>
        <color theme="0"/>
      </font>
      <fill>
        <patternFill>
          <bgColor rgb="FF943585"/>
        </patternFill>
      </fill>
    </dxf>
    <dxf>
      <font>
        <color rgb="FFC00000"/>
      </font>
      <fill>
        <patternFill>
          <bgColor theme="0" tint="-4.9989318521683403E-2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rgb="FF005DA2"/>
      </font>
      <fill>
        <patternFill>
          <bgColor theme="0" tint="-4.9989318521683403E-2"/>
        </patternFill>
      </fill>
    </dxf>
    <dxf>
      <font>
        <color rgb="FF287A51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5DA2"/>
      <color rgb="FF003E6C"/>
      <color rgb="FF287A51"/>
      <color rgb="FF339966"/>
      <color rgb="FFFF9900"/>
      <color rgb="FF2AA876"/>
      <color rgb="FFF4A261"/>
      <color rgb="FF808080"/>
      <color rgb="FFE63946"/>
      <color rgb="FFD01A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lanner@midfield.com.au" TargetMode="External"/><Relationship Id="rId18" Type="http://schemas.openxmlformats.org/officeDocument/2006/relationships/hyperlink" Target="mailto:James.Breen@georgerydell.com" TargetMode="External"/><Relationship Id="rId26" Type="http://schemas.openxmlformats.org/officeDocument/2006/relationships/hyperlink" Target="mailto:Bijiga.Defa@yumis.com.au" TargetMode="External"/><Relationship Id="rId39" Type="http://schemas.openxmlformats.org/officeDocument/2006/relationships/hyperlink" Target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TargetMode="External"/><Relationship Id="rId21" Type="http://schemas.openxmlformats.org/officeDocument/2006/relationships/hyperlink" Target="mailto:Bijiga.Defa@yumis.com.au" TargetMode="External"/><Relationship Id="rId34" Type="http://schemas.openxmlformats.org/officeDocument/2006/relationships/hyperlink" Target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TargetMode="External"/><Relationship Id="rId42" Type="http://schemas.openxmlformats.org/officeDocument/2006/relationships/hyperlink" Target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TargetMode="External"/><Relationship Id="rId47" Type="http://schemas.openxmlformats.org/officeDocument/2006/relationships/hyperlink" Target="https://www.google.com/search?q=Aurora+Foods%0D%0A&amp;sca_esv=8b7032114d8adf20&amp;rlz=1C1OPNX_en-GBAU1166AU1166&amp;biw=1718&amp;bih=1270&amp;sxsrf=ANbL-n6dymRacNANjUF4BRfAR52-J9_4gg%3A1773611964028&amp;ei=vCu3aeq7AbaGnesPz7GhgQc&amp;ved=0ahUKEwjqide486KTAxU2Q2cHHc9YKHAQ4dUDCBE&amp;uact=5&amp;oq=Aurora+Foods%0D%0A&amp;gs_lp=Egxnd3Mtd2l6LXNlcnAiDUF1cm9yYSBGb29kcwpIAFAAWABwAHgBkAEAmAEAoAEAqgEAuAEDyAEA-AEC-AEBmAIAoAIAmAMA4gMFEgExIECSBwCgBwCyBwC4BwDCBwDIBwCACAA&amp;sclient=gws-wiz-serp" TargetMode="External"/><Relationship Id="rId7" Type="http://schemas.openxmlformats.org/officeDocument/2006/relationships/hyperlink" Target="mailto:Sydney.Muller@farmpride.com.au" TargetMode="External"/><Relationship Id="rId2" Type="http://schemas.openxmlformats.org/officeDocument/2006/relationships/hyperlink" Target="mailto:Sydney.Muller@farmpride.com.au" TargetMode="External"/><Relationship Id="rId16" Type="http://schemas.openxmlformats.org/officeDocument/2006/relationships/hyperlink" Target="mailto:gerty@biodynamic.om.au" TargetMode="External"/><Relationship Id="rId29" Type="http://schemas.openxmlformats.org/officeDocument/2006/relationships/hyperlink" Target="mailto:Bijiga.Defa@yumis.com.au" TargetMode="External"/><Relationship Id="rId11" Type="http://schemas.openxmlformats.org/officeDocument/2006/relationships/hyperlink" Target="mailto:paul@gazzolafarms.com.au" TargetMode="External"/><Relationship Id="rId24" Type="http://schemas.openxmlformats.org/officeDocument/2006/relationships/hyperlink" Target="mailto:Bijiga.Defa@yumis.com.au" TargetMode="External"/><Relationship Id="rId32" Type="http://schemas.openxmlformats.org/officeDocument/2006/relationships/hyperlink" Target="https://www.google.com/search?q=Hawkes+Vegetables&amp;rlz=1C1OPNX_en-GBAU1166AU1166&amp;oq=Hawkes+Vegetables&amp;gs_lcrp=EgZjaHJvbWUyBggAEEUYOdIBBzM0NGowajSoAgCwAgE&amp;sourceid=chrome&amp;ie=UTF-8" TargetMode="External"/><Relationship Id="rId37" Type="http://schemas.openxmlformats.org/officeDocument/2006/relationships/hyperlink" Target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TargetMode="External"/><Relationship Id="rId40" Type="http://schemas.openxmlformats.org/officeDocument/2006/relationships/hyperlink" Target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TargetMode="External"/><Relationship Id="rId45" Type="http://schemas.openxmlformats.org/officeDocument/2006/relationships/hyperlink" Target="https://www.google.com/search?q=Aligator+Pasta&amp;rlz=1C1OPNX_en-GBAU1166AU1166&amp;oq=Aligator+Pasta&amp;gs_lcrp=EgZjaHJvbWUyBggAEEUYOTIGCAEQRRg70gEHNjU5ajBqOagCALACAQ&amp;sourceid=chrome&amp;ie=UTF-8" TargetMode="External"/><Relationship Id="rId5" Type="http://schemas.openxmlformats.org/officeDocument/2006/relationships/hyperlink" Target="mailto:Bijiga.Defa@yumis.com.au" TargetMode="External"/><Relationship Id="rId15" Type="http://schemas.openxmlformats.org/officeDocument/2006/relationships/hyperlink" Target="mailto:James.Breen@georgerydell.com" TargetMode="External"/><Relationship Id="rId23" Type="http://schemas.openxmlformats.org/officeDocument/2006/relationships/hyperlink" Target="mailto:Bijiga.Defa@yumis.com.au" TargetMode="External"/><Relationship Id="rId28" Type="http://schemas.openxmlformats.org/officeDocument/2006/relationships/hyperlink" Target="mailto:Bijiga.Defa@yumis.com.au" TargetMode="External"/><Relationship Id="rId36" Type="http://schemas.openxmlformats.org/officeDocument/2006/relationships/hyperlink" Target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mailto:paul@gazzolafarms.com.au" TargetMode="External"/><Relationship Id="rId19" Type="http://schemas.openxmlformats.org/officeDocument/2006/relationships/hyperlink" Target="mailto:Sydney.Muller@farmpride.com.au" TargetMode="External"/><Relationship Id="rId31" Type="http://schemas.openxmlformats.org/officeDocument/2006/relationships/hyperlink" Target="mailto:Bijiga.Defa@yumis.com.au" TargetMode="External"/><Relationship Id="rId44" Type="http://schemas.openxmlformats.org/officeDocument/2006/relationships/hyperlink" Target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TargetMode="External"/><Relationship Id="rId4" Type="http://schemas.openxmlformats.org/officeDocument/2006/relationships/hyperlink" Target="mailto:deryan@coprice.com.au" TargetMode="External"/><Relationship Id="rId9" Type="http://schemas.openxmlformats.org/officeDocument/2006/relationships/hyperlink" Target="mailto:paul@gazzolafarms.com.au" TargetMode="External"/><Relationship Id="rId14" Type="http://schemas.openxmlformats.org/officeDocument/2006/relationships/hyperlink" Target="mailto:sales@monkbrothers.com.au" TargetMode="External"/><Relationship Id="rId22" Type="http://schemas.openxmlformats.org/officeDocument/2006/relationships/hyperlink" Target="mailto:Bijiga.Defa@yumis.com.au" TargetMode="External"/><Relationship Id="rId27" Type="http://schemas.openxmlformats.org/officeDocument/2006/relationships/hyperlink" Target="mailto:Bijiga.Defa@yumis.com.au" TargetMode="External"/><Relationship Id="rId30" Type="http://schemas.openxmlformats.org/officeDocument/2006/relationships/hyperlink" Target="mailto:Bijiga.Defa@yumis.com.au" TargetMode="External"/><Relationship Id="rId35" Type="http://schemas.openxmlformats.org/officeDocument/2006/relationships/hyperlink" Target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TargetMode="External"/><Relationship Id="rId43" Type="http://schemas.openxmlformats.org/officeDocument/2006/relationships/hyperlink" Target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TargetMode="External"/><Relationship Id="rId48" Type="http://schemas.openxmlformats.org/officeDocument/2006/relationships/hyperlink" Target="https://www.google.com/search?q=Aurora+Foods%0D%0A&amp;sca_esv=8b7032114d8adf20&amp;rlz=1C1OPNX_en-GBAU1166AU1166&amp;biw=1718&amp;bih=1270&amp;sxsrf=ANbL-n6dymRacNANjUF4BRfAR52-J9_4gg%3A1773611964028&amp;ei=vCu3aeq7AbaGnesPz7GhgQc&amp;ved=0ahUKEwjqide486KTAxU2Q2cHHc9YKHAQ4dUDCBE&amp;uact=5&amp;oq=Aurora+Foods%0D%0A&amp;gs_lp=Egxnd3Mtd2l6LXNlcnAiDUF1cm9yYSBGb29kcwpIAFAAWABwAHgBkAEAmAEAoAEAqgEAuAEDyAEA-AEC-AEBmAIAoAIAmAMA4gMFEgExIECSBwCgBwCyBwC4BwDCBwDIBwCACAA&amp;sclient=gws-wiz-serp" TargetMode="External"/><Relationship Id="rId8" Type="http://schemas.openxmlformats.org/officeDocument/2006/relationships/hyperlink" Target="mailto:Sydney.Muller@farmpride.com.au" TargetMode="External"/><Relationship Id="rId3" Type="http://schemas.openxmlformats.org/officeDocument/2006/relationships/hyperlink" Target="mailto:deryan@coprice.com.au" TargetMode="External"/><Relationship Id="rId12" Type="http://schemas.openxmlformats.org/officeDocument/2006/relationships/hyperlink" Target="mailto:planner@midfield.com.au" TargetMode="External"/><Relationship Id="rId17" Type="http://schemas.openxmlformats.org/officeDocument/2006/relationships/hyperlink" Target="mailto:gerty@biodynamic.om.au" TargetMode="External"/><Relationship Id="rId25" Type="http://schemas.openxmlformats.org/officeDocument/2006/relationships/hyperlink" Target="mailto:Bijiga.Defa@yumis.com.au" TargetMode="External"/><Relationship Id="rId33" Type="http://schemas.openxmlformats.org/officeDocument/2006/relationships/hyperlink" Target="https://www.google.com/search?q=Hawkes+Vegetables&amp;rlz=1C1OPNX_en-GBAU1166AU1166&amp;oq=Hawkes+Vegetables&amp;gs_lcrp=EgZjaHJvbWUyBggAEEUYOdIBBzM0NGowajSoAgCwAgE&amp;sourceid=chrome&amp;ie=UTF-8" TargetMode="External"/><Relationship Id="rId38" Type="http://schemas.openxmlformats.org/officeDocument/2006/relationships/hyperlink" Target="https://www.google.com/search?q=Meat+2++%0D%0A&amp;sca_esv=8b7032114d8adf20&amp;rlz=1C1OPNX_en-GBAU1166AU1166&amp;biw=1424&amp;bih=922&amp;sxsrf=ANbL-n5L5WsM97nd6NAXQKaJuehBp_8iEA%3A1773610196417&amp;ei=1CS3aZOYGa6k2roPtfOg4Qc&amp;ved=0ahUKEwiT0ujt7KKTAxUuklYBHbU5KHwQ4dUDCBE&amp;uact=5&amp;oq=Meat+2++%0D%0A&amp;gs_lp=Egxnd3Mtd2l6LXNlcnAiCU1lYXQgMiAgCkgAUABYAHAAeAGQAQCYAQCgAQCqAQC4AQPIAQD4AQL4AQGYAgCgAgCYAwCSBwCgBwCyBwC4BwDCBwDIBwCACAA&amp;sclient=gws-wiz-serp" TargetMode="External"/><Relationship Id="rId46" Type="http://schemas.openxmlformats.org/officeDocument/2006/relationships/hyperlink" Target="https://www.google.com/search?q=Aligator+Pasta&amp;rlz=1C1OPNX_en-GBAU1166AU1166&amp;oq=Aligator+Pasta&amp;gs_lcrp=EgZjaHJvbWUyBggAEEUYOTIGCAEQRRg70gEHNjU5ajBqOagCALACAQ&amp;sourceid=chrome&amp;ie=UTF-8" TargetMode="External"/><Relationship Id="rId20" Type="http://schemas.openxmlformats.org/officeDocument/2006/relationships/hyperlink" Target="mailto:Sydney.Muller@farmpride.com.au" TargetMode="External"/><Relationship Id="rId41" Type="http://schemas.openxmlformats.org/officeDocument/2006/relationships/hyperlink" Target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TargetMode="External"/><Relationship Id="rId1" Type="http://schemas.openxmlformats.org/officeDocument/2006/relationships/hyperlink" Target="mailto:Sydney.Muller@farmpride.com.au" TargetMode="External"/><Relationship Id="rId6" Type="http://schemas.openxmlformats.org/officeDocument/2006/relationships/hyperlink" Target="mailto:catherine.howard@awgd.net.a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DB8A8-3FA6-4C08-B022-57A592040621}">
  <dimension ref="A1:AC969"/>
  <sheetViews>
    <sheetView tabSelected="1" zoomScale="115" zoomScaleNormal="115" workbookViewId="0">
      <selection activeCell="D8" activeCellId="1" sqref="D7 D8"/>
    </sheetView>
  </sheetViews>
  <sheetFormatPr defaultColWidth="9.1328125" defaultRowHeight="13.15" x14ac:dyDescent="0.4"/>
  <cols>
    <col min="1" max="1" width="15.73046875" style="83" customWidth="1"/>
    <col min="2" max="2" width="12.73046875" style="64" customWidth="1"/>
    <col min="3" max="3" width="35.59765625" style="104" customWidth="1"/>
    <col min="4" max="4" width="55.73046875" style="143" customWidth="1"/>
    <col min="5" max="5" width="15.73046875" style="143" hidden="1" customWidth="1"/>
    <col min="6" max="6" width="30.73046875" style="143" hidden="1" customWidth="1"/>
    <col min="7" max="7" width="15.73046875" style="143" hidden="1" customWidth="1"/>
    <col min="8" max="8" width="6.59765625" style="86" customWidth="1"/>
    <col min="9" max="9" width="5.73046875" style="86" customWidth="1"/>
    <col min="10" max="10" width="9.73046875" style="86" customWidth="1"/>
    <col min="11" max="11" width="6.1328125" style="88" customWidth="1"/>
    <col min="12" max="14" width="7.73046875" style="100" customWidth="1"/>
    <col min="15" max="15" width="6.1328125" style="88" customWidth="1"/>
    <col min="16" max="16" width="10.73046875" style="90" customWidth="1"/>
    <col min="17" max="17" width="10.73046875" style="86" customWidth="1"/>
    <col min="18" max="18" width="10.73046875" style="90" customWidth="1"/>
    <col min="19" max="19" width="6.73046875" style="86" customWidth="1"/>
    <col min="20" max="20" width="10.73046875" style="91" customWidth="1"/>
    <col min="21" max="21" width="10.73046875" style="92" customWidth="1"/>
    <col min="22" max="22" width="10.73046875" style="93" customWidth="1"/>
    <col min="23" max="23" width="5.73046875" style="94" customWidth="1"/>
    <col min="24" max="24" width="10.73046875" style="86" customWidth="1"/>
    <col min="25" max="25" width="8.59765625" style="86" bestFit="1" customWidth="1"/>
    <col min="26" max="28" width="5.73046875" style="86" customWidth="1"/>
    <col min="29" max="29" width="99.265625" style="98" customWidth="1"/>
    <col min="30" max="16384" width="9.1328125" style="64"/>
  </cols>
  <sheetData>
    <row r="1" spans="1:29" x14ac:dyDescent="0.4">
      <c r="A1" s="150" t="s">
        <v>0</v>
      </c>
      <c r="B1" s="152" t="s">
        <v>2</v>
      </c>
      <c r="C1" s="156" t="s">
        <v>4361</v>
      </c>
      <c r="D1" s="158" t="s">
        <v>4362</v>
      </c>
      <c r="E1" s="156" t="s">
        <v>4363</v>
      </c>
      <c r="F1" s="160"/>
      <c r="G1" s="158"/>
      <c r="H1" s="152" t="s">
        <v>1556</v>
      </c>
      <c r="I1" s="154" t="s">
        <v>4209</v>
      </c>
      <c r="J1" s="155"/>
      <c r="K1" s="155"/>
      <c r="L1" s="155"/>
      <c r="M1" s="155"/>
      <c r="N1" s="155"/>
      <c r="O1" s="155"/>
      <c r="P1" s="127"/>
      <c r="Q1" s="127"/>
      <c r="R1" s="127"/>
      <c r="S1" s="127"/>
      <c r="T1" s="127"/>
      <c r="U1" s="127"/>
      <c r="V1" s="127"/>
      <c r="W1" s="127"/>
      <c r="X1" s="128"/>
      <c r="Y1" s="127"/>
      <c r="Z1" s="127"/>
      <c r="AA1" s="127"/>
      <c r="AB1" s="127"/>
      <c r="AC1" s="137"/>
    </row>
    <row r="2" spans="1:29" x14ac:dyDescent="0.4">
      <c r="A2" s="151"/>
      <c r="B2" s="153"/>
      <c r="C2" s="157"/>
      <c r="D2" s="159"/>
      <c r="E2" s="157"/>
      <c r="F2" s="161"/>
      <c r="G2" s="159"/>
      <c r="H2" s="153"/>
      <c r="I2" s="141" t="s">
        <v>1122</v>
      </c>
      <c r="J2" s="130" t="s">
        <v>1146</v>
      </c>
      <c r="K2" s="126" t="s">
        <v>5</v>
      </c>
      <c r="L2" s="127"/>
      <c r="M2" s="127"/>
      <c r="N2" s="127"/>
      <c r="O2" s="129"/>
      <c r="P2" s="131" t="s">
        <v>3032</v>
      </c>
      <c r="Q2" s="126" t="s">
        <v>8</v>
      </c>
      <c r="R2" s="129"/>
      <c r="S2" s="126" t="s">
        <v>1124</v>
      </c>
      <c r="T2" s="129"/>
      <c r="U2" s="132" t="s">
        <v>1126</v>
      </c>
      <c r="V2" s="133" t="s">
        <v>1137</v>
      </c>
      <c r="W2" s="134" t="s">
        <v>3048</v>
      </c>
      <c r="X2" s="126" t="s">
        <v>4036</v>
      </c>
      <c r="Y2" s="147" t="s">
        <v>1139</v>
      </c>
      <c r="Z2" s="148"/>
      <c r="AA2" s="149"/>
      <c r="AB2" s="130" t="s">
        <v>2769</v>
      </c>
      <c r="AC2" s="138" t="s">
        <v>2770</v>
      </c>
    </row>
    <row r="3" spans="1:29" x14ac:dyDescent="0.4">
      <c r="A3" s="65" t="s">
        <v>9</v>
      </c>
      <c r="B3" s="66" t="s">
        <v>1140</v>
      </c>
      <c r="C3" s="67" t="s">
        <v>1141</v>
      </c>
      <c r="D3" s="142" t="s">
        <v>1145</v>
      </c>
      <c r="E3" s="144" t="s">
        <v>1143</v>
      </c>
      <c r="F3" s="144" t="s">
        <v>1144</v>
      </c>
      <c r="G3" s="142" t="s">
        <v>1142</v>
      </c>
      <c r="H3" s="68" t="s">
        <v>9</v>
      </c>
      <c r="I3" s="69"/>
      <c r="J3" s="72" t="s">
        <v>1135</v>
      </c>
      <c r="K3" s="73" t="s">
        <v>3128</v>
      </c>
      <c r="L3" s="74" t="s">
        <v>3042</v>
      </c>
      <c r="M3" s="75" t="s">
        <v>3043</v>
      </c>
      <c r="N3" s="135" t="s">
        <v>4189</v>
      </c>
      <c r="O3" s="76" t="s">
        <v>3127</v>
      </c>
      <c r="P3" s="77" t="s">
        <v>1129</v>
      </c>
      <c r="Q3" s="72" t="s">
        <v>4157</v>
      </c>
      <c r="R3" s="78" t="s">
        <v>3038</v>
      </c>
      <c r="S3" s="69" t="s">
        <v>1125</v>
      </c>
      <c r="T3" s="79" t="s">
        <v>1123</v>
      </c>
      <c r="U3" s="80" t="s">
        <v>1136</v>
      </c>
      <c r="V3" s="81"/>
      <c r="W3" s="82"/>
      <c r="X3" s="71" t="s">
        <v>4081</v>
      </c>
      <c r="Y3" s="70" t="s">
        <v>3046</v>
      </c>
      <c r="Z3" s="70" t="s">
        <v>3051</v>
      </c>
      <c r="AA3" s="70" t="s">
        <v>3052</v>
      </c>
      <c r="AB3" s="72"/>
      <c r="AC3" s="139"/>
    </row>
    <row r="4" spans="1:29" x14ac:dyDescent="0.4">
      <c r="A4" s="102" t="s">
        <v>33</v>
      </c>
      <c r="B4" s="85" t="s">
        <v>580</v>
      </c>
      <c r="C4" s="84" t="s">
        <v>1302</v>
      </c>
      <c r="E4" s="145"/>
      <c r="I4" s="106" t="s">
        <v>1133</v>
      </c>
      <c r="L4" s="100">
        <v>4020</v>
      </c>
      <c r="M4" s="100">
        <v>4500</v>
      </c>
      <c r="N4" s="136">
        <f t="shared" ref="N4:N11" si="0">L4*M4/1000000</f>
        <v>18.09</v>
      </c>
      <c r="Q4" s="86" t="s">
        <v>3840</v>
      </c>
      <c r="R4" s="86" t="s">
        <v>3863</v>
      </c>
      <c r="S4" s="86" t="s">
        <v>2768</v>
      </c>
      <c r="AB4" s="86" t="s">
        <v>2769</v>
      </c>
      <c r="AC4" s="98" t="s">
        <v>3864</v>
      </c>
    </row>
    <row r="5" spans="1:29" x14ac:dyDescent="0.4">
      <c r="A5" s="102" t="s">
        <v>35</v>
      </c>
      <c r="B5" s="85" t="s">
        <v>581</v>
      </c>
      <c r="C5" s="84" t="s">
        <v>1302</v>
      </c>
      <c r="E5" s="145"/>
      <c r="I5" s="106" t="s">
        <v>4027</v>
      </c>
      <c r="L5" s="100">
        <v>2120</v>
      </c>
      <c r="M5" s="100">
        <v>3000</v>
      </c>
      <c r="N5" s="136">
        <f t="shared" si="0"/>
        <v>6.36</v>
      </c>
      <c r="R5" s="86"/>
      <c r="S5" s="86" t="s">
        <v>2768</v>
      </c>
      <c r="AC5" s="98" t="s">
        <v>3664</v>
      </c>
    </row>
    <row r="6" spans="1:29" x14ac:dyDescent="0.4">
      <c r="A6" s="102" t="s">
        <v>1303</v>
      </c>
      <c r="B6" s="85" t="s">
        <v>582</v>
      </c>
      <c r="C6" s="84" t="s">
        <v>1302</v>
      </c>
      <c r="E6" s="145"/>
      <c r="I6" s="106" t="s">
        <v>1133</v>
      </c>
      <c r="L6" s="100">
        <v>4810</v>
      </c>
      <c r="M6" s="100">
        <v>4600</v>
      </c>
      <c r="N6" s="136">
        <f t="shared" si="0"/>
        <v>22.126000000000001</v>
      </c>
      <c r="R6" s="86"/>
      <c r="S6" s="86" t="s">
        <v>2766</v>
      </c>
      <c r="AC6" s="98" t="s">
        <v>3860</v>
      </c>
    </row>
    <row r="7" spans="1:29" x14ac:dyDescent="0.4">
      <c r="A7" s="102" t="s">
        <v>1304</v>
      </c>
      <c r="B7" s="85" t="s">
        <v>582</v>
      </c>
      <c r="C7" s="84" t="s">
        <v>1302</v>
      </c>
      <c r="E7" s="145"/>
      <c r="I7" s="106" t="s">
        <v>1133</v>
      </c>
      <c r="L7" s="100">
        <v>4810</v>
      </c>
      <c r="M7" s="100">
        <v>4600</v>
      </c>
      <c r="N7" s="136">
        <f t="shared" si="0"/>
        <v>22.126000000000001</v>
      </c>
      <c r="R7" s="86"/>
      <c r="S7" s="86" t="s">
        <v>2768</v>
      </c>
      <c r="AC7" s="98" t="s">
        <v>3859</v>
      </c>
    </row>
    <row r="8" spans="1:29" x14ac:dyDescent="0.4">
      <c r="A8" s="102" t="s">
        <v>1386</v>
      </c>
      <c r="B8" s="85" t="s">
        <v>2676</v>
      </c>
      <c r="C8" s="84" t="s">
        <v>1302</v>
      </c>
      <c r="E8" s="145"/>
      <c r="I8" s="106" t="s">
        <v>4027</v>
      </c>
      <c r="L8" s="100">
        <v>3000</v>
      </c>
      <c r="M8" s="100">
        <v>3800</v>
      </c>
      <c r="N8" s="136">
        <f t="shared" si="0"/>
        <v>11.4</v>
      </c>
      <c r="Q8" s="86" t="s">
        <v>3054</v>
      </c>
      <c r="R8" s="86"/>
      <c r="S8" s="86" t="s">
        <v>2768</v>
      </c>
      <c r="AC8" s="98" t="s">
        <v>3651</v>
      </c>
    </row>
    <row r="9" spans="1:29" x14ac:dyDescent="0.4">
      <c r="A9" s="102" t="s">
        <v>46</v>
      </c>
      <c r="B9" s="85" t="s">
        <v>587</v>
      </c>
      <c r="C9" s="84" t="s">
        <v>1302</v>
      </c>
      <c r="E9" s="145"/>
      <c r="I9" s="106" t="s">
        <v>1133</v>
      </c>
      <c r="L9" s="100">
        <v>5000</v>
      </c>
      <c r="M9" s="100">
        <v>4800</v>
      </c>
      <c r="N9" s="136">
        <f t="shared" si="0"/>
        <v>24</v>
      </c>
      <c r="Q9" s="86" t="s">
        <v>3842</v>
      </c>
      <c r="R9" s="86"/>
      <c r="S9" s="86" t="s">
        <v>2766</v>
      </c>
      <c r="AC9" s="98" t="s">
        <v>1405</v>
      </c>
    </row>
    <row r="10" spans="1:29" x14ac:dyDescent="0.4">
      <c r="A10" s="102" t="s">
        <v>49</v>
      </c>
      <c r="B10" s="85" t="s">
        <v>1419</v>
      </c>
      <c r="C10" s="84" t="s">
        <v>1302</v>
      </c>
      <c r="E10" s="145"/>
      <c r="I10" s="106"/>
      <c r="L10" s="100">
        <v>3005</v>
      </c>
      <c r="M10" s="100">
        <v>2705</v>
      </c>
      <c r="N10" s="136">
        <f t="shared" si="0"/>
        <v>8.1285249999999998</v>
      </c>
      <c r="Q10" s="86" t="s">
        <v>3069</v>
      </c>
      <c r="R10" s="86"/>
      <c r="S10" s="86" t="s">
        <v>2768</v>
      </c>
      <c r="AC10" s="98" t="s">
        <v>3643</v>
      </c>
    </row>
    <row r="11" spans="1:29" x14ac:dyDescent="0.4">
      <c r="A11" s="102" t="s">
        <v>24</v>
      </c>
      <c r="B11" s="85" t="s">
        <v>576</v>
      </c>
      <c r="C11" s="84" t="s">
        <v>878</v>
      </c>
      <c r="E11" s="145"/>
      <c r="H11" s="86">
        <v>2</v>
      </c>
      <c r="I11" s="106" t="s">
        <v>1133</v>
      </c>
      <c r="L11" s="100">
        <v>4300</v>
      </c>
      <c r="M11" s="100">
        <v>4670</v>
      </c>
      <c r="N11" s="136">
        <f t="shared" si="0"/>
        <v>20.081</v>
      </c>
      <c r="R11" s="86"/>
      <c r="AC11" s="98" t="s">
        <v>3885</v>
      </c>
    </row>
    <row r="12" spans="1:29" x14ac:dyDescent="0.4">
      <c r="A12" s="102" t="s">
        <v>3814</v>
      </c>
      <c r="B12" s="85" t="s">
        <v>1782</v>
      </c>
      <c r="C12" s="84" t="s">
        <v>1783</v>
      </c>
      <c r="E12" s="145"/>
      <c r="I12" s="106"/>
      <c r="R12" s="86"/>
      <c r="AC12" s="98">
        <v>228</v>
      </c>
    </row>
    <row r="13" spans="1:29" x14ac:dyDescent="0.4">
      <c r="A13" s="102" t="s">
        <v>112</v>
      </c>
      <c r="B13" s="85" t="s">
        <v>1683</v>
      </c>
      <c r="C13" s="84" t="s">
        <v>3820</v>
      </c>
      <c r="E13" s="145"/>
      <c r="I13" s="106" t="s">
        <v>3001</v>
      </c>
      <c r="R13" s="86"/>
      <c r="AC13" s="98" t="s">
        <v>562</v>
      </c>
    </row>
    <row r="14" spans="1:29" x14ac:dyDescent="0.4">
      <c r="A14" s="102" t="s">
        <v>511</v>
      </c>
      <c r="B14" s="85" t="s">
        <v>856</v>
      </c>
      <c r="C14" s="84" t="s">
        <v>2886</v>
      </c>
      <c r="D14" s="143" t="s">
        <v>4323</v>
      </c>
      <c r="E14" s="143" t="s">
        <v>4418</v>
      </c>
      <c r="I14" s="106" t="s">
        <v>4027</v>
      </c>
      <c r="J14" s="86">
        <v>125</v>
      </c>
      <c r="L14" s="100">
        <v>4000</v>
      </c>
      <c r="M14" s="100">
        <v>4500</v>
      </c>
      <c r="N14" s="136">
        <f t="shared" ref="N14:N25" si="1">L14*M14/1000000</f>
        <v>18</v>
      </c>
      <c r="P14" s="90" t="s">
        <v>1132</v>
      </c>
      <c r="Q14" s="86" t="s">
        <v>3054</v>
      </c>
      <c r="R14" s="86"/>
      <c r="S14" s="86" t="s">
        <v>2766</v>
      </c>
      <c r="T14" s="91">
        <v>0.75</v>
      </c>
      <c r="U14" s="92">
        <v>10</v>
      </c>
      <c r="Z14" s="99" t="s">
        <v>3051</v>
      </c>
      <c r="AB14" s="86" t="s">
        <v>2769</v>
      </c>
      <c r="AC14" s="98" t="s">
        <v>2055</v>
      </c>
    </row>
    <row r="15" spans="1:29" x14ac:dyDescent="0.4">
      <c r="A15" s="102" t="s">
        <v>3537</v>
      </c>
      <c r="B15" s="85" t="s">
        <v>684</v>
      </c>
      <c r="C15" s="84" t="s">
        <v>2625</v>
      </c>
      <c r="D15" s="143" t="s">
        <v>4323</v>
      </c>
      <c r="E15" s="143" t="s">
        <v>4418</v>
      </c>
      <c r="I15" s="106" t="s">
        <v>4027</v>
      </c>
      <c r="J15" s="86">
        <v>100</v>
      </c>
      <c r="L15" s="100">
        <v>1600</v>
      </c>
      <c r="M15" s="100">
        <v>2400</v>
      </c>
      <c r="N15" s="136">
        <f t="shared" si="1"/>
        <v>3.84</v>
      </c>
      <c r="P15" s="90" t="s">
        <v>1132</v>
      </c>
      <c r="Q15" s="86" t="s">
        <v>3054</v>
      </c>
      <c r="R15" s="86" t="s">
        <v>3078</v>
      </c>
      <c r="S15" s="86" t="s">
        <v>2768</v>
      </c>
      <c r="AB15" s="86" t="s">
        <v>3047</v>
      </c>
      <c r="AC15" s="98" t="s">
        <v>3539</v>
      </c>
    </row>
    <row r="16" spans="1:29" x14ac:dyDescent="0.4">
      <c r="A16" s="102" t="s">
        <v>3538</v>
      </c>
      <c r="B16" s="85" t="s">
        <v>684</v>
      </c>
      <c r="C16" s="84" t="s">
        <v>2625</v>
      </c>
      <c r="D16" s="143" t="s">
        <v>4323</v>
      </c>
      <c r="E16" s="143" t="s">
        <v>4418</v>
      </c>
      <c r="I16" s="106" t="s">
        <v>4027</v>
      </c>
      <c r="J16" s="86">
        <v>100</v>
      </c>
      <c r="L16" s="100">
        <v>2000</v>
      </c>
      <c r="M16" s="100">
        <v>2500</v>
      </c>
      <c r="N16" s="136">
        <f t="shared" si="1"/>
        <v>5</v>
      </c>
      <c r="P16" s="90" t="s">
        <v>1132</v>
      </c>
      <c r="Q16" s="86" t="s">
        <v>3062</v>
      </c>
      <c r="R16" s="86" t="s">
        <v>3078</v>
      </c>
      <c r="S16" s="86" t="s">
        <v>2768</v>
      </c>
      <c r="AC16" s="98" t="s">
        <v>3540</v>
      </c>
    </row>
    <row r="17" spans="1:29" x14ac:dyDescent="0.4">
      <c r="A17" s="102" t="s">
        <v>3223</v>
      </c>
      <c r="B17" s="85" t="s">
        <v>745</v>
      </c>
      <c r="C17" s="84" t="s">
        <v>2625</v>
      </c>
      <c r="D17" s="143" t="s">
        <v>4323</v>
      </c>
      <c r="E17" s="143" t="s">
        <v>4418</v>
      </c>
      <c r="I17" s="106" t="s">
        <v>4027</v>
      </c>
      <c r="J17" s="86">
        <v>125</v>
      </c>
      <c r="L17" s="100">
        <v>3500</v>
      </c>
      <c r="M17" s="100">
        <v>3500</v>
      </c>
      <c r="N17" s="136">
        <f t="shared" si="1"/>
        <v>12.25</v>
      </c>
      <c r="P17" s="90" t="s">
        <v>1132</v>
      </c>
      <c r="Q17" s="86" t="s">
        <v>3066</v>
      </c>
      <c r="R17" s="86"/>
      <c r="S17" s="86" t="s">
        <v>2766</v>
      </c>
      <c r="T17" s="91">
        <v>0.75</v>
      </c>
      <c r="V17" s="93">
        <v>1</v>
      </c>
      <c r="Z17" s="87" t="s">
        <v>3051</v>
      </c>
      <c r="AB17" s="86" t="s">
        <v>2769</v>
      </c>
      <c r="AC17" s="98" t="s">
        <v>3271</v>
      </c>
    </row>
    <row r="18" spans="1:29" x14ac:dyDescent="0.4">
      <c r="A18" s="102" t="s">
        <v>435</v>
      </c>
      <c r="B18" s="85" t="s">
        <v>820</v>
      </c>
      <c r="C18" s="84" t="s">
        <v>2192</v>
      </c>
      <c r="E18" s="145"/>
      <c r="I18" s="106" t="s">
        <v>4027</v>
      </c>
      <c r="J18" s="86">
        <v>125</v>
      </c>
      <c r="L18" s="100">
        <v>2300</v>
      </c>
      <c r="M18" s="100">
        <v>3200</v>
      </c>
      <c r="N18" s="136">
        <f t="shared" si="1"/>
        <v>7.36</v>
      </c>
      <c r="P18" s="90" t="s">
        <v>1132</v>
      </c>
      <c r="Q18" s="86" t="s">
        <v>3062</v>
      </c>
      <c r="R18" s="86"/>
      <c r="S18" s="86" t="s">
        <v>2766</v>
      </c>
      <c r="T18" s="91">
        <v>0.75</v>
      </c>
      <c r="U18" s="92">
        <v>10</v>
      </c>
      <c r="V18" s="93">
        <v>1</v>
      </c>
      <c r="Z18" s="99" t="s">
        <v>3051</v>
      </c>
      <c r="AB18" s="86" t="s">
        <v>2769</v>
      </c>
      <c r="AC18" s="98" t="s">
        <v>2914</v>
      </c>
    </row>
    <row r="19" spans="1:29" x14ac:dyDescent="0.4">
      <c r="A19" s="102" t="s">
        <v>32</v>
      </c>
      <c r="B19" s="85" t="s">
        <v>1274</v>
      </c>
      <c r="C19" s="84" t="s">
        <v>3715</v>
      </c>
      <c r="E19" s="145"/>
      <c r="I19" s="106" t="s">
        <v>4027</v>
      </c>
      <c r="L19" s="100">
        <v>2400</v>
      </c>
      <c r="M19" s="100">
        <v>4500</v>
      </c>
      <c r="N19" s="136">
        <f t="shared" si="1"/>
        <v>10.8</v>
      </c>
      <c r="Q19" s="86" t="s">
        <v>3840</v>
      </c>
      <c r="R19" s="86" t="s">
        <v>3054</v>
      </c>
      <c r="S19" s="86" t="s">
        <v>2766</v>
      </c>
      <c r="AC19" s="98" t="s">
        <v>3667</v>
      </c>
    </row>
    <row r="20" spans="1:29" x14ac:dyDescent="0.4">
      <c r="A20" s="102" t="s">
        <v>193</v>
      </c>
      <c r="B20" s="85" t="s">
        <v>661</v>
      </c>
      <c r="C20" s="84" t="s">
        <v>3715</v>
      </c>
      <c r="E20" s="145"/>
      <c r="I20" s="106" t="s">
        <v>4027</v>
      </c>
      <c r="J20" s="86">
        <v>125</v>
      </c>
      <c r="L20" s="100">
        <v>3500</v>
      </c>
      <c r="M20" s="100">
        <v>5000</v>
      </c>
      <c r="N20" s="136">
        <f t="shared" si="1"/>
        <v>17.5</v>
      </c>
      <c r="P20" s="90" t="s">
        <v>1132</v>
      </c>
      <c r="Q20" s="86" t="s">
        <v>3053</v>
      </c>
      <c r="R20" s="86"/>
      <c r="S20" s="86" t="s">
        <v>2768</v>
      </c>
      <c r="T20" s="91">
        <v>1.5</v>
      </c>
      <c r="AA20" s="116" t="s">
        <v>3052</v>
      </c>
      <c r="AB20" s="86" t="s">
        <v>2769</v>
      </c>
      <c r="AC20" s="98" t="s">
        <v>3546</v>
      </c>
    </row>
    <row r="21" spans="1:29" x14ac:dyDescent="0.4">
      <c r="A21" s="102" t="s">
        <v>298</v>
      </c>
      <c r="B21" s="85" t="s">
        <v>2701</v>
      </c>
      <c r="C21" s="84" t="s">
        <v>2555</v>
      </c>
      <c r="E21" s="145"/>
      <c r="I21" s="106" t="s">
        <v>4027</v>
      </c>
      <c r="J21" s="86">
        <v>125</v>
      </c>
      <c r="L21" s="100">
        <v>3000</v>
      </c>
      <c r="M21" s="100">
        <v>4050</v>
      </c>
      <c r="N21" s="136">
        <f t="shared" si="1"/>
        <v>12.15</v>
      </c>
      <c r="P21" s="63" t="s">
        <v>3177</v>
      </c>
      <c r="Q21" s="86" t="s">
        <v>3370</v>
      </c>
      <c r="R21" s="86" t="s">
        <v>3077</v>
      </c>
      <c r="S21" s="86" t="s">
        <v>2768</v>
      </c>
      <c r="T21" s="91">
        <v>0.75</v>
      </c>
      <c r="W21" s="94" t="s">
        <v>3049</v>
      </c>
      <c r="AC21" s="98" t="s">
        <v>3957</v>
      </c>
    </row>
    <row r="22" spans="1:29" x14ac:dyDescent="0.4">
      <c r="A22" s="102" t="s">
        <v>1150</v>
      </c>
      <c r="B22" s="85" t="s">
        <v>728</v>
      </c>
      <c r="C22" s="84" t="s">
        <v>2555</v>
      </c>
      <c r="E22" s="145"/>
      <c r="I22" s="106" t="s">
        <v>4027</v>
      </c>
      <c r="J22" s="86">
        <v>125</v>
      </c>
      <c r="L22" s="100">
        <v>3000</v>
      </c>
      <c r="M22" s="100">
        <v>4200</v>
      </c>
      <c r="N22" s="136">
        <f t="shared" si="1"/>
        <v>12.6</v>
      </c>
      <c r="P22" s="63" t="s">
        <v>3177</v>
      </c>
      <c r="Q22" s="86" t="s">
        <v>3063</v>
      </c>
      <c r="R22" s="86" t="s">
        <v>3077</v>
      </c>
      <c r="S22" s="86" t="s">
        <v>2768</v>
      </c>
      <c r="T22" s="91">
        <v>0.75</v>
      </c>
      <c r="V22" s="93">
        <v>1</v>
      </c>
      <c r="Z22" s="86" t="s">
        <v>3185</v>
      </c>
      <c r="AB22" s="86" t="s">
        <v>2769</v>
      </c>
      <c r="AC22" s="98" t="s">
        <v>3279</v>
      </c>
    </row>
    <row r="23" spans="1:29" x14ac:dyDescent="0.4">
      <c r="A23" s="102" t="s">
        <v>1234</v>
      </c>
      <c r="B23" s="85" t="s">
        <v>1231</v>
      </c>
      <c r="C23" s="84" t="s">
        <v>1253</v>
      </c>
      <c r="E23" s="145"/>
      <c r="I23" s="106" t="s">
        <v>1133</v>
      </c>
      <c r="L23" s="100">
        <v>6500</v>
      </c>
      <c r="M23" s="100">
        <v>6825</v>
      </c>
      <c r="N23" s="136">
        <f t="shared" si="1"/>
        <v>44.362499999999997</v>
      </c>
      <c r="R23" s="86"/>
      <c r="S23" s="86" t="s">
        <v>2768</v>
      </c>
      <c r="AC23" s="98" t="s">
        <v>545</v>
      </c>
    </row>
    <row r="24" spans="1:29" x14ac:dyDescent="0.4">
      <c r="A24" s="102" t="s">
        <v>1254</v>
      </c>
      <c r="B24" s="85" t="s">
        <v>1231</v>
      </c>
      <c r="C24" s="84" t="s">
        <v>1253</v>
      </c>
      <c r="E24" s="145"/>
      <c r="H24" s="86">
        <v>2</v>
      </c>
      <c r="I24" s="106" t="s">
        <v>1133</v>
      </c>
      <c r="L24" s="100">
        <v>6500</v>
      </c>
      <c r="M24" s="100">
        <v>6825</v>
      </c>
      <c r="N24" s="136">
        <f t="shared" si="1"/>
        <v>44.362499999999997</v>
      </c>
      <c r="R24" s="86"/>
      <c r="S24" s="86" t="s">
        <v>2766</v>
      </c>
      <c r="AC24" s="98" t="s">
        <v>1255</v>
      </c>
    </row>
    <row r="25" spans="1:29" x14ac:dyDescent="0.4">
      <c r="A25" s="102" t="s">
        <v>96</v>
      </c>
      <c r="B25" s="85" t="s">
        <v>1634</v>
      </c>
      <c r="C25" s="84" t="s">
        <v>4210</v>
      </c>
      <c r="E25" s="145"/>
      <c r="I25" s="106" t="s">
        <v>1133</v>
      </c>
      <c r="K25" s="88">
        <v>5690</v>
      </c>
      <c r="M25" s="100">
        <v>5200</v>
      </c>
      <c r="N25" s="136">
        <f t="shared" si="1"/>
        <v>0</v>
      </c>
      <c r="Q25" s="86" t="s">
        <v>3824</v>
      </c>
      <c r="R25" s="86"/>
      <c r="S25" s="86" t="s">
        <v>2766</v>
      </c>
      <c r="AC25" s="98" t="s">
        <v>1633</v>
      </c>
    </row>
    <row r="26" spans="1:29" x14ac:dyDescent="0.4">
      <c r="A26" s="102" t="s">
        <v>517</v>
      </c>
      <c r="B26" s="85" t="s">
        <v>2757</v>
      </c>
      <c r="C26" s="84" t="s">
        <v>1194</v>
      </c>
      <c r="E26" s="145"/>
      <c r="I26" s="106" t="s">
        <v>2998</v>
      </c>
      <c r="R26" s="86"/>
      <c r="AC26" s="98" t="s">
        <v>2046</v>
      </c>
    </row>
    <row r="27" spans="1:29" x14ac:dyDescent="0.4">
      <c r="A27" s="102" t="s">
        <v>460</v>
      </c>
      <c r="B27" s="85" t="s">
        <v>830</v>
      </c>
      <c r="C27" s="84" t="s">
        <v>2870</v>
      </c>
      <c r="E27" s="145"/>
      <c r="I27" s="106" t="s">
        <v>2998</v>
      </c>
      <c r="L27" s="100">
        <v>2070</v>
      </c>
      <c r="M27" s="100">
        <v>4360</v>
      </c>
      <c r="N27" s="136">
        <f t="shared" ref="N27:N40" si="2">L27*M27/1000000</f>
        <v>9.0251999999999999</v>
      </c>
      <c r="R27" s="86" t="s">
        <v>3078</v>
      </c>
      <c r="AC27" s="98" t="s">
        <v>2871</v>
      </c>
    </row>
    <row r="28" spans="1:29" x14ac:dyDescent="0.4">
      <c r="A28" s="102" t="s">
        <v>151</v>
      </c>
      <c r="B28" s="85" t="s">
        <v>1823</v>
      </c>
      <c r="C28" s="84" t="s">
        <v>1810</v>
      </c>
      <c r="E28" s="145"/>
      <c r="H28" s="86">
        <v>3</v>
      </c>
      <c r="I28" s="106" t="s">
        <v>4027</v>
      </c>
      <c r="L28" s="100">
        <v>3000</v>
      </c>
      <c r="M28" s="100">
        <v>3550</v>
      </c>
      <c r="N28" s="136">
        <f t="shared" si="2"/>
        <v>10.65</v>
      </c>
      <c r="Q28" s="86" t="s">
        <v>3063</v>
      </c>
      <c r="R28" s="86"/>
      <c r="AA28" s="116" t="s">
        <v>3052</v>
      </c>
      <c r="AB28" s="86" t="s">
        <v>2769</v>
      </c>
      <c r="AC28" s="98" t="s">
        <v>3806</v>
      </c>
    </row>
    <row r="29" spans="1:29" x14ac:dyDescent="0.4">
      <c r="A29" s="102" t="s">
        <v>3133</v>
      </c>
      <c r="B29" s="85" t="s">
        <v>776</v>
      </c>
      <c r="C29" s="84" t="s">
        <v>4419</v>
      </c>
      <c r="D29" s="143" t="s">
        <v>4315</v>
      </c>
      <c r="E29" s="145" t="s">
        <v>4420</v>
      </c>
      <c r="I29" s="106" t="s">
        <v>4027</v>
      </c>
      <c r="J29" s="86">
        <v>125</v>
      </c>
      <c r="L29" s="100">
        <v>2200</v>
      </c>
      <c r="M29" s="100">
        <v>3150</v>
      </c>
      <c r="N29" s="136">
        <f t="shared" si="2"/>
        <v>6.93</v>
      </c>
      <c r="P29" s="63" t="s">
        <v>3177</v>
      </c>
      <c r="Q29" s="86" t="s">
        <v>3062</v>
      </c>
      <c r="R29" s="86"/>
      <c r="S29" s="86" t="s">
        <v>2768</v>
      </c>
      <c r="T29" s="91">
        <v>0.75</v>
      </c>
      <c r="U29" s="92">
        <v>10</v>
      </c>
      <c r="AC29" s="98" t="s">
        <v>3143</v>
      </c>
    </row>
    <row r="30" spans="1:29" x14ac:dyDescent="0.4">
      <c r="A30" s="102" t="s">
        <v>3134</v>
      </c>
      <c r="B30" s="85" t="s">
        <v>777</v>
      </c>
      <c r="C30" s="84" t="s">
        <v>4419</v>
      </c>
      <c r="D30" s="143" t="s">
        <v>4315</v>
      </c>
      <c r="E30" s="145" t="s">
        <v>4420</v>
      </c>
      <c r="I30" s="106" t="s">
        <v>4027</v>
      </c>
      <c r="J30" s="86">
        <v>125</v>
      </c>
      <c r="L30" s="100">
        <v>1600</v>
      </c>
      <c r="M30" s="100">
        <v>2900</v>
      </c>
      <c r="N30" s="136">
        <f t="shared" si="2"/>
        <v>4.6399999999999997</v>
      </c>
      <c r="P30" s="63" t="s">
        <v>3177</v>
      </c>
      <c r="Q30" s="86" t="s">
        <v>3056</v>
      </c>
      <c r="R30" s="86"/>
      <c r="S30" s="86" t="s">
        <v>2768</v>
      </c>
      <c r="T30" s="91">
        <v>0.75</v>
      </c>
      <c r="U30" s="92">
        <v>10</v>
      </c>
      <c r="V30" s="93">
        <v>0.5</v>
      </c>
      <c r="Z30" s="87" t="s">
        <v>3051</v>
      </c>
      <c r="AB30" s="86" t="s">
        <v>3047</v>
      </c>
      <c r="AC30" s="98" t="s">
        <v>3132</v>
      </c>
    </row>
    <row r="31" spans="1:29" x14ac:dyDescent="0.4">
      <c r="A31" s="102" t="s">
        <v>3136</v>
      </c>
      <c r="B31" s="85" t="s">
        <v>777</v>
      </c>
      <c r="C31" s="84" t="s">
        <v>4419</v>
      </c>
      <c r="D31" s="143" t="s">
        <v>4315</v>
      </c>
      <c r="E31" s="145" t="s">
        <v>4420</v>
      </c>
      <c r="I31" s="106" t="s">
        <v>4027</v>
      </c>
      <c r="J31" s="86">
        <v>125</v>
      </c>
      <c r="L31" s="100">
        <v>2000</v>
      </c>
      <c r="M31" s="100">
        <v>2900</v>
      </c>
      <c r="N31" s="136">
        <f t="shared" si="2"/>
        <v>5.8</v>
      </c>
      <c r="P31" s="63" t="s">
        <v>3177</v>
      </c>
      <c r="Q31" s="86" t="s">
        <v>3056</v>
      </c>
      <c r="R31" s="86"/>
      <c r="S31" s="86" t="s">
        <v>2768</v>
      </c>
      <c r="T31" s="91">
        <v>0.75</v>
      </c>
      <c r="U31" s="92">
        <v>10</v>
      </c>
      <c r="V31" s="93">
        <v>2.5</v>
      </c>
      <c r="AC31" s="98" t="s">
        <v>3135</v>
      </c>
    </row>
    <row r="32" spans="1:29" x14ac:dyDescent="0.4">
      <c r="A32" s="102" t="s">
        <v>3138</v>
      </c>
      <c r="B32" s="85" t="s">
        <v>777</v>
      </c>
      <c r="C32" s="84" t="s">
        <v>4419</v>
      </c>
      <c r="D32" s="143" t="s">
        <v>4315</v>
      </c>
      <c r="E32" s="145" t="s">
        <v>4420</v>
      </c>
      <c r="I32" s="106" t="s">
        <v>4027</v>
      </c>
      <c r="J32" s="86">
        <v>125</v>
      </c>
      <c r="L32" s="100">
        <v>2000</v>
      </c>
      <c r="M32" s="100">
        <v>2900</v>
      </c>
      <c r="N32" s="136">
        <f t="shared" si="2"/>
        <v>5.8</v>
      </c>
      <c r="P32" s="63" t="s">
        <v>3177</v>
      </c>
      <c r="Q32" s="86" t="s">
        <v>3056</v>
      </c>
      <c r="R32" s="86"/>
      <c r="S32" s="86" t="s">
        <v>2766</v>
      </c>
      <c r="T32" s="91">
        <v>0.75</v>
      </c>
      <c r="U32" s="92">
        <v>10</v>
      </c>
      <c r="V32" s="93">
        <v>0.5</v>
      </c>
      <c r="AC32" s="98" t="s">
        <v>3137</v>
      </c>
    </row>
    <row r="33" spans="1:29" x14ac:dyDescent="0.4">
      <c r="A33" s="102" t="s">
        <v>3140</v>
      </c>
      <c r="B33" s="85" t="s">
        <v>777</v>
      </c>
      <c r="C33" s="84" t="s">
        <v>4419</v>
      </c>
      <c r="D33" s="143" t="s">
        <v>4315</v>
      </c>
      <c r="E33" s="145" t="s">
        <v>4420</v>
      </c>
      <c r="I33" s="106" t="s">
        <v>4027</v>
      </c>
      <c r="J33" s="86">
        <v>125</v>
      </c>
      <c r="L33" s="100">
        <v>2000</v>
      </c>
      <c r="M33" s="100">
        <v>2900</v>
      </c>
      <c r="N33" s="136">
        <f t="shared" si="2"/>
        <v>5.8</v>
      </c>
      <c r="P33" s="63" t="s">
        <v>3177</v>
      </c>
      <c r="Q33" s="86" t="s">
        <v>3056</v>
      </c>
      <c r="R33" s="86"/>
      <c r="S33" s="86" t="s">
        <v>2766</v>
      </c>
      <c r="T33" s="91">
        <v>0.75</v>
      </c>
      <c r="U33" s="92">
        <v>10</v>
      </c>
      <c r="V33" s="93">
        <v>1.25</v>
      </c>
      <c r="AC33" s="98" t="s">
        <v>3139</v>
      </c>
    </row>
    <row r="34" spans="1:29" x14ac:dyDescent="0.4">
      <c r="A34" s="102" t="s">
        <v>3142</v>
      </c>
      <c r="B34" s="85" t="s">
        <v>777</v>
      </c>
      <c r="C34" s="84" t="s">
        <v>4419</v>
      </c>
      <c r="D34" s="143" t="s">
        <v>4315</v>
      </c>
      <c r="E34" s="145" t="s">
        <v>4420</v>
      </c>
      <c r="I34" s="106" t="s">
        <v>4027</v>
      </c>
      <c r="J34" s="86">
        <v>125</v>
      </c>
      <c r="L34" s="100">
        <v>2000</v>
      </c>
      <c r="M34" s="100">
        <v>2900</v>
      </c>
      <c r="N34" s="136">
        <f t="shared" si="2"/>
        <v>5.8</v>
      </c>
      <c r="P34" s="63" t="s">
        <v>3177</v>
      </c>
      <c r="Q34" s="86" t="s">
        <v>3056</v>
      </c>
      <c r="R34" s="86"/>
      <c r="S34" s="86" t="s">
        <v>2768</v>
      </c>
      <c r="T34" s="91">
        <v>0.75</v>
      </c>
      <c r="U34" s="92">
        <v>10</v>
      </c>
      <c r="V34" s="93">
        <v>0.5</v>
      </c>
      <c r="AC34" s="98" t="s">
        <v>3141</v>
      </c>
    </row>
    <row r="35" spans="1:29" x14ac:dyDescent="0.4">
      <c r="A35" s="102" t="s">
        <v>334</v>
      </c>
      <c r="B35" s="85" t="s">
        <v>766</v>
      </c>
      <c r="C35" s="84" t="s">
        <v>4211</v>
      </c>
      <c r="E35" s="145"/>
      <c r="H35" s="86">
        <v>2</v>
      </c>
      <c r="I35" s="106" t="s">
        <v>4027</v>
      </c>
      <c r="J35" s="86">
        <v>125</v>
      </c>
      <c r="L35" s="100">
        <v>3400</v>
      </c>
      <c r="M35" s="100">
        <v>2280</v>
      </c>
      <c r="N35" s="136">
        <f t="shared" si="2"/>
        <v>7.7519999999999998</v>
      </c>
      <c r="P35" s="90" t="s">
        <v>1132</v>
      </c>
      <c r="Q35" s="86" t="s">
        <v>3148</v>
      </c>
      <c r="R35" s="86"/>
      <c r="S35" s="86" t="s">
        <v>2766</v>
      </c>
      <c r="T35" s="91">
        <v>0.75</v>
      </c>
      <c r="AB35" s="86" t="s">
        <v>2769</v>
      </c>
      <c r="AC35" s="98" t="s">
        <v>3183</v>
      </c>
    </row>
    <row r="36" spans="1:29" x14ac:dyDescent="0.4">
      <c r="A36" s="102" t="s">
        <v>445</v>
      </c>
      <c r="B36" s="85" t="s">
        <v>2741</v>
      </c>
      <c r="C36" s="84" t="s">
        <v>4211</v>
      </c>
      <c r="E36" s="145"/>
      <c r="I36" s="106" t="s">
        <v>4027</v>
      </c>
      <c r="J36" s="86">
        <v>125</v>
      </c>
      <c r="L36" s="100">
        <v>2000</v>
      </c>
      <c r="M36" s="100">
        <v>3150</v>
      </c>
      <c r="N36" s="136">
        <f t="shared" si="2"/>
        <v>6.3</v>
      </c>
      <c r="P36" s="90" t="s">
        <v>1132</v>
      </c>
      <c r="Q36" s="86" t="s">
        <v>3066</v>
      </c>
      <c r="R36" s="86"/>
      <c r="S36" s="86" t="s">
        <v>2768</v>
      </c>
      <c r="T36" s="91">
        <v>0.75</v>
      </c>
      <c r="U36" s="92">
        <v>10</v>
      </c>
      <c r="V36" s="93">
        <v>0.5</v>
      </c>
      <c r="Z36" s="99" t="s">
        <v>3051</v>
      </c>
      <c r="AB36" s="86" t="s">
        <v>2769</v>
      </c>
      <c r="AC36" s="98" t="s">
        <v>3917</v>
      </c>
    </row>
    <row r="37" spans="1:29" x14ac:dyDescent="0.4">
      <c r="A37" s="102" t="s">
        <v>352</v>
      </c>
      <c r="B37" s="85" t="s">
        <v>775</v>
      </c>
      <c r="C37" s="84" t="s">
        <v>3146</v>
      </c>
      <c r="E37" s="145"/>
      <c r="I37" s="106" t="s">
        <v>2998</v>
      </c>
      <c r="L37" s="100">
        <v>3490</v>
      </c>
      <c r="M37" s="100">
        <v>3000</v>
      </c>
      <c r="N37" s="136">
        <f t="shared" si="2"/>
        <v>10.47</v>
      </c>
      <c r="R37" s="86"/>
      <c r="AC37" s="98" t="s">
        <v>3147</v>
      </c>
    </row>
    <row r="38" spans="1:29" x14ac:dyDescent="0.4">
      <c r="A38" s="102" t="s">
        <v>121</v>
      </c>
      <c r="B38" s="85" t="s">
        <v>630</v>
      </c>
      <c r="C38" s="84" t="s">
        <v>4212</v>
      </c>
      <c r="E38" s="145"/>
      <c r="I38" s="106" t="s">
        <v>4027</v>
      </c>
      <c r="L38" s="100">
        <v>3500</v>
      </c>
      <c r="M38" s="100">
        <v>3250</v>
      </c>
      <c r="N38" s="136">
        <f t="shared" si="2"/>
        <v>11.375</v>
      </c>
      <c r="Q38" s="86" t="s">
        <v>3053</v>
      </c>
      <c r="R38" s="86"/>
      <c r="S38" s="86" t="s">
        <v>2768</v>
      </c>
      <c r="AC38" s="98" t="s">
        <v>3320</v>
      </c>
    </row>
    <row r="39" spans="1:29" x14ac:dyDescent="0.4">
      <c r="A39" s="102" t="s">
        <v>1699</v>
      </c>
      <c r="B39" s="85" t="s">
        <v>628</v>
      </c>
      <c r="C39" s="84" t="s">
        <v>1698</v>
      </c>
      <c r="E39" s="145"/>
      <c r="I39" s="106" t="s">
        <v>4027</v>
      </c>
      <c r="J39" s="86">
        <v>100</v>
      </c>
      <c r="L39" s="100">
        <v>3000</v>
      </c>
      <c r="M39" s="100">
        <v>4000</v>
      </c>
      <c r="N39" s="136">
        <f t="shared" si="2"/>
        <v>12</v>
      </c>
      <c r="R39" s="86"/>
      <c r="S39" s="86" t="s">
        <v>2766</v>
      </c>
      <c r="AC39" s="98" t="s">
        <v>3341</v>
      </c>
    </row>
    <row r="40" spans="1:29" x14ac:dyDescent="0.4">
      <c r="A40" s="102" t="s">
        <v>1700</v>
      </c>
      <c r="B40" s="85" t="s">
        <v>628</v>
      </c>
      <c r="C40" s="84" t="s">
        <v>1698</v>
      </c>
      <c r="E40" s="145"/>
      <c r="H40" s="86">
        <v>2</v>
      </c>
      <c r="I40" s="106" t="s">
        <v>4027</v>
      </c>
      <c r="J40" s="86">
        <v>100</v>
      </c>
      <c r="L40" s="100">
        <v>3200</v>
      </c>
      <c r="M40" s="100">
        <v>3200</v>
      </c>
      <c r="N40" s="136">
        <f t="shared" si="2"/>
        <v>10.24</v>
      </c>
      <c r="R40" s="86"/>
      <c r="S40" s="86" t="s">
        <v>2768</v>
      </c>
      <c r="AC40" s="98" t="s">
        <v>3340</v>
      </c>
    </row>
    <row r="41" spans="1:29" x14ac:dyDescent="0.4">
      <c r="A41" s="102" t="s">
        <v>427</v>
      </c>
      <c r="B41" s="85" t="s">
        <v>814</v>
      </c>
      <c r="C41" s="84" t="s">
        <v>4213</v>
      </c>
      <c r="E41" s="145"/>
      <c r="I41" s="106" t="s">
        <v>3028</v>
      </c>
      <c r="R41" s="86"/>
      <c r="AC41" s="98" t="s">
        <v>2205</v>
      </c>
    </row>
    <row r="42" spans="1:29" x14ac:dyDescent="0.4">
      <c r="A42" s="102" t="s">
        <v>3168</v>
      </c>
      <c r="B42" s="85" t="s">
        <v>833</v>
      </c>
      <c r="C42" s="84" t="s">
        <v>4213</v>
      </c>
      <c r="E42" s="145"/>
      <c r="I42" s="106" t="s">
        <v>2998</v>
      </c>
      <c r="L42" s="100">
        <v>5000</v>
      </c>
      <c r="M42" s="100">
        <v>5000</v>
      </c>
      <c r="N42" s="136">
        <f t="shared" ref="N42:N73" si="3">L42*M42/1000000</f>
        <v>25</v>
      </c>
      <c r="R42" s="86"/>
      <c r="AC42" s="98" t="s">
        <v>2131</v>
      </c>
    </row>
    <row r="43" spans="1:29" x14ac:dyDescent="0.4">
      <c r="A43" s="102" t="s">
        <v>391</v>
      </c>
      <c r="B43" s="85" t="s">
        <v>794</v>
      </c>
      <c r="C43" s="84" t="s">
        <v>4261</v>
      </c>
      <c r="E43" s="145"/>
      <c r="I43" s="106" t="s">
        <v>2998</v>
      </c>
      <c r="L43" s="100">
        <v>2400</v>
      </c>
      <c r="M43" s="100">
        <v>3900</v>
      </c>
      <c r="N43" s="136">
        <f t="shared" si="3"/>
        <v>9.36</v>
      </c>
      <c r="R43" s="86"/>
      <c r="AC43" s="98" t="s">
        <v>2266</v>
      </c>
    </row>
    <row r="44" spans="1:29" x14ac:dyDescent="0.4">
      <c r="A44" s="102" t="s">
        <v>2889</v>
      </c>
      <c r="B44" s="85" t="s">
        <v>2742</v>
      </c>
      <c r="C44" s="84" t="s">
        <v>2771</v>
      </c>
      <c r="D44" s="143" t="s">
        <v>4300</v>
      </c>
      <c r="E44" s="145" t="s">
        <v>4421</v>
      </c>
      <c r="I44" s="106" t="s">
        <v>4027</v>
      </c>
      <c r="J44" s="86">
        <v>125</v>
      </c>
      <c r="L44" s="100">
        <v>3000</v>
      </c>
      <c r="M44" s="100">
        <v>3750</v>
      </c>
      <c r="N44" s="136">
        <f t="shared" si="3"/>
        <v>11.25</v>
      </c>
      <c r="P44" s="90" t="s">
        <v>1132</v>
      </c>
      <c r="R44" s="86"/>
      <c r="S44" s="86" t="s">
        <v>2768</v>
      </c>
      <c r="T44" s="91">
        <v>0.75</v>
      </c>
      <c r="U44" s="92">
        <v>10</v>
      </c>
      <c r="V44" s="93">
        <v>1</v>
      </c>
      <c r="W44" s="94" t="s">
        <v>3050</v>
      </c>
      <c r="AB44" s="86" t="s">
        <v>2769</v>
      </c>
      <c r="AC44" s="98" t="s">
        <v>2890</v>
      </c>
    </row>
    <row r="45" spans="1:29" x14ac:dyDescent="0.4">
      <c r="A45" s="102" t="s">
        <v>476</v>
      </c>
      <c r="B45" s="85" t="s">
        <v>836</v>
      </c>
      <c r="C45" s="84" t="s">
        <v>2771</v>
      </c>
      <c r="D45" s="143" t="s">
        <v>4300</v>
      </c>
      <c r="E45" s="145" t="s">
        <v>4422</v>
      </c>
      <c r="I45" s="106" t="s">
        <v>4027</v>
      </c>
      <c r="J45" s="86">
        <v>125</v>
      </c>
      <c r="L45" s="100">
        <v>1725</v>
      </c>
      <c r="M45" s="100">
        <v>3150</v>
      </c>
      <c r="N45" s="136">
        <f t="shared" si="3"/>
        <v>5.4337499999999999</v>
      </c>
      <c r="P45" s="90" t="s">
        <v>1132</v>
      </c>
      <c r="Q45" s="86" t="s">
        <v>3053</v>
      </c>
      <c r="R45" s="86"/>
      <c r="S45" s="86" t="s">
        <v>2768</v>
      </c>
      <c r="T45" s="91">
        <v>0.75</v>
      </c>
      <c r="U45" s="92">
        <v>10</v>
      </c>
      <c r="V45" s="93">
        <v>1</v>
      </c>
      <c r="AB45" s="86" t="s">
        <v>3073</v>
      </c>
      <c r="AC45" s="98" t="s">
        <v>2119</v>
      </c>
    </row>
    <row r="46" spans="1:29" x14ac:dyDescent="0.4">
      <c r="A46" s="102" t="s">
        <v>513</v>
      </c>
      <c r="B46" s="85" t="s">
        <v>2756</v>
      </c>
      <c r="C46" s="84" t="s">
        <v>2771</v>
      </c>
      <c r="D46" s="143" t="s">
        <v>4300</v>
      </c>
      <c r="E46" s="145" t="s">
        <v>4423</v>
      </c>
      <c r="I46" s="106" t="s">
        <v>4027</v>
      </c>
      <c r="J46" s="86">
        <v>125</v>
      </c>
      <c r="L46" s="100">
        <v>1950</v>
      </c>
      <c r="M46" s="100">
        <v>3100</v>
      </c>
      <c r="N46" s="136">
        <f t="shared" si="3"/>
        <v>6.0449999999999999</v>
      </c>
      <c r="P46" s="90" t="s">
        <v>1132</v>
      </c>
      <c r="Q46" s="86" t="s">
        <v>3053</v>
      </c>
      <c r="R46" s="86"/>
      <c r="S46" s="86" t="s">
        <v>2768</v>
      </c>
      <c r="T46" s="91">
        <v>0.75</v>
      </c>
      <c r="U46" s="92">
        <v>10</v>
      </c>
      <c r="AB46" s="86" t="s">
        <v>3047</v>
      </c>
      <c r="AC46" s="98" t="s">
        <v>2052</v>
      </c>
    </row>
    <row r="47" spans="1:29" x14ac:dyDescent="0.4">
      <c r="A47" s="102" t="s">
        <v>537</v>
      </c>
      <c r="B47" s="85" t="s">
        <v>869</v>
      </c>
      <c r="C47" s="84" t="s">
        <v>2771</v>
      </c>
      <c r="D47" s="143" t="s">
        <v>4300</v>
      </c>
      <c r="E47" s="145" t="s">
        <v>4424</v>
      </c>
      <c r="H47" s="86">
        <v>1</v>
      </c>
      <c r="I47" s="106" t="s">
        <v>4027</v>
      </c>
      <c r="J47" s="86">
        <v>125</v>
      </c>
      <c r="L47" s="100">
        <v>2150</v>
      </c>
      <c r="M47" s="100">
        <v>3200</v>
      </c>
      <c r="N47" s="136">
        <f t="shared" si="3"/>
        <v>6.88</v>
      </c>
      <c r="P47" s="90" t="s">
        <v>1132</v>
      </c>
      <c r="Q47" s="86" t="s">
        <v>3053</v>
      </c>
      <c r="R47" s="86"/>
      <c r="S47" s="86" t="s">
        <v>2766</v>
      </c>
      <c r="T47" s="91">
        <v>0.75</v>
      </c>
      <c r="U47" s="92">
        <v>10</v>
      </c>
      <c r="V47" s="93">
        <v>1</v>
      </c>
      <c r="W47" s="94" t="s">
        <v>3050</v>
      </c>
      <c r="AB47" s="86" t="s">
        <v>2769</v>
      </c>
      <c r="AC47" s="98" t="s">
        <v>2774</v>
      </c>
    </row>
    <row r="48" spans="1:29" x14ac:dyDescent="0.4">
      <c r="A48" s="102" t="s">
        <v>3099</v>
      </c>
      <c r="B48" s="85" t="s">
        <v>787</v>
      </c>
      <c r="C48" s="84" t="s">
        <v>4347</v>
      </c>
      <c r="D48" s="143" t="s">
        <v>4346</v>
      </c>
      <c r="E48" s="145" t="s">
        <v>4425</v>
      </c>
      <c r="I48" s="106" t="s">
        <v>4027</v>
      </c>
      <c r="J48" s="86">
        <v>125</v>
      </c>
      <c r="L48" s="89">
        <v>2000</v>
      </c>
      <c r="M48" s="89">
        <v>2700</v>
      </c>
      <c r="N48" s="136">
        <f t="shared" si="3"/>
        <v>5.4</v>
      </c>
      <c r="P48" s="90" t="s">
        <v>1132</v>
      </c>
      <c r="Q48" s="86" t="s">
        <v>3053</v>
      </c>
      <c r="R48" s="86"/>
      <c r="S48" s="86" t="s">
        <v>2768</v>
      </c>
      <c r="T48" s="91">
        <v>0.75</v>
      </c>
      <c r="U48" s="92">
        <v>10</v>
      </c>
      <c r="V48" s="93">
        <v>0.5</v>
      </c>
      <c r="Z48" s="87" t="s">
        <v>3051</v>
      </c>
      <c r="AB48" s="86" t="s">
        <v>2769</v>
      </c>
      <c r="AC48" s="98" t="s">
        <v>3009</v>
      </c>
    </row>
    <row r="49" spans="1:29" x14ac:dyDescent="0.4">
      <c r="A49" s="102" t="s">
        <v>3100</v>
      </c>
      <c r="B49" s="85" t="s">
        <v>787</v>
      </c>
      <c r="C49" s="84" t="s">
        <v>4347</v>
      </c>
      <c r="D49" s="143" t="s">
        <v>4346</v>
      </c>
      <c r="E49" s="145" t="s">
        <v>4425</v>
      </c>
      <c r="I49" s="106" t="s">
        <v>4027</v>
      </c>
      <c r="J49" s="86">
        <v>150</v>
      </c>
      <c r="L49" s="89">
        <v>3450</v>
      </c>
      <c r="M49" s="89">
        <v>5000</v>
      </c>
      <c r="N49" s="136">
        <f t="shared" si="3"/>
        <v>17.25</v>
      </c>
      <c r="P49" s="90" t="s">
        <v>1132</v>
      </c>
      <c r="Q49" s="86" t="s">
        <v>3053</v>
      </c>
      <c r="R49" s="86"/>
      <c r="S49" s="86" t="s">
        <v>2766</v>
      </c>
      <c r="T49" s="91">
        <v>1.5</v>
      </c>
      <c r="U49" s="92">
        <v>15</v>
      </c>
      <c r="V49" s="93">
        <v>2.5</v>
      </c>
      <c r="Z49" s="86" t="s">
        <v>1439</v>
      </c>
      <c r="AB49" s="86" t="s">
        <v>2769</v>
      </c>
      <c r="AC49" s="98" t="s">
        <v>3937</v>
      </c>
    </row>
    <row r="50" spans="1:29" x14ac:dyDescent="0.4">
      <c r="A50" s="102" t="s">
        <v>3101</v>
      </c>
      <c r="B50" s="85" t="s">
        <v>787</v>
      </c>
      <c r="C50" s="84" t="s">
        <v>4347</v>
      </c>
      <c r="D50" s="143" t="s">
        <v>4346</v>
      </c>
      <c r="E50" s="145" t="s">
        <v>4425</v>
      </c>
      <c r="I50" s="106" t="s">
        <v>2765</v>
      </c>
      <c r="J50" s="86">
        <v>125</v>
      </c>
      <c r="L50" s="89">
        <v>2500</v>
      </c>
      <c r="M50" s="89">
        <v>3400</v>
      </c>
      <c r="N50" s="136">
        <f t="shared" si="3"/>
        <v>8.5</v>
      </c>
      <c r="O50" s="88">
        <v>4450</v>
      </c>
      <c r="P50" s="90" t="s">
        <v>1132</v>
      </c>
      <c r="Q50" s="86" t="s">
        <v>3053</v>
      </c>
      <c r="R50" s="86"/>
      <c r="S50" s="86" t="s">
        <v>2768</v>
      </c>
      <c r="T50" s="91">
        <v>1.5</v>
      </c>
      <c r="U50" s="92">
        <v>15</v>
      </c>
      <c r="V50" s="93">
        <v>1</v>
      </c>
      <c r="Z50" s="87" t="s">
        <v>3051</v>
      </c>
      <c r="AB50" s="86" t="s">
        <v>2769</v>
      </c>
      <c r="AC50" s="98" t="s">
        <v>3938</v>
      </c>
    </row>
    <row r="51" spans="1:29" x14ac:dyDescent="0.4">
      <c r="A51" s="102" t="s">
        <v>422</v>
      </c>
      <c r="B51" s="85" t="s">
        <v>2735</v>
      </c>
      <c r="C51" s="84" t="s">
        <v>4347</v>
      </c>
      <c r="D51" s="143" t="s">
        <v>4346</v>
      </c>
      <c r="E51" s="145" t="s">
        <v>4425</v>
      </c>
      <c r="I51" s="106" t="s">
        <v>4027</v>
      </c>
      <c r="J51" s="86">
        <v>125</v>
      </c>
      <c r="L51" s="100">
        <v>3800</v>
      </c>
      <c r="M51" s="100">
        <v>4500</v>
      </c>
      <c r="N51" s="136">
        <f t="shared" si="3"/>
        <v>17.100000000000001</v>
      </c>
      <c r="P51" s="90" t="s">
        <v>1132</v>
      </c>
      <c r="Q51" s="86" t="s">
        <v>3053</v>
      </c>
      <c r="R51" s="86" t="s">
        <v>3078</v>
      </c>
      <c r="S51" s="86" t="s">
        <v>2768</v>
      </c>
      <c r="T51" s="91">
        <v>1.5</v>
      </c>
      <c r="U51" s="92">
        <v>15</v>
      </c>
      <c r="V51" s="93">
        <v>2</v>
      </c>
      <c r="Z51" s="99" t="s">
        <v>3051</v>
      </c>
      <c r="AB51" s="86" t="s">
        <v>2769</v>
      </c>
      <c r="AC51" s="98" t="s">
        <v>2940</v>
      </c>
    </row>
    <row r="52" spans="1:29" x14ac:dyDescent="0.4">
      <c r="A52" s="102" t="s">
        <v>328</v>
      </c>
      <c r="B52" s="85" t="s">
        <v>762</v>
      </c>
      <c r="C52" s="84" t="s">
        <v>4214</v>
      </c>
      <c r="D52" s="143" t="s">
        <v>4358</v>
      </c>
      <c r="E52" s="145"/>
      <c r="I52" s="106" t="s">
        <v>1131</v>
      </c>
      <c r="J52" s="86">
        <v>150</v>
      </c>
      <c r="L52" s="100">
        <v>4950</v>
      </c>
      <c r="M52" s="100">
        <v>4500</v>
      </c>
      <c r="N52" s="136">
        <f t="shared" si="3"/>
        <v>22.274999999999999</v>
      </c>
      <c r="P52" s="90" t="s">
        <v>1132</v>
      </c>
      <c r="Q52" s="86" t="s">
        <v>3053</v>
      </c>
      <c r="R52" s="86"/>
      <c r="S52" s="86" t="s">
        <v>2766</v>
      </c>
      <c r="T52" s="91">
        <v>1.5</v>
      </c>
      <c r="V52" s="93">
        <v>1</v>
      </c>
      <c r="W52" s="94" t="s">
        <v>3129</v>
      </c>
      <c r="Z52" s="87" t="s">
        <v>3051</v>
      </c>
      <c r="AB52" s="86" t="s">
        <v>2769</v>
      </c>
      <c r="AC52" s="98" t="s">
        <v>3945</v>
      </c>
    </row>
    <row r="53" spans="1:29" x14ac:dyDescent="0.4">
      <c r="A53" s="102" t="s">
        <v>359</v>
      </c>
      <c r="B53" s="85" t="s">
        <v>780</v>
      </c>
      <c r="C53" s="84" t="s">
        <v>4214</v>
      </c>
      <c r="D53" s="143" t="s">
        <v>4358</v>
      </c>
      <c r="E53" s="145"/>
      <c r="I53" s="106" t="s">
        <v>1131</v>
      </c>
      <c r="J53" s="86">
        <v>150</v>
      </c>
      <c r="L53" s="89">
        <v>3650</v>
      </c>
      <c r="M53" s="89">
        <v>4000</v>
      </c>
      <c r="N53" s="136">
        <f t="shared" si="3"/>
        <v>14.6</v>
      </c>
      <c r="P53" s="90" t="s">
        <v>1132</v>
      </c>
      <c r="Q53" s="86" t="s">
        <v>3053</v>
      </c>
      <c r="R53" s="86"/>
      <c r="S53" s="86" t="s">
        <v>2768</v>
      </c>
      <c r="T53" s="91">
        <v>1.5</v>
      </c>
      <c r="U53" s="92">
        <v>15</v>
      </c>
      <c r="V53" s="93">
        <v>1</v>
      </c>
      <c r="W53" s="94" t="s">
        <v>3129</v>
      </c>
      <c r="Z53" s="87" t="s">
        <v>3051</v>
      </c>
      <c r="AB53" s="86" t="s">
        <v>2769</v>
      </c>
      <c r="AC53" s="98" t="s">
        <v>3130</v>
      </c>
    </row>
    <row r="54" spans="1:29" x14ac:dyDescent="0.4">
      <c r="A54" s="102" t="s">
        <v>452</v>
      </c>
      <c r="B54" s="85" t="s">
        <v>2742</v>
      </c>
      <c r="C54" s="84" t="s">
        <v>4214</v>
      </c>
      <c r="D54" s="143" t="s">
        <v>4358</v>
      </c>
      <c r="E54" s="145"/>
      <c r="I54" s="106" t="s">
        <v>1133</v>
      </c>
      <c r="J54" s="86">
        <v>150</v>
      </c>
      <c r="L54" s="100">
        <v>6000</v>
      </c>
      <c r="M54" s="100">
        <v>5750</v>
      </c>
      <c r="N54" s="136">
        <f t="shared" si="3"/>
        <v>34.5</v>
      </c>
      <c r="O54" s="88">
        <v>6000</v>
      </c>
      <c r="P54" s="90" t="s">
        <v>1132</v>
      </c>
      <c r="Q54" s="86" t="s">
        <v>3053</v>
      </c>
      <c r="R54" s="86"/>
      <c r="S54" s="86" t="s">
        <v>2766</v>
      </c>
      <c r="T54" s="91">
        <v>2.2000000000000002</v>
      </c>
      <c r="U54" s="92">
        <v>15</v>
      </c>
      <c r="V54" s="93">
        <v>1</v>
      </c>
      <c r="W54" s="94" t="s">
        <v>3049</v>
      </c>
      <c r="AB54" s="86" t="s">
        <v>2769</v>
      </c>
      <c r="AC54" s="98" t="s">
        <v>3915</v>
      </c>
    </row>
    <row r="55" spans="1:29" x14ac:dyDescent="0.4">
      <c r="A55" s="102" t="s">
        <v>1363</v>
      </c>
      <c r="B55" s="85" t="s">
        <v>1364</v>
      </c>
      <c r="C55" s="84" t="s">
        <v>4215</v>
      </c>
      <c r="E55" s="145"/>
      <c r="I55" s="106" t="s">
        <v>1133</v>
      </c>
      <c r="L55" s="100">
        <v>5350</v>
      </c>
      <c r="N55" s="136">
        <f t="shared" si="3"/>
        <v>0</v>
      </c>
      <c r="O55" s="88">
        <v>5000</v>
      </c>
      <c r="R55" s="86"/>
      <c r="AC55" s="98" t="s">
        <v>1370</v>
      </c>
    </row>
    <row r="56" spans="1:29" x14ac:dyDescent="0.4">
      <c r="A56" s="102" t="s">
        <v>170</v>
      </c>
      <c r="B56" s="85" t="s">
        <v>650</v>
      </c>
      <c r="C56" s="84" t="s">
        <v>4216</v>
      </c>
      <c r="E56" s="145"/>
      <c r="I56" s="106" t="s">
        <v>4027</v>
      </c>
      <c r="J56" s="86">
        <v>100</v>
      </c>
      <c r="L56" s="100">
        <v>1800</v>
      </c>
      <c r="M56" s="100">
        <v>3150</v>
      </c>
      <c r="N56" s="136">
        <f t="shared" si="3"/>
        <v>5.67</v>
      </c>
      <c r="Q56" s="86" t="s">
        <v>3774</v>
      </c>
      <c r="R56" s="86"/>
      <c r="S56" s="86" t="s">
        <v>2766</v>
      </c>
      <c r="T56" s="91">
        <v>0.75</v>
      </c>
      <c r="V56" s="93">
        <v>1</v>
      </c>
      <c r="W56" s="94" t="s">
        <v>3129</v>
      </c>
      <c r="AC56" s="98" t="s">
        <v>3485</v>
      </c>
    </row>
    <row r="57" spans="1:29" x14ac:dyDescent="0.4">
      <c r="A57" s="102" t="s">
        <v>1964</v>
      </c>
      <c r="B57" s="85" t="s">
        <v>1886</v>
      </c>
      <c r="C57" s="84" t="s">
        <v>4217</v>
      </c>
      <c r="E57" s="145"/>
      <c r="H57" s="86">
        <v>2</v>
      </c>
      <c r="I57" s="106" t="s">
        <v>4027</v>
      </c>
      <c r="J57" s="86">
        <v>100</v>
      </c>
      <c r="L57" s="100">
        <v>3000</v>
      </c>
      <c r="M57" s="100">
        <v>3150</v>
      </c>
      <c r="N57" s="136">
        <f t="shared" si="3"/>
        <v>9.4499999999999993</v>
      </c>
      <c r="Q57" s="86" t="s">
        <v>3054</v>
      </c>
      <c r="R57" s="86"/>
      <c r="S57" s="86" t="s">
        <v>2766</v>
      </c>
      <c r="T57" s="91">
        <v>0.75</v>
      </c>
      <c r="Z57" s="87" t="s">
        <v>3051</v>
      </c>
      <c r="AB57" s="86" t="s">
        <v>2769</v>
      </c>
      <c r="AC57" s="98" t="s">
        <v>3995</v>
      </c>
    </row>
    <row r="58" spans="1:29" x14ac:dyDescent="0.4">
      <c r="A58" s="102" t="s">
        <v>1963</v>
      </c>
      <c r="B58" s="85" t="s">
        <v>1886</v>
      </c>
      <c r="C58" s="84" t="s">
        <v>4217</v>
      </c>
      <c r="E58" s="145"/>
      <c r="H58" s="86">
        <v>2</v>
      </c>
      <c r="I58" s="106" t="s">
        <v>4027</v>
      </c>
      <c r="J58" s="86">
        <v>100</v>
      </c>
      <c r="L58" s="100">
        <v>3000</v>
      </c>
      <c r="M58" s="100">
        <v>3150</v>
      </c>
      <c r="N58" s="136">
        <f t="shared" si="3"/>
        <v>9.4499999999999993</v>
      </c>
      <c r="Q58" s="86" t="s">
        <v>3054</v>
      </c>
      <c r="R58" s="86"/>
      <c r="S58" s="86" t="s">
        <v>2768</v>
      </c>
      <c r="T58" s="91">
        <v>0.75</v>
      </c>
      <c r="Z58" s="87" t="s">
        <v>3051</v>
      </c>
      <c r="AB58" s="86" t="s">
        <v>2769</v>
      </c>
      <c r="AC58" s="98" t="s">
        <v>3994</v>
      </c>
    </row>
    <row r="59" spans="1:29" x14ac:dyDescent="0.4">
      <c r="A59" s="102" t="s">
        <v>130</v>
      </c>
      <c r="B59" s="85" t="s">
        <v>3816</v>
      </c>
      <c r="C59" s="84" t="s">
        <v>1774</v>
      </c>
      <c r="E59" s="145"/>
      <c r="I59" s="106"/>
      <c r="L59" s="100">
        <v>3000</v>
      </c>
      <c r="M59" s="100">
        <v>3650</v>
      </c>
      <c r="N59" s="136">
        <f t="shared" si="3"/>
        <v>10.95</v>
      </c>
      <c r="P59" s="63" t="s">
        <v>3177</v>
      </c>
      <c r="Q59" s="86" t="s">
        <v>3069</v>
      </c>
      <c r="R59" s="86"/>
      <c r="S59" s="86" t="s">
        <v>2768</v>
      </c>
      <c r="AB59" s="86" t="s">
        <v>2769</v>
      </c>
      <c r="AC59" s="98" t="s">
        <v>3311</v>
      </c>
    </row>
    <row r="60" spans="1:29" x14ac:dyDescent="0.4">
      <c r="A60" s="102" t="s">
        <v>131</v>
      </c>
      <c r="B60" s="85" t="s">
        <v>3816</v>
      </c>
      <c r="C60" s="84" t="s">
        <v>1774</v>
      </c>
      <c r="E60" s="145"/>
      <c r="H60" s="86">
        <v>3</v>
      </c>
      <c r="I60" s="106"/>
      <c r="L60" s="100">
        <v>3000</v>
      </c>
      <c r="M60" s="100">
        <v>3650</v>
      </c>
      <c r="N60" s="136">
        <f t="shared" si="3"/>
        <v>10.95</v>
      </c>
      <c r="P60" s="63" t="s">
        <v>3177</v>
      </c>
      <c r="R60" s="86"/>
      <c r="S60" s="86" t="s">
        <v>2766</v>
      </c>
      <c r="AB60" s="86" t="s">
        <v>2769</v>
      </c>
      <c r="AC60" s="98" t="s">
        <v>3310</v>
      </c>
    </row>
    <row r="61" spans="1:29" x14ac:dyDescent="0.4">
      <c r="A61" s="102" t="s">
        <v>173</v>
      </c>
      <c r="B61" s="85" t="s">
        <v>651</v>
      </c>
      <c r="C61" s="84" t="s">
        <v>3777</v>
      </c>
      <c r="E61" s="145"/>
      <c r="I61" s="106" t="s">
        <v>4027</v>
      </c>
      <c r="J61" s="86">
        <v>100</v>
      </c>
      <c r="L61" s="100">
        <v>2500</v>
      </c>
      <c r="M61" s="100">
        <v>3880</v>
      </c>
      <c r="N61" s="136">
        <f t="shared" si="3"/>
        <v>9.6999999999999993</v>
      </c>
      <c r="P61" s="63" t="s">
        <v>3177</v>
      </c>
      <c r="Q61" s="86" t="s">
        <v>3774</v>
      </c>
      <c r="R61" s="86"/>
      <c r="S61" s="86" t="s">
        <v>2768</v>
      </c>
      <c r="T61" s="91">
        <v>0.75</v>
      </c>
      <c r="AB61" s="86" t="s">
        <v>2769</v>
      </c>
      <c r="AC61" s="98" t="s">
        <v>3484</v>
      </c>
    </row>
    <row r="62" spans="1:29" x14ac:dyDescent="0.4">
      <c r="A62" s="102" t="s">
        <v>430</v>
      </c>
      <c r="B62" s="85" t="s">
        <v>822</v>
      </c>
      <c r="C62" s="84" t="s">
        <v>2202</v>
      </c>
      <c r="D62" s="143" t="s">
        <v>4359</v>
      </c>
      <c r="E62" s="145"/>
      <c r="I62" s="106" t="s">
        <v>4027</v>
      </c>
      <c r="J62" s="86">
        <v>125</v>
      </c>
      <c r="K62" s="88">
        <v>2280</v>
      </c>
      <c r="L62" s="100">
        <v>1930</v>
      </c>
      <c r="M62" s="100">
        <v>2700</v>
      </c>
      <c r="N62" s="136">
        <f t="shared" si="3"/>
        <v>5.2110000000000003</v>
      </c>
      <c r="Q62" s="86" t="s">
        <v>3053</v>
      </c>
      <c r="R62" s="86"/>
      <c r="V62" s="93">
        <v>1</v>
      </c>
      <c r="AB62" s="86" t="s">
        <v>2769</v>
      </c>
      <c r="AC62" s="98" t="s">
        <v>2926</v>
      </c>
    </row>
    <row r="63" spans="1:29" x14ac:dyDescent="0.4">
      <c r="A63" s="102" t="s">
        <v>253</v>
      </c>
      <c r="B63" s="85" t="s">
        <v>696</v>
      </c>
      <c r="C63" s="84" t="s">
        <v>3450</v>
      </c>
      <c r="E63" s="145"/>
      <c r="I63" s="106" t="s">
        <v>4027</v>
      </c>
      <c r="J63" s="86">
        <v>125</v>
      </c>
      <c r="L63" s="89">
        <v>3600</v>
      </c>
      <c r="M63" s="89">
        <v>3750</v>
      </c>
      <c r="N63" s="136">
        <f t="shared" si="3"/>
        <v>13.5</v>
      </c>
      <c r="P63" s="63" t="s">
        <v>3177</v>
      </c>
      <c r="Q63" s="86" t="s">
        <v>3062</v>
      </c>
      <c r="R63" s="86"/>
      <c r="S63" s="86" t="s">
        <v>2766</v>
      </c>
      <c r="T63" s="91">
        <v>0.75</v>
      </c>
      <c r="V63" s="93">
        <v>1</v>
      </c>
      <c r="Z63" s="87" t="s">
        <v>3051</v>
      </c>
      <c r="AB63" s="86" t="s">
        <v>2769</v>
      </c>
      <c r="AC63" s="98" t="s">
        <v>3500</v>
      </c>
    </row>
    <row r="64" spans="1:29" x14ac:dyDescent="0.4">
      <c r="A64" s="102" t="s">
        <v>119</v>
      </c>
      <c r="B64" s="85" t="s">
        <v>1721</v>
      </c>
      <c r="C64" s="84" t="s">
        <v>4015</v>
      </c>
      <c r="E64" s="145"/>
      <c r="I64" s="106" t="s">
        <v>4027</v>
      </c>
      <c r="J64" s="86">
        <v>100</v>
      </c>
      <c r="L64" s="100">
        <v>2800</v>
      </c>
      <c r="M64" s="100">
        <v>3000</v>
      </c>
      <c r="N64" s="136">
        <f t="shared" si="3"/>
        <v>8.4</v>
      </c>
      <c r="R64" s="86"/>
      <c r="S64" s="86" t="s">
        <v>2766</v>
      </c>
      <c r="AC64" s="98" t="s">
        <v>3333</v>
      </c>
    </row>
    <row r="65" spans="1:29" x14ac:dyDescent="0.4">
      <c r="A65" s="102" t="s">
        <v>3114</v>
      </c>
      <c r="B65" s="85" t="s">
        <v>2724</v>
      </c>
      <c r="C65" s="84" t="s">
        <v>4071</v>
      </c>
      <c r="D65" s="143" t="s">
        <v>4160</v>
      </c>
      <c r="E65" s="145"/>
      <c r="I65" s="106" t="s">
        <v>4027</v>
      </c>
      <c r="J65" s="86">
        <v>125</v>
      </c>
      <c r="L65" s="100">
        <v>4040</v>
      </c>
      <c r="M65" s="100">
        <v>4200</v>
      </c>
      <c r="N65" s="136">
        <f t="shared" si="3"/>
        <v>16.968</v>
      </c>
      <c r="P65" s="90" t="s">
        <v>1132</v>
      </c>
      <c r="Q65" s="86" t="s">
        <v>3062</v>
      </c>
      <c r="R65" s="86"/>
      <c r="S65" s="86" t="s">
        <v>2768</v>
      </c>
      <c r="T65" s="91">
        <v>1.5</v>
      </c>
      <c r="U65" s="92">
        <v>15</v>
      </c>
      <c r="V65" s="93">
        <v>1</v>
      </c>
      <c r="AA65" s="99" t="s">
        <v>3052</v>
      </c>
      <c r="AB65" s="86" t="s">
        <v>2769</v>
      </c>
      <c r="AC65" s="98" t="s">
        <v>3117</v>
      </c>
    </row>
    <row r="66" spans="1:29" x14ac:dyDescent="0.4">
      <c r="A66" s="102" t="s">
        <v>3115</v>
      </c>
      <c r="B66" s="85" t="s">
        <v>2724</v>
      </c>
      <c r="C66" s="84" t="s">
        <v>4071</v>
      </c>
      <c r="D66" s="143" t="s">
        <v>4160</v>
      </c>
      <c r="E66" s="145"/>
      <c r="I66" s="106" t="s">
        <v>4027</v>
      </c>
      <c r="J66" s="86">
        <v>125</v>
      </c>
      <c r="L66" s="100">
        <v>4040</v>
      </c>
      <c r="M66" s="100">
        <v>4200</v>
      </c>
      <c r="N66" s="136">
        <f t="shared" si="3"/>
        <v>16.968</v>
      </c>
      <c r="P66" s="90" t="s">
        <v>1132</v>
      </c>
      <c r="Q66" s="86" t="s">
        <v>3062</v>
      </c>
      <c r="R66" s="86"/>
      <c r="S66" s="86" t="s">
        <v>2766</v>
      </c>
      <c r="T66" s="91">
        <v>1.5</v>
      </c>
      <c r="U66" s="92">
        <v>15</v>
      </c>
      <c r="V66" s="93">
        <v>1</v>
      </c>
      <c r="AA66" s="99" t="s">
        <v>3052</v>
      </c>
      <c r="AB66" s="86" t="s">
        <v>2769</v>
      </c>
      <c r="AC66" s="98" t="s">
        <v>3116</v>
      </c>
    </row>
    <row r="67" spans="1:29" x14ac:dyDescent="0.4">
      <c r="A67" s="102" t="s">
        <v>2900</v>
      </c>
      <c r="B67" s="85" t="s">
        <v>824</v>
      </c>
      <c r="C67" s="84" t="s">
        <v>4071</v>
      </c>
      <c r="D67" s="143" t="s">
        <v>4160</v>
      </c>
      <c r="E67" s="145"/>
      <c r="I67" s="106" t="s">
        <v>1131</v>
      </c>
      <c r="J67" s="86">
        <v>150</v>
      </c>
      <c r="L67" s="100">
        <v>4000</v>
      </c>
      <c r="M67" s="100">
        <v>5150</v>
      </c>
      <c r="N67" s="136">
        <f t="shared" si="3"/>
        <v>20.6</v>
      </c>
      <c r="P67" s="90" t="s">
        <v>1132</v>
      </c>
      <c r="Q67" s="86" t="s">
        <v>3053</v>
      </c>
      <c r="R67" s="86"/>
      <c r="S67" s="86" t="s">
        <v>2768</v>
      </c>
      <c r="T67" s="91">
        <v>1.5</v>
      </c>
      <c r="U67" s="92">
        <v>15</v>
      </c>
      <c r="V67" s="93">
        <v>2</v>
      </c>
      <c r="AB67" s="86" t="s">
        <v>2769</v>
      </c>
      <c r="AC67" s="98" t="s">
        <v>2903</v>
      </c>
    </row>
    <row r="68" spans="1:29" x14ac:dyDescent="0.4">
      <c r="A68" s="102" t="s">
        <v>2901</v>
      </c>
      <c r="B68" s="85" t="s">
        <v>824</v>
      </c>
      <c r="C68" s="84" t="s">
        <v>4071</v>
      </c>
      <c r="D68" s="143" t="s">
        <v>4160</v>
      </c>
      <c r="E68" s="145"/>
      <c r="I68" s="106" t="s">
        <v>1131</v>
      </c>
      <c r="J68" s="86">
        <v>150</v>
      </c>
      <c r="L68" s="100">
        <v>4000</v>
      </c>
      <c r="M68" s="100">
        <v>5150</v>
      </c>
      <c r="N68" s="136">
        <f t="shared" si="3"/>
        <v>20.6</v>
      </c>
      <c r="P68" s="90" t="s">
        <v>1132</v>
      </c>
      <c r="Q68" s="86" t="s">
        <v>3053</v>
      </c>
      <c r="R68" s="86"/>
      <c r="S68" s="86" t="s">
        <v>2766</v>
      </c>
      <c r="T68" s="91">
        <v>1.5</v>
      </c>
      <c r="U68" s="92">
        <v>15</v>
      </c>
      <c r="V68" s="93">
        <v>2</v>
      </c>
      <c r="AB68" s="86" t="s">
        <v>2769</v>
      </c>
      <c r="AC68" s="98" t="s">
        <v>2905</v>
      </c>
    </row>
    <row r="69" spans="1:29" x14ac:dyDescent="0.4">
      <c r="A69" s="102" t="s">
        <v>2902</v>
      </c>
      <c r="B69" s="85" t="s">
        <v>824</v>
      </c>
      <c r="C69" s="84" t="s">
        <v>4071</v>
      </c>
      <c r="D69" s="143" t="s">
        <v>4160</v>
      </c>
      <c r="E69" s="145"/>
      <c r="I69" s="106" t="s">
        <v>1133</v>
      </c>
      <c r="J69" s="86">
        <v>200</v>
      </c>
      <c r="L69" s="100">
        <v>7950</v>
      </c>
      <c r="M69" s="100">
        <v>5000</v>
      </c>
      <c r="N69" s="136">
        <f t="shared" si="3"/>
        <v>39.75</v>
      </c>
      <c r="O69" s="88">
        <v>6300</v>
      </c>
      <c r="P69" s="90" t="s">
        <v>1132</v>
      </c>
      <c r="Q69" s="86" t="s">
        <v>3053</v>
      </c>
      <c r="R69" s="86"/>
      <c r="S69" s="86" t="s">
        <v>2768</v>
      </c>
      <c r="T69" s="91">
        <v>3</v>
      </c>
      <c r="U69" s="92">
        <v>15</v>
      </c>
      <c r="V69" s="93">
        <v>2</v>
      </c>
      <c r="AB69" s="86" t="s">
        <v>2769</v>
      </c>
      <c r="AC69" s="98" t="s">
        <v>3920</v>
      </c>
    </row>
    <row r="70" spans="1:29" x14ac:dyDescent="0.4">
      <c r="A70" s="102" t="s">
        <v>2904</v>
      </c>
      <c r="B70" s="85" t="s">
        <v>824</v>
      </c>
      <c r="C70" s="84" t="s">
        <v>4071</v>
      </c>
      <c r="D70" s="143" t="s">
        <v>4160</v>
      </c>
      <c r="E70" s="145"/>
      <c r="I70" s="106" t="s">
        <v>1133</v>
      </c>
      <c r="J70" s="86">
        <v>200</v>
      </c>
      <c r="L70" s="100">
        <v>7950</v>
      </c>
      <c r="M70" s="100">
        <v>5000</v>
      </c>
      <c r="N70" s="136">
        <f t="shared" si="3"/>
        <v>39.75</v>
      </c>
      <c r="O70" s="88">
        <v>6300</v>
      </c>
      <c r="P70" s="90" t="s">
        <v>1132</v>
      </c>
      <c r="Q70" s="86" t="s">
        <v>3053</v>
      </c>
      <c r="R70" s="86"/>
      <c r="S70" s="86" t="s">
        <v>2766</v>
      </c>
      <c r="T70" s="91">
        <v>3</v>
      </c>
      <c r="U70" s="92">
        <v>15</v>
      </c>
      <c r="V70" s="93">
        <v>2</v>
      </c>
      <c r="AB70" s="86" t="s">
        <v>2769</v>
      </c>
      <c r="AC70" s="98" t="s">
        <v>3921</v>
      </c>
    </row>
    <row r="71" spans="1:29" x14ac:dyDescent="0.4">
      <c r="A71" s="83" t="s">
        <v>4069</v>
      </c>
      <c r="B71" s="64" t="s">
        <v>4076</v>
      </c>
      <c r="C71" s="84" t="s">
        <v>4071</v>
      </c>
      <c r="D71" s="143" t="s">
        <v>4160</v>
      </c>
      <c r="E71" s="145">
        <v>1300293667</v>
      </c>
      <c r="F71" s="96" t="s">
        <v>4119</v>
      </c>
      <c r="G71" s="143" t="s">
        <v>4118</v>
      </c>
      <c r="H71" s="86">
        <v>1</v>
      </c>
      <c r="I71" s="106" t="s">
        <v>4027</v>
      </c>
      <c r="J71" s="86">
        <v>150</v>
      </c>
      <c r="K71" s="88">
        <v>4456</v>
      </c>
      <c r="L71" s="89">
        <v>4000</v>
      </c>
      <c r="M71" s="89">
        <v>3180</v>
      </c>
      <c r="N71" s="136">
        <f t="shared" si="3"/>
        <v>12.72</v>
      </c>
      <c r="O71" s="88">
        <v>3580</v>
      </c>
      <c r="P71" s="90" t="s">
        <v>1132</v>
      </c>
      <c r="Q71" s="86" t="s">
        <v>4075</v>
      </c>
      <c r="R71" s="86" t="s">
        <v>4030</v>
      </c>
      <c r="S71" s="86" t="s">
        <v>2766</v>
      </c>
      <c r="T71" s="91">
        <v>0.75</v>
      </c>
      <c r="U71" s="92">
        <f>IF(T71="NA","-",IF(T71&gt;=1.5,15,IF(T71=0.75,10,"")))</f>
        <v>10</v>
      </c>
      <c r="V71" s="93">
        <v>1</v>
      </c>
      <c r="W71" s="94" t="s">
        <v>4065</v>
      </c>
      <c r="X71" s="86" t="s">
        <v>4038</v>
      </c>
      <c r="AB71" s="86" t="s">
        <v>2769</v>
      </c>
    </row>
    <row r="72" spans="1:29" x14ac:dyDescent="0.4">
      <c r="A72" s="83" t="s">
        <v>4158</v>
      </c>
      <c r="B72" s="64" t="s">
        <v>4162</v>
      </c>
      <c r="C72" s="84" t="s">
        <v>4071</v>
      </c>
      <c r="D72" s="143" t="s">
        <v>4160</v>
      </c>
      <c r="E72" s="143">
        <v>1300293667</v>
      </c>
      <c r="F72" s="143" t="s">
        <v>4159</v>
      </c>
      <c r="G72" s="143" t="s">
        <v>4118</v>
      </c>
      <c r="H72" s="86">
        <v>1</v>
      </c>
      <c r="I72" s="106" t="s">
        <v>4027</v>
      </c>
      <c r="J72" s="86">
        <v>125</v>
      </c>
      <c r="L72" s="89">
        <v>3000</v>
      </c>
      <c r="M72" s="89">
        <v>3100</v>
      </c>
      <c r="N72" s="136">
        <f t="shared" si="3"/>
        <v>9.3000000000000007</v>
      </c>
      <c r="P72" s="90" t="s">
        <v>1132</v>
      </c>
      <c r="Q72" s="86" t="s">
        <v>3053</v>
      </c>
      <c r="R72" s="86" t="s">
        <v>4030</v>
      </c>
      <c r="S72" s="86" t="s">
        <v>2766</v>
      </c>
      <c r="T72" s="91">
        <v>0.75</v>
      </c>
      <c r="U72" s="92">
        <f>IF(T72="NA","-",IF(T72&gt;=1.5,15,IF(T72=0.75,10,"")))</f>
        <v>10</v>
      </c>
      <c r="V72" s="93">
        <v>1</v>
      </c>
      <c r="W72" s="94" t="s">
        <v>4065</v>
      </c>
      <c r="X72" s="86" t="s">
        <v>4037</v>
      </c>
      <c r="AB72" s="86" t="s">
        <v>2769</v>
      </c>
    </row>
    <row r="73" spans="1:29" x14ac:dyDescent="0.4">
      <c r="A73" s="102" t="s">
        <v>456</v>
      </c>
      <c r="B73" s="85" t="s">
        <v>2743</v>
      </c>
      <c r="C73" s="84" t="s">
        <v>4221</v>
      </c>
      <c r="D73" s="143" t="s">
        <v>4160</v>
      </c>
      <c r="E73" s="145"/>
      <c r="I73" s="106" t="s">
        <v>1131</v>
      </c>
      <c r="J73" s="86">
        <v>150</v>
      </c>
      <c r="L73" s="100">
        <v>5000</v>
      </c>
      <c r="M73" s="100">
        <v>4700</v>
      </c>
      <c r="N73" s="136">
        <f t="shared" si="3"/>
        <v>23.5</v>
      </c>
      <c r="P73" s="90" t="s">
        <v>1132</v>
      </c>
      <c r="Q73" s="86" t="s">
        <v>3053</v>
      </c>
      <c r="R73" s="86" t="s">
        <v>3078</v>
      </c>
      <c r="S73" s="86" t="s">
        <v>2768</v>
      </c>
      <c r="T73" s="91">
        <v>1.5</v>
      </c>
      <c r="U73" s="92">
        <v>15</v>
      </c>
      <c r="V73" s="93">
        <v>1</v>
      </c>
      <c r="W73" s="94" t="s">
        <v>3050</v>
      </c>
      <c r="AC73" s="98" t="s">
        <v>2157</v>
      </c>
    </row>
    <row r="74" spans="1:29" x14ac:dyDescent="0.4">
      <c r="A74" s="102" t="s">
        <v>462</v>
      </c>
      <c r="B74" s="85" t="s">
        <v>2745</v>
      </c>
      <c r="C74" s="84" t="s">
        <v>4222</v>
      </c>
      <c r="D74" s="143" t="s">
        <v>4160</v>
      </c>
      <c r="E74" s="145"/>
      <c r="I74" s="106" t="s">
        <v>4027</v>
      </c>
      <c r="J74" s="86">
        <v>125</v>
      </c>
      <c r="L74" s="100">
        <v>3600</v>
      </c>
      <c r="M74" s="100">
        <v>4000</v>
      </c>
      <c r="N74" s="136">
        <f t="shared" ref="N74:N105" si="4">L74*M74/1000000</f>
        <v>14.4</v>
      </c>
      <c r="P74" s="90" t="s">
        <v>1132</v>
      </c>
      <c r="Q74" s="86" t="s">
        <v>3053</v>
      </c>
      <c r="R74" s="86"/>
      <c r="S74" s="86" t="s">
        <v>2768</v>
      </c>
      <c r="T74" s="91">
        <v>0.75</v>
      </c>
      <c r="U74" s="92">
        <v>10</v>
      </c>
      <c r="V74" s="93">
        <v>1</v>
      </c>
      <c r="W74" s="94" t="s">
        <v>3050</v>
      </c>
      <c r="Z74" s="99" t="s">
        <v>3051</v>
      </c>
      <c r="AB74" s="86" t="s">
        <v>2769</v>
      </c>
      <c r="AC74" s="98" t="s">
        <v>2145</v>
      </c>
    </row>
    <row r="75" spans="1:29" x14ac:dyDescent="0.4">
      <c r="A75" s="102" t="s">
        <v>2820</v>
      </c>
      <c r="B75" s="85" t="s">
        <v>846</v>
      </c>
      <c r="C75" s="84" t="s">
        <v>4218</v>
      </c>
      <c r="D75" s="143" t="s">
        <v>4160</v>
      </c>
      <c r="E75" s="145"/>
      <c r="I75" s="106" t="s">
        <v>1131</v>
      </c>
      <c r="J75" s="86">
        <v>150</v>
      </c>
      <c r="L75" s="100">
        <v>3000</v>
      </c>
      <c r="M75" s="100">
        <v>4350</v>
      </c>
      <c r="N75" s="136">
        <f t="shared" si="4"/>
        <v>13.05</v>
      </c>
      <c r="P75" s="90" t="s">
        <v>1132</v>
      </c>
      <c r="Q75" s="86" t="s">
        <v>3053</v>
      </c>
      <c r="R75" s="86"/>
      <c r="S75" s="86" t="s">
        <v>2768</v>
      </c>
      <c r="T75" s="91">
        <v>1.5</v>
      </c>
      <c r="U75" s="92">
        <v>15</v>
      </c>
      <c r="V75" s="93">
        <v>1</v>
      </c>
      <c r="Z75" s="99" t="s">
        <v>3051</v>
      </c>
      <c r="AB75" s="86" t="s">
        <v>2769</v>
      </c>
      <c r="AC75" s="98" t="s">
        <v>2085</v>
      </c>
    </row>
    <row r="76" spans="1:29" x14ac:dyDescent="0.4">
      <c r="A76" s="102" t="s">
        <v>2821</v>
      </c>
      <c r="B76" s="85" t="s">
        <v>846</v>
      </c>
      <c r="C76" s="84" t="s">
        <v>4218</v>
      </c>
      <c r="D76" s="143" t="s">
        <v>4160</v>
      </c>
      <c r="E76" s="145"/>
      <c r="I76" s="106" t="s">
        <v>1131</v>
      </c>
      <c r="J76" s="86">
        <v>150</v>
      </c>
      <c r="L76" s="100">
        <v>5400</v>
      </c>
      <c r="M76" s="100">
        <v>4150</v>
      </c>
      <c r="N76" s="136">
        <f t="shared" si="4"/>
        <v>22.41</v>
      </c>
      <c r="P76" s="90" t="s">
        <v>1132</v>
      </c>
      <c r="Q76" s="86" t="s">
        <v>3053</v>
      </c>
      <c r="R76" s="86"/>
      <c r="S76" s="86" t="s">
        <v>2766</v>
      </c>
      <c r="T76" s="91">
        <v>1.5</v>
      </c>
      <c r="U76" s="92">
        <v>15</v>
      </c>
      <c r="V76" s="93">
        <v>1</v>
      </c>
      <c r="Z76" s="99" t="s">
        <v>3051</v>
      </c>
      <c r="AB76" s="86" t="s">
        <v>2769</v>
      </c>
      <c r="AC76" s="98" t="s">
        <v>2822</v>
      </c>
    </row>
    <row r="77" spans="1:29" x14ac:dyDescent="0.4">
      <c r="A77" s="102" t="s">
        <v>2781</v>
      </c>
      <c r="B77" s="85" t="s">
        <v>863</v>
      </c>
      <c r="C77" s="84" t="s">
        <v>4218</v>
      </c>
      <c r="D77" s="143" t="s">
        <v>4160</v>
      </c>
      <c r="E77" s="145"/>
      <c r="H77" s="86">
        <v>1</v>
      </c>
      <c r="I77" s="106" t="s">
        <v>1131</v>
      </c>
      <c r="J77" s="86">
        <v>150</v>
      </c>
      <c r="L77" s="100">
        <v>5100</v>
      </c>
      <c r="M77" s="100">
        <v>5200</v>
      </c>
      <c r="N77" s="136">
        <f t="shared" si="4"/>
        <v>26.52</v>
      </c>
      <c r="P77" s="90" t="s">
        <v>1132</v>
      </c>
      <c r="Q77" s="86" t="s">
        <v>3053</v>
      </c>
      <c r="R77" s="86"/>
      <c r="S77" s="86" t="s">
        <v>2768</v>
      </c>
      <c r="T77" s="91">
        <v>1.5</v>
      </c>
      <c r="U77" s="92" t="s">
        <v>2767</v>
      </c>
      <c r="V77" s="93">
        <v>1</v>
      </c>
      <c r="W77" s="94" t="s">
        <v>3050</v>
      </c>
      <c r="AB77" s="86" t="s">
        <v>2769</v>
      </c>
      <c r="AC77" s="98" t="s">
        <v>2038</v>
      </c>
    </row>
    <row r="78" spans="1:29" x14ac:dyDescent="0.4">
      <c r="A78" s="102" t="s">
        <v>2784</v>
      </c>
      <c r="B78" s="85" t="s">
        <v>863</v>
      </c>
      <c r="C78" s="84" t="s">
        <v>4218</v>
      </c>
      <c r="D78" s="143" t="s">
        <v>4160</v>
      </c>
      <c r="E78" s="145"/>
      <c r="I78" s="106" t="s">
        <v>4027</v>
      </c>
      <c r="J78" s="86">
        <v>125</v>
      </c>
      <c r="L78" s="100">
        <v>4800</v>
      </c>
      <c r="M78" s="100">
        <v>4700</v>
      </c>
      <c r="N78" s="136">
        <f t="shared" si="4"/>
        <v>22.56</v>
      </c>
      <c r="P78" s="90" t="s">
        <v>1132</v>
      </c>
      <c r="Q78" s="86" t="s">
        <v>3053</v>
      </c>
      <c r="R78" s="86"/>
      <c r="S78" s="86" t="s">
        <v>2766</v>
      </c>
      <c r="T78" s="91">
        <v>0.75</v>
      </c>
      <c r="U78" s="92">
        <v>15</v>
      </c>
      <c r="V78" s="93">
        <v>1</v>
      </c>
      <c r="W78" s="94" t="s">
        <v>3050</v>
      </c>
      <c r="AB78" s="86" t="s">
        <v>2769</v>
      </c>
      <c r="AC78" s="98" t="s">
        <v>2782</v>
      </c>
    </row>
    <row r="79" spans="1:29" x14ac:dyDescent="0.4">
      <c r="A79" s="102" t="s">
        <v>2785</v>
      </c>
      <c r="B79" s="85" t="s">
        <v>863</v>
      </c>
      <c r="C79" s="84" t="s">
        <v>4218</v>
      </c>
      <c r="D79" s="143" t="s">
        <v>4160</v>
      </c>
      <c r="E79" s="145"/>
      <c r="I79" s="106" t="s">
        <v>4027</v>
      </c>
      <c r="J79" s="86">
        <v>125</v>
      </c>
      <c r="L79" s="100">
        <v>3100</v>
      </c>
      <c r="M79" s="100">
        <v>4300</v>
      </c>
      <c r="N79" s="136">
        <f t="shared" si="4"/>
        <v>13.33</v>
      </c>
      <c r="P79" s="90" t="s">
        <v>1132</v>
      </c>
      <c r="Q79" s="86" t="s">
        <v>3053</v>
      </c>
      <c r="R79" s="86"/>
      <c r="S79" s="86" t="s">
        <v>2768</v>
      </c>
      <c r="T79" s="91">
        <v>0.75</v>
      </c>
      <c r="U79" s="92">
        <v>15</v>
      </c>
      <c r="V79" s="93">
        <v>1</v>
      </c>
      <c r="W79" s="94" t="s">
        <v>3050</v>
      </c>
      <c r="AB79" s="86" t="s">
        <v>2769</v>
      </c>
      <c r="AC79" s="98" t="s">
        <v>2783</v>
      </c>
    </row>
    <row r="80" spans="1:29" x14ac:dyDescent="0.4">
      <c r="A80" s="102" t="s">
        <v>2786</v>
      </c>
      <c r="B80" s="85" t="s">
        <v>863</v>
      </c>
      <c r="C80" s="84" t="s">
        <v>4218</v>
      </c>
      <c r="D80" s="143" t="s">
        <v>4160</v>
      </c>
      <c r="E80" s="145"/>
      <c r="I80" s="106" t="s">
        <v>4027</v>
      </c>
      <c r="J80" s="86">
        <v>125</v>
      </c>
      <c r="L80" s="100">
        <v>2700</v>
      </c>
      <c r="M80" s="100">
        <v>4000</v>
      </c>
      <c r="N80" s="136">
        <f t="shared" si="4"/>
        <v>10.8</v>
      </c>
      <c r="P80" s="90" t="s">
        <v>1132</v>
      </c>
      <c r="Q80" s="86" t="s">
        <v>3053</v>
      </c>
      <c r="R80" s="86"/>
      <c r="S80" s="86" t="s">
        <v>2768</v>
      </c>
      <c r="T80" s="91">
        <v>0.75</v>
      </c>
      <c r="U80" s="92">
        <v>15</v>
      </c>
      <c r="V80" s="93">
        <v>1</v>
      </c>
      <c r="W80" s="94" t="s">
        <v>3050</v>
      </c>
      <c r="AB80" s="86" t="s">
        <v>2769</v>
      </c>
      <c r="AC80" s="98" t="s">
        <v>2787</v>
      </c>
    </row>
    <row r="81" spans="1:29" x14ac:dyDescent="0.4">
      <c r="A81" s="102" t="s">
        <v>2962</v>
      </c>
      <c r="B81" s="85" t="s">
        <v>805</v>
      </c>
      <c r="C81" s="84" t="s">
        <v>2230</v>
      </c>
      <c r="D81" s="143" t="s">
        <v>4160</v>
      </c>
      <c r="E81" s="145"/>
      <c r="I81" s="106" t="s">
        <v>4027</v>
      </c>
      <c r="J81" s="86">
        <v>125</v>
      </c>
      <c r="L81" s="100">
        <v>3300</v>
      </c>
      <c r="M81" s="100">
        <v>3150</v>
      </c>
      <c r="N81" s="136">
        <f t="shared" si="4"/>
        <v>10.395</v>
      </c>
      <c r="P81" s="90" t="s">
        <v>1132</v>
      </c>
      <c r="Q81" s="86" t="s">
        <v>3053</v>
      </c>
      <c r="R81" s="86"/>
      <c r="S81" s="86" t="s">
        <v>2768</v>
      </c>
      <c r="T81" s="91">
        <v>0.75</v>
      </c>
      <c r="U81" s="92">
        <v>10</v>
      </c>
      <c r="V81" s="93">
        <v>1</v>
      </c>
      <c r="AB81" s="86" t="s">
        <v>2769</v>
      </c>
      <c r="AC81" s="98" t="s">
        <v>2961</v>
      </c>
    </row>
    <row r="82" spans="1:29" x14ac:dyDescent="0.4">
      <c r="A82" s="102" t="s">
        <v>2965</v>
      </c>
      <c r="B82" s="85" t="s">
        <v>805</v>
      </c>
      <c r="C82" s="84" t="s">
        <v>2230</v>
      </c>
      <c r="D82" s="143" t="s">
        <v>4160</v>
      </c>
      <c r="E82" s="145"/>
      <c r="I82" s="106" t="s">
        <v>4027</v>
      </c>
      <c r="J82" s="86">
        <v>125</v>
      </c>
      <c r="L82" s="100">
        <v>2400</v>
      </c>
      <c r="M82" s="100">
        <v>3150</v>
      </c>
      <c r="N82" s="136">
        <f t="shared" si="4"/>
        <v>7.56</v>
      </c>
      <c r="P82" s="90" t="s">
        <v>1132</v>
      </c>
      <c r="Q82" s="86" t="s">
        <v>3053</v>
      </c>
      <c r="R82" s="86"/>
      <c r="S82" s="86" t="s">
        <v>2766</v>
      </c>
      <c r="T82" s="91">
        <v>0.75</v>
      </c>
      <c r="U82" s="92">
        <v>10</v>
      </c>
      <c r="V82" s="93">
        <v>1</v>
      </c>
      <c r="AB82" s="86" t="s">
        <v>2769</v>
      </c>
      <c r="AC82" s="98" t="s">
        <v>2963</v>
      </c>
    </row>
    <row r="83" spans="1:29" x14ac:dyDescent="0.4">
      <c r="A83" s="102" t="s">
        <v>2964</v>
      </c>
      <c r="B83" s="85" t="s">
        <v>805</v>
      </c>
      <c r="C83" s="84" t="s">
        <v>2230</v>
      </c>
      <c r="D83" s="143" t="s">
        <v>4160</v>
      </c>
      <c r="E83" s="145"/>
      <c r="I83" s="106" t="s">
        <v>4027</v>
      </c>
      <c r="J83" s="86">
        <v>125</v>
      </c>
      <c r="L83" s="100">
        <v>1800</v>
      </c>
      <c r="M83" s="100">
        <v>3150</v>
      </c>
      <c r="N83" s="136">
        <f t="shared" si="4"/>
        <v>5.67</v>
      </c>
      <c r="P83" s="90" t="s">
        <v>1132</v>
      </c>
      <c r="Q83" s="86" t="s">
        <v>3053</v>
      </c>
      <c r="R83" s="86"/>
      <c r="S83" s="86" t="s">
        <v>2766</v>
      </c>
      <c r="T83" s="91">
        <v>0.75</v>
      </c>
      <c r="U83" s="92">
        <v>10</v>
      </c>
      <c r="V83" s="93">
        <v>1</v>
      </c>
      <c r="AB83" s="86" t="s">
        <v>2769</v>
      </c>
      <c r="AC83" s="98" t="s">
        <v>2966</v>
      </c>
    </row>
    <row r="84" spans="1:29" x14ac:dyDescent="0.4">
      <c r="A84" s="102" t="s">
        <v>413</v>
      </c>
      <c r="B84" s="85" t="s">
        <v>806</v>
      </c>
      <c r="C84" s="84" t="s">
        <v>2230</v>
      </c>
      <c r="D84" s="143" t="s">
        <v>4160</v>
      </c>
      <c r="E84" s="145"/>
      <c r="I84" s="106" t="s">
        <v>4027</v>
      </c>
      <c r="J84" s="86">
        <v>125</v>
      </c>
      <c r="L84" s="100">
        <v>1800</v>
      </c>
      <c r="M84" s="100">
        <v>3150</v>
      </c>
      <c r="N84" s="136">
        <f t="shared" si="4"/>
        <v>5.67</v>
      </c>
      <c r="P84" s="90" t="s">
        <v>1132</v>
      </c>
      <c r="Q84" s="86" t="s">
        <v>3053</v>
      </c>
      <c r="R84" s="86"/>
      <c r="S84" s="86" t="s">
        <v>2768</v>
      </c>
      <c r="T84" s="91">
        <v>0.75</v>
      </c>
      <c r="U84" s="92">
        <v>10</v>
      </c>
      <c r="V84" s="93">
        <v>1</v>
      </c>
      <c r="AB84" s="86" t="s">
        <v>2769</v>
      </c>
      <c r="AC84" s="98" t="s">
        <v>2957</v>
      </c>
    </row>
    <row r="85" spans="1:29" x14ac:dyDescent="0.4">
      <c r="A85" s="102" t="s">
        <v>302</v>
      </c>
      <c r="B85" s="85" t="s">
        <v>724</v>
      </c>
      <c r="C85" s="84" t="s">
        <v>4223</v>
      </c>
      <c r="D85" s="143" t="s">
        <v>4160</v>
      </c>
      <c r="E85" s="145"/>
      <c r="I85" s="106" t="s">
        <v>1133</v>
      </c>
      <c r="J85" s="86">
        <v>150</v>
      </c>
      <c r="L85" s="100">
        <v>5520</v>
      </c>
      <c r="M85" s="100">
        <v>4300</v>
      </c>
      <c r="N85" s="136">
        <f t="shared" si="4"/>
        <v>23.736000000000001</v>
      </c>
      <c r="P85" s="90" t="s">
        <v>1132</v>
      </c>
      <c r="Q85" s="86" t="s">
        <v>3362</v>
      </c>
      <c r="R85" s="86" t="s">
        <v>3077</v>
      </c>
      <c r="S85" s="86" t="s">
        <v>2768</v>
      </c>
      <c r="T85" s="91">
        <v>1.5</v>
      </c>
      <c r="AA85" s="111" t="s">
        <v>3052</v>
      </c>
      <c r="AC85" s="98" t="s">
        <v>2562</v>
      </c>
    </row>
    <row r="86" spans="1:29" x14ac:dyDescent="0.4">
      <c r="A86" s="102" t="s">
        <v>3513</v>
      </c>
      <c r="B86" s="85" t="s">
        <v>688</v>
      </c>
      <c r="C86" s="84" t="s">
        <v>4224</v>
      </c>
      <c r="D86" s="143" t="s">
        <v>4160</v>
      </c>
      <c r="E86" s="145"/>
      <c r="I86" s="106" t="s">
        <v>1133</v>
      </c>
      <c r="L86" s="89">
        <v>5750</v>
      </c>
      <c r="M86" s="89"/>
      <c r="N86" s="136">
        <f t="shared" si="4"/>
        <v>0</v>
      </c>
      <c r="O86" s="88">
        <v>6850</v>
      </c>
      <c r="P86" s="90" t="s">
        <v>1132</v>
      </c>
      <c r="Q86" s="86" t="s">
        <v>3059</v>
      </c>
      <c r="R86" s="86"/>
      <c r="S86" s="86" t="s">
        <v>2768</v>
      </c>
      <c r="T86" s="91">
        <v>1.5</v>
      </c>
      <c r="U86" s="86" t="s">
        <v>2453</v>
      </c>
      <c r="Z86" s="87" t="s">
        <v>3051</v>
      </c>
      <c r="AC86" s="98" t="s">
        <v>3961</v>
      </c>
    </row>
    <row r="87" spans="1:29" x14ac:dyDescent="0.4">
      <c r="A87" s="102" t="s">
        <v>3514</v>
      </c>
      <c r="B87" s="85" t="s">
        <v>688</v>
      </c>
      <c r="C87" s="84" t="s">
        <v>4224</v>
      </c>
      <c r="D87" s="143" t="s">
        <v>4160</v>
      </c>
      <c r="E87" s="145"/>
      <c r="I87" s="106" t="s">
        <v>1133</v>
      </c>
      <c r="L87" s="89">
        <v>5750</v>
      </c>
      <c r="M87" s="89"/>
      <c r="N87" s="136">
        <f t="shared" si="4"/>
        <v>0</v>
      </c>
      <c r="O87" s="88">
        <v>6850</v>
      </c>
      <c r="P87" s="90" t="s">
        <v>1132</v>
      </c>
      <c r="Q87" s="86" t="s">
        <v>3059</v>
      </c>
      <c r="R87" s="86"/>
      <c r="S87" s="86" t="s">
        <v>2766</v>
      </c>
      <c r="T87" s="91">
        <v>1.5</v>
      </c>
      <c r="U87" s="86" t="s">
        <v>2453</v>
      </c>
      <c r="Z87" s="87" t="s">
        <v>3051</v>
      </c>
      <c r="AC87" s="98" t="s">
        <v>3962</v>
      </c>
    </row>
    <row r="88" spans="1:29" x14ac:dyDescent="0.4">
      <c r="A88" s="102" t="s">
        <v>198</v>
      </c>
      <c r="B88" s="85" t="s">
        <v>2682</v>
      </c>
      <c r="C88" s="84" t="s">
        <v>4220</v>
      </c>
      <c r="D88" s="143" t="s">
        <v>4160</v>
      </c>
      <c r="E88" s="145"/>
      <c r="I88" s="106" t="s">
        <v>4027</v>
      </c>
      <c r="J88" s="86">
        <v>125</v>
      </c>
      <c r="L88" s="100">
        <v>3000</v>
      </c>
      <c r="M88" s="100">
        <v>3590</v>
      </c>
      <c r="N88" s="136">
        <f t="shared" si="4"/>
        <v>10.77</v>
      </c>
      <c r="P88" s="90" t="s">
        <v>1132</v>
      </c>
      <c r="Q88" s="86" t="s">
        <v>3053</v>
      </c>
      <c r="R88" s="86"/>
      <c r="S88" s="86" t="s">
        <v>2768</v>
      </c>
      <c r="T88" s="91">
        <v>0.75</v>
      </c>
      <c r="AA88" s="116" t="s">
        <v>3052</v>
      </c>
      <c r="AB88" s="86" t="s">
        <v>2769</v>
      </c>
      <c r="AC88" s="98" t="s">
        <v>3978</v>
      </c>
    </row>
    <row r="89" spans="1:29" x14ac:dyDescent="0.4">
      <c r="A89" s="102" t="s">
        <v>314</v>
      </c>
      <c r="B89" s="85" t="s">
        <v>2711</v>
      </c>
      <c r="C89" s="84" t="s">
        <v>4220</v>
      </c>
      <c r="D89" s="143" t="s">
        <v>4160</v>
      </c>
      <c r="E89" s="145"/>
      <c r="I89" s="106" t="s">
        <v>1131</v>
      </c>
      <c r="J89" s="86">
        <v>150</v>
      </c>
      <c r="L89" s="100">
        <v>6350</v>
      </c>
      <c r="M89" s="100">
        <v>4050</v>
      </c>
      <c r="N89" s="136">
        <f t="shared" si="4"/>
        <v>25.717500000000001</v>
      </c>
      <c r="P89" s="63" t="s">
        <v>3177</v>
      </c>
      <c r="Q89" s="86" t="s">
        <v>3053</v>
      </c>
      <c r="R89" s="86"/>
      <c r="S89" s="86" t="s">
        <v>2766</v>
      </c>
      <c r="T89" s="91">
        <v>2.2000000000000002</v>
      </c>
      <c r="W89" s="94" t="s">
        <v>3050</v>
      </c>
      <c r="Z89" s="86" t="s">
        <v>1439</v>
      </c>
      <c r="AB89" s="86" t="s">
        <v>2769</v>
      </c>
      <c r="AC89" s="98" t="s">
        <v>2645</v>
      </c>
    </row>
    <row r="90" spans="1:29" x14ac:dyDescent="0.4">
      <c r="A90" s="102" t="s">
        <v>3438</v>
      </c>
      <c r="B90" s="85" t="s">
        <v>699</v>
      </c>
      <c r="C90" s="84" t="s">
        <v>4225</v>
      </c>
      <c r="D90" s="143" t="s">
        <v>4160</v>
      </c>
      <c r="E90" s="145"/>
      <c r="I90" s="106" t="s">
        <v>4027</v>
      </c>
      <c r="J90" s="86">
        <v>100</v>
      </c>
      <c r="L90" s="100">
        <v>3000</v>
      </c>
      <c r="M90" s="100">
        <v>3200</v>
      </c>
      <c r="N90" s="136">
        <f t="shared" si="4"/>
        <v>9.6</v>
      </c>
      <c r="P90" s="63" t="s">
        <v>3177</v>
      </c>
      <c r="Q90" s="86" t="s">
        <v>3053</v>
      </c>
      <c r="R90" s="86"/>
      <c r="S90" s="86" t="s">
        <v>2766</v>
      </c>
      <c r="T90" s="91">
        <v>0.75</v>
      </c>
      <c r="V90" s="93">
        <v>0.5</v>
      </c>
      <c r="Z90" s="86" t="s">
        <v>3185</v>
      </c>
      <c r="AB90" s="86" t="s">
        <v>2769</v>
      </c>
      <c r="AC90" s="98" t="s">
        <v>3437</v>
      </c>
    </row>
    <row r="91" spans="1:29" x14ac:dyDescent="0.4">
      <c r="A91" s="102" t="s">
        <v>3435</v>
      </c>
      <c r="B91" s="85" t="s">
        <v>699</v>
      </c>
      <c r="C91" s="84" t="s">
        <v>4226</v>
      </c>
      <c r="D91" s="143" t="s">
        <v>4160</v>
      </c>
      <c r="E91" s="145"/>
      <c r="H91" s="86">
        <v>2</v>
      </c>
      <c r="I91" s="106" t="s">
        <v>4027</v>
      </c>
      <c r="J91" s="86">
        <v>100</v>
      </c>
      <c r="L91" s="100">
        <v>3000</v>
      </c>
      <c r="M91" s="100">
        <v>2850</v>
      </c>
      <c r="N91" s="136">
        <f t="shared" si="4"/>
        <v>8.5500000000000007</v>
      </c>
      <c r="P91" s="63" t="s">
        <v>3177</v>
      </c>
      <c r="Q91" s="86" t="s">
        <v>3053</v>
      </c>
      <c r="R91" s="86"/>
      <c r="S91" s="86" t="s">
        <v>2766</v>
      </c>
      <c r="T91" s="91">
        <v>0.75</v>
      </c>
      <c r="V91" s="93">
        <v>0.5</v>
      </c>
      <c r="Z91" s="86" t="s">
        <v>3185</v>
      </c>
      <c r="AB91" s="86" t="s">
        <v>2769</v>
      </c>
      <c r="AC91" s="98" t="s">
        <v>3436</v>
      </c>
    </row>
    <row r="92" spans="1:29" x14ac:dyDescent="0.4">
      <c r="A92" s="102" t="s">
        <v>294</v>
      </c>
      <c r="B92" s="85" t="s">
        <v>720</v>
      </c>
      <c r="C92" s="84" t="s">
        <v>4227</v>
      </c>
      <c r="D92" s="143" t="s">
        <v>4160</v>
      </c>
      <c r="E92" s="145"/>
      <c r="I92" s="106" t="s">
        <v>1131</v>
      </c>
      <c r="J92" s="86">
        <v>125</v>
      </c>
      <c r="L92" s="100">
        <v>5500</v>
      </c>
      <c r="M92" s="100">
        <v>4800</v>
      </c>
      <c r="N92" s="136">
        <f t="shared" si="4"/>
        <v>26.4</v>
      </c>
      <c r="P92" s="63" t="s">
        <v>3177</v>
      </c>
      <c r="Q92" s="86" t="s">
        <v>3053</v>
      </c>
      <c r="R92" s="86" t="s">
        <v>3077</v>
      </c>
      <c r="S92" s="86" t="s">
        <v>2766</v>
      </c>
      <c r="T92" s="91">
        <v>1.5</v>
      </c>
      <c r="V92" s="93">
        <v>1</v>
      </c>
      <c r="W92" s="94" t="s">
        <v>3050</v>
      </c>
      <c r="AB92" s="86" t="s">
        <v>2769</v>
      </c>
      <c r="AC92" s="98" t="s">
        <v>3523</v>
      </c>
    </row>
    <row r="93" spans="1:29" x14ac:dyDescent="0.4">
      <c r="A93" s="102" t="s">
        <v>3395</v>
      </c>
      <c r="B93" s="85" t="s">
        <v>2698</v>
      </c>
      <c r="C93" s="84" t="s">
        <v>4228</v>
      </c>
      <c r="D93" s="143" t="s">
        <v>4160</v>
      </c>
      <c r="E93" s="145"/>
      <c r="I93" s="106" t="s">
        <v>4027</v>
      </c>
      <c r="J93" s="86">
        <v>125</v>
      </c>
      <c r="L93" s="100">
        <v>5000</v>
      </c>
      <c r="M93" s="100">
        <v>4700</v>
      </c>
      <c r="N93" s="136">
        <f t="shared" si="4"/>
        <v>23.5</v>
      </c>
      <c r="P93" s="63" t="s">
        <v>3177</v>
      </c>
      <c r="Q93" s="86" t="s">
        <v>3053</v>
      </c>
      <c r="R93" s="86" t="s">
        <v>3077</v>
      </c>
      <c r="S93" s="86" t="s">
        <v>2768</v>
      </c>
      <c r="T93" s="91">
        <v>1.5</v>
      </c>
      <c r="V93" s="93">
        <v>1</v>
      </c>
      <c r="W93" s="94" t="s">
        <v>3050</v>
      </c>
      <c r="Z93" s="87" t="s">
        <v>3051</v>
      </c>
      <c r="AB93" s="86" t="s">
        <v>3047</v>
      </c>
      <c r="AC93" s="98" t="s">
        <v>3958</v>
      </c>
    </row>
    <row r="94" spans="1:29" x14ac:dyDescent="0.4">
      <c r="A94" s="102" t="s">
        <v>3394</v>
      </c>
      <c r="B94" s="85" t="s">
        <v>2698</v>
      </c>
      <c r="C94" s="84" t="s">
        <v>4229</v>
      </c>
      <c r="D94" s="143" t="s">
        <v>4160</v>
      </c>
      <c r="E94" s="145"/>
      <c r="I94" s="106" t="s">
        <v>4027</v>
      </c>
      <c r="J94" s="86">
        <v>100</v>
      </c>
      <c r="L94" s="100">
        <v>3000</v>
      </c>
      <c r="M94" s="100">
        <v>3650</v>
      </c>
      <c r="N94" s="136">
        <f t="shared" si="4"/>
        <v>10.95</v>
      </c>
      <c r="P94" s="63" t="s">
        <v>3177</v>
      </c>
      <c r="Q94" s="86" t="s">
        <v>3053</v>
      </c>
      <c r="R94" s="86" t="s">
        <v>3077</v>
      </c>
      <c r="S94" s="86" t="s">
        <v>2766</v>
      </c>
      <c r="T94" s="91">
        <v>0.75</v>
      </c>
      <c r="V94" s="93">
        <v>1</v>
      </c>
      <c r="W94" s="94" t="s">
        <v>3050</v>
      </c>
      <c r="Z94" s="87" t="s">
        <v>3051</v>
      </c>
      <c r="AB94" s="86" t="s">
        <v>3047</v>
      </c>
      <c r="AC94" s="98" t="s">
        <v>3286</v>
      </c>
    </row>
    <row r="95" spans="1:29" x14ac:dyDescent="0.4">
      <c r="A95" s="102" t="s">
        <v>3734</v>
      </c>
      <c r="B95" s="85" t="s">
        <v>1995</v>
      </c>
      <c r="C95" s="84" t="s">
        <v>4230</v>
      </c>
      <c r="D95" s="143" t="s">
        <v>4160</v>
      </c>
      <c r="E95" s="145"/>
      <c r="I95" s="106" t="s">
        <v>4027</v>
      </c>
      <c r="J95" s="86">
        <v>100</v>
      </c>
      <c r="L95" s="100">
        <v>4000</v>
      </c>
      <c r="M95" s="100">
        <v>3600</v>
      </c>
      <c r="N95" s="136">
        <f t="shared" si="4"/>
        <v>14.4</v>
      </c>
      <c r="P95" s="90" t="s">
        <v>1132</v>
      </c>
      <c r="Q95" s="86" t="s">
        <v>3066</v>
      </c>
      <c r="R95" s="86"/>
      <c r="S95" s="86" t="s">
        <v>2766</v>
      </c>
      <c r="T95" s="91">
        <v>0.75</v>
      </c>
      <c r="V95" s="93">
        <v>1</v>
      </c>
      <c r="AA95" s="116" t="s">
        <v>3052</v>
      </c>
      <c r="AB95" s="86" t="s">
        <v>2769</v>
      </c>
      <c r="AC95" s="98" t="s">
        <v>3982</v>
      </c>
    </row>
    <row r="96" spans="1:29" x14ac:dyDescent="0.4">
      <c r="A96" s="102" t="s">
        <v>3733</v>
      </c>
      <c r="B96" s="85" t="s">
        <v>1995</v>
      </c>
      <c r="C96" s="84" t="s">
        <v>4231</v>
      </c>
      <c r="D96" s="143" t="s">
        <v>4160</v>
      </c>
      <c r="E96" s="145"/>
      <c r="I96" s="106" t="s">
        <v>4027</v>
      </c>
      <c r="J96" s="86">
        <v>100</v>
      </c>
      <c r="L96" s="100">
        <v>4000</v>
      </c>
      <c r="M96" s="100">
        <v>3600</v>
      </c>
      <c r="N96" s="136">
        <f t="shared" si="4"/>
        <v>14.4</v>
      </c>
      <c r="P96" s="90" t="s">
        <v>1132</v>
      </c>
      <c r="Q96" s="86" t="s">
        <v>3066</v>
      </c>
      <c r="R96" s="86"/>
      <c r="S96" s="86" t="s">
        <v>2768</v>
      </c>
      <c r="T96" s="91">
        <v>0.75</v>
      </c>
      <c r="V96" s="93">
        <v>1</v>
      </c>
      <c r="AA96" s="116" t="s">
        <v>3052</v>
      </c>
      <c r="AB96" s="86" t="s">
        <v>2769</v>
      </c>
      <c r="AC96" s="98" t="s">
        <v>3981</v>
      </c>
    </row>
    <row r="97" spans="1:29" x14ac:dyDescent="0.4">
      <c r="A97" s="102" t="s">
        <v>3732</v>
      </c>
      <c r="B97" s="85" t="s">
        <v>1995</v>
      </c>
      <c r="C97" s="84" t="s">
        <v>4232</v>
      </c>
      <c r="D97" s="143" t="s">
        <v>4160</v>
      </c>
      <c r="E97" s="145"/>
      <c r="I97" s="106" t="s">
        <v>4027</v>
      </c>
      <c r="J97" s="86">
        <v>100</v>
      </c>
      <c r="L97" s="100">
        <v>3000</v>
      </c>
      <c r="M97" s="100">
        <v>3600</v>
      </c>
      <c r="N97" s="136">
        <f t="shared" si="4"/>
        <v>10.8</v>
      </c>
      <c r="P97" s="90" t="s">
        <v>1132</v>
      </c>
      <c r="Q97" s="86" t="s">
        <v>3066</v>
      </c>
      <c r="R97" s="86"/>
      <c r="S97" s="86" t="s">
        <v>2766</v>
      </c>
      <c r="T97" s="91">
        <v>0.75</v>
      </c>
      <c r="V97" s="93">
        <v>1</v>
      </c>
      <c r="AA97" s="116" t="s">
        <v>3052</v>
      </c>
      <c r="AB97" s="86" t="s">
        <v>2769</v>
      </c>
      <c r="AC97" s="98" t="s">
        <v>3980</v>
      </c>
    </row>
    <row r="98" spans="1:29" x14ac:dyDescent="0.4">
      <c r="A98" s="102" t="s">
        <v>3717</v>
      </c>
      <c r="B98" s="85" t="s">
        <v>1995</v>
      </c>
      <c r="C98" s="84" t="s">
        <v>4233</v>
      </c>
      <c r="D98" s="143" t="s">
        <v>4160</v>
      </c>
      <c r="E98" s="145"/>
      <c r="I98" s="106" t="s">
        <v>4027</v>
      </c>
      <c r="J98" s="86">
        <v>125</v>
      </c>
      <c r="L98" s="100">
        <v>3000</v>
      </c>
      <c r="M98" s="100">
        <v>3590</v>
      </c>
      <c r="N98" s="136">
        <f t="shared" si="4"/>
        <v>10.77</v>
      </c>
      <c r="O98" s="88">
        <v>3990</v>
      </c>
      <c r="P98" s="90" t="s">
        <v>1132</v>
      </c>
      <c r="Q98" s="86" t="s">
        <v>3053</v>
      </c>
      <c r="R98" s="86"/>
      <c r="S98" s="86" t="s">
        <v>2768</v>
      </c>
      <c r="T98" s="91">
        <v>0.75</v>
      </c>
      <c r="V98" s="93">
        <v>1</v>
      </c>
      <c r="AA98" s="116" t="s">
        <v>3052</v>
      </c>
      <c r="AB98" s="86" t="s">
        <v>2769</v>
      </c>
      <c r="AC98" s="98" t="s">
        <v>3731</v>
      </c>
    </row>
    <row r="99" spans="1:29" x14ac:dyDescent="0.4">
      <c r="A99" s="102" t="s">
        <v>540</v>
      </c>
      <c r="B99" s="85" t="s">
        <v>870</v>
      </c>
      <c r="C99" s="84" t="s">
        <v>2881</v>
      </c>
      <c r="D99" s="143" t="s">
        <v>4160</v>
      </c>
      <c r="E99" s="145"/>
      <c r="H99" s="86">
        <v>1</v>
      </c>
      <c r="I99" s="106" t="s">
        <v>1131</v>
      </c>
      <c r="J99" s="86">
        <v>150</v>
      </c>
      <c r="L99" s="100">
        <v>5000</v>
      </c>
      <c r="M99" s="100">
        <v>5200</v>
      </c>
      <c r="N99" s="136">
        <f t="shared" si="4"/>
        <v>26</v>
      </c>
      <c r="P99" s="90" t="s">
        <v>1132</v>
      </c>
      <c r="Q99" s="86" t="s">
        <v>3053</v>
      </c>
      <c r="R99" s="86" t="s">
        <v>3054</v>
      </c>
      <c r="S99" s="86" t="s">
        <v>2768</v>
      </c>
      <c r="T99" s="91">
        <v>2.2000000000000002</v>
      </c>
      <c r="U99" s="92">
        <v>15</v>
      </c>
      <c r="V99" s="93">
        <v>1.5</v>
      </c>
      <c r="W99" s="94" t="s">
        <v>3050</v>
      </c>
      <c r="AA99" s="99" t="s">
        <v>3052</v>
      </c>
      <c r="AB99" s="86" t="s">
        <v>2769</v>
      </c>
      <c r="AC99" s="98" t="s">
        <v>3718</v>
      </c>
    </row>
    <row r="100" spans="1:29" x14ac:dyDescent="0.4">
      <c r="A100" s="102" t="s">
        <v>2969</v>
      </c>
      <c r="B100" s="85" t="s">
        <v>802</v>
      </c>
      <c r="C100" s="84" t="s">
        <v>4234</v>
      </c>
      <c r="D100" s="143" t="s">
        <v>4301</v>
      </c>
      <c r="E100" s="145"/>
      <c r="I100" s="106" t="s">
        <v>4027</v>
      </c>
      <c r="J100" s="86">
        <v>125</v>
      </c>
      <c r="L100" s="100">
        <v>3000</v>
      </c>
      <c r="M100" s="100">
        <v>4800</v>
      </c>
      <c r="N100" s="136">
        <f t="shared" si="4"/>
        <v>14.4</v>
      </c>
      <c r="P100" s="90" t="s">
        <v>1132</v>
      </c>
      <c r="Q100" s="86" t="s">
        <v>3053</v>
      </c>
      <c r="R100" s="86"/>
      <c r="S100" s="86" t="s">
        <v>2768</v>
      </c>
      <c r="T100" s="91">
        <v>0.75</v>
      </c>
      <c r="U100" s="92">
        <v>15</v>
      </c>
      <c r="AB100" s="86" t="s">
        <v>2769</v>
      </c>
      <c r="AC100" s="98" t="s">
        <v>2970</v>
      </c>
    </row>
    <row r="101" spans="1:29" x14ac:dyDescent="0.4">
      <c r="A101" s="102" t="s">
        <v>2967</v>
      </c>
      <c r="B101" s="85" t="s">
        <v>802</v>
      </c>
      <c r="C101" s="84" t="s">
        <v>4235</v>
      </c>
      <c r="D101" s="143" t="s">
        <v>4302</v>
      </c>
      <c r="E101" s="145"/>
      <c r="I101" s="106" t="s">
        <v>1131</v>
      </c>
      <c r="J101" s="86">
        <v>150</v>
      </c>
      <c r="L101" s="100">
        <v>5000</v>
      </c>
      <c r="M101" s="100">
        <v>5000</v>
      </c>
      <c r="N101" s="136">
        <f t="shared" si="4"/>
        <v>25</v>
      </c>
      <c r="P101" s="90" t="s">
        <v>1132</v>
      </c>
      <c r="Q101" s="86" t="s">
        <v>3053</v>
      </c>
      <c r="R101" s="86"/>
      <c r="S101" s="86" t="s">
        <v>2766</v>
      </c>
      <c r="T101" s="91">
        <v>1.5</v>
      </c>
      <c r="U101" s="92">
        <v>15</v>
      </c>
      <c r="V101" s="93">
        <v>1</v>
      </c>
      <c r="AB101" s="86" t="s">
        <v>2769</v>
      </c>
      <c r="AC101" s="98" t="s">
        <v>2968</v>
      </c>
    </row>
    <row r="102" spans="1:29" x14ac:dyDescent="0.4">
      <c r="A102" s="102" t="s">
        <v>2986</v>
      </c>
      <c r="B102" s="85" t="s">
        <v>2729</v>
      </c>
      <c r="C102" s="84" t="s">
        <v>4219</v>
      </c>
      <c r="D102" s="143" t="s">
        <v>4304</v>
      </c>
      <c r="E102" s="145"/>
      <c r="I102" s="106" t="s">
        <v>1133</v>
      </c>
      <c r="J102" s="86">
        <v>200</v>
      </c>
      <c r="L102" s="100">
        <v>7000</v>
      </c>
      <c r="M102" s="100">
        <v>5000</v>
      </c>
      <c r="N102" s="136">
        <f t="shared" si="4"/>
        <v>35</v>
      </c>
      <c r="O102" s="88">
        <v>6000</v>
      </c>
      <c r="P102" s="90" t="s">
        <v>1132</v>
      </c>
      <c r="Q102" s="86" t="s">
        <v>3062</v>
      </c>
      <c r="R102" s="86"/>
      <c r="S102" s="86" t="s">
        <v>2768</v>
      </c>
      <c r="T102" s="91">
        <v>2.2000000000000002</v>
      </c>
      <c r="U102" s="92" t="s">
        <v>3065</v>
      </c>
      <c r="V102" s="93">
        <v>1.5</v>
      </c>
      <c r="AB102" s="86" t="s">
        <v>2769</v>
      </c>
      <c r="AC102" s="98" t="s">
        <v>2988</v>
      </c>
    </row>
    <row r="103" spans="1:29" x14ac:dyDescent="0.4">
      <c r="A103" s="102" t="s">
        <v>2987</v>
      </c>
      <c r="B103" s="85" t="s">
        <v>2729</v>
      </c>
      <c r="C103" s="84" t="s">
        <v>4219</v>
      </c>
      <c r="D103" s="143" t="s">
        <v>4303</v>
      </c>
      <c r="E103" s="145"/>
      <c r="I103" s="106" t="s">
        <v>1133</v>
      </c>
      <c r="J103" s="86">
        <v>200</v>
      </c>
      <c r="L103" s="100">
        <v>6700</v>
      </c>
      <c r="M103" s="100">
        <v>5000</v>
      </c>
      <c r="N103" s="136">
        <f t="shared" si="4"/>
        <v>33.5</v>
      </c>
      <c r="O103" s="88">
        <v>6000</v>
      </c>
      <c r="P103" s="90" t="s">
        <v>1132</v>
      </c>
      <c r="Q103" s="86" t="s">
        <v>3062</v>
      </c>
      <c r="R103" s="86"/>
      <c r="S103" s="86" t="s">
        <v>2766</v>
      </c>
      <c r="T103" s="91">
        <v>2.2000000000000002</v>
      </c>
      <c r="U103" s="92" t="s">
        <v>3065</v>
      </c>
      <c r="V103" s="93">
        <v>1.5</v>
      </c>
      <c r="AB103" s="86" t="s">
        <v>2769</v>
      </c>
      <c r="AC103" s="98" t="s">
        <v>2989</v>
      </c>
    </row>
    <row r="104" spans="1:29" ht="26.25" x14ac:dyDescent="0.4">
      <c r="A104" s="124" t="s">
        <v>3854</v>
      </c>
      <c r="B104" s="85" t="s">
        <v>1350</v>
      </c>
      <c r="C104" s="84" t="s">
        <v>2565</v>
      </c>
      <c r="D104" s="143" t="s">
        <v>4324</v>
      </c>
      <c r="E104" s="145"/>
      <c r="I104" s="106" t="s">
        <v>4027</v>
      </c>
      <c r="L104" s="100">
        <v>3510</v>
      </c>
      <c r="M104" s="100">
        <v>3600</v>
      </c>
      <c r="N104" s="136">
        <f t="shared" si="4"/>
        <v>12.635999999999999</v>
      </c>
      <c r="R104" s="86"/>
      <c r="S104" s="86" t="s">
        <v>2766</v>
      </c>
      <c r="AC104" s="98" t="s">
        <v>3657</v>
      </c>
    </row>
    <row r="105" spans="1:29" x14ac:dyDescent="0.4">
      <c r="A105" s="102" t="s">
        <v>1362</v>
      </c>
      <c r="B105" s="85" t="s">
        <v>1364</v>
      </c>
      <c r="C105" s="84" t="s">
        <v>2565</v>
      </c>
      <c r="D105" s="143" t="s">
        <v>4324</v>
      </c>
      <c r="E105" s="145"/>
      <c r="I105" s="106" t="s">
        <v>4027</v>
      </c>
      <c r="L105" s="100">
        <v>3500</v>
      </c>
      <c r="M105" s="100">
        <v>3600</v>
      </c>
      <c r="N105" s="136">
        <f t="shared" si="4"/>
        <v>12.6</v>
      </c>
      <c r="R105" s="86"/>
      <c r="AC105" s="98" t="s">
        <v>3653</v>
      </c>
    </row>
    <row r="106" spans="1:29" x14ac:dyDescent="0.4">
      <c r="A106" s="102" t="s">
        <v>1442</v>
      </c>
      <c r="B106" s="85" t="s">
        <v>595</v>
      </c>
      <c r="C106" s="84" t="s">
        <v>2565</v>
      </c>
      <c r="D106" s="143" t="s">
        <v>4324</v>
      </c>
      <c r="E106" s="145"/>
      <c r="I106" s="106" t="s">
        <v>4027</v>
      </c>
      <c r="L106" s="100">
        <v>1400</v>
      </c>
      <c r="M106" s="100">
        <v>2480</v>
      </c>
      <c r="N106" s="136">
        <f t="shared" ref="N106:N134" si="5">L106*M106/1000000</f>
        <v>3.472</v>
      </c>
      <c r="Q106" s="86" t="s">
        <v>3054</v>
      </c>
      <c r="R106" s="86" t="s">
        <v>3069</v>
      </c>
      <c r="S106" s="86" t="s">
        <v>2768</v>
      </c>
      <c r="AC106" s="98" t="s">
        <v>3635</v>
      </c>
    </row>
    <row r="107" spans="1:29" x14ac:dyDescent="0.4">
      <c r="A107" s="102" t="s">
        <v>1443</v>
      </c>
      <c r="B107" s="85" t="s">
        <v>595</v>
      </c>
      <c r="C107" s="84" t="s">
        <v>2565</v>
      </c>
      <c r="D107" s="143" t="s">
        <v>4324</v>
      </c>
      <c r="E107" s="145"/>
      <c r="I107" s="106" t="s">
        <v>4027</v>
      </c>
      <c r="L107" s="100">
        <v>1000</v>
      </c>
      <c r="M107" s="100">
        <v>2100</v>
      </c>
      <c r="N107" s="136">
        <f t="shared" si="5"/>
        <v>2.1</v>
      </c>
      <c r="Q107" s="86" t="s">
        <v>3840</v>
      </c>
      <c r="R107" s="86" t="s">
        <v>3054</v>
      </c>
      <c r="S107" s="86" t="s">
        <v>2766</v>
      </c>
      <c r="AC107" s="98" t="s">
        <v>3634</v>
      </c>
    </row>
    <row r="108" spans="1:29" x14ac:dyDescent="0.4">
      <c r="A108" s="102" t="s">
        <v>1444</v>
      </c>
      <c r="B108" s="85" t="s">
        <v>595</v>
      </c>
      <c r="C108" s="84" t="s">
        <v>2565</v>
      </c>
      <c r="D108" s="143" t="s">
        <v>4324</v>
      </c>
      <c r="E108" s="145"/>
      <c r="I108" s="106" t="s">
        <v>4027</v>
      </c>
      <c r="L108" s="100">
        <v>2100</v>
      </c>
      <c r="M108" s="100">
        <v>2950</v>
      </c>
      <c r="N108" s="136">
        <f t="shared" si="5"/>
        <v>6.1950000000000003</v>
      </c>
      <c r="Q108" s="86" t="s">
        <v>3840</v>
      </c>
      <c r="R108" s="86" t="s">
        <v>3054</v>
      </c>
      <c r="S108" s="86" t="s">
        <v>2766</v>
      </c>
      <c r="AC108" s="98" t="s">
        <v>3633</v>
      </c>
    </row>
    <row r="109" spans="1:29" x14ac:dyDescent="0.4">
      <c r="A109" s="102" t="s">
        <v>152</v>
      </c>
      <c r="B109" s="85" t="s">
        <v>638</v>
      </c>
      <c r="C109" s="84" t="s">
        <v>2565</v>
      </c>
      <c r="D109" s="143" t="s">
        <v>4324</v>
      </c>
      <c r="E109" s="145"/>
      <c r="I109" s="106" t="s">
        <v>4027</v>
      </c>
      <c r="L109" s="100">
        <v>3500</v>
      </c>
      <c r="M109" s="100">
        <v>3800</v>
      </c>
      <c r="N109" s="136">
        <f t="shared" si="5"/>
        <v>13.3</v>
      </c>
      <c r="Q109" s="86" t="s">
        <v>3069</v>
      </c>
      <c r="R109" s="86"/>
      <c r="S109" s="86" t="s">
        <v>2768</v>
      </c>
      <c r="T109" s="91">
        <v>0.75</v>
      </c>
      <c r="Z109" s="87" t="s">
        <v>3051</v>
      </c>
      <c r="AB109" s="86" t="s">
        <v>2769</v>
      </c>
      <c r="AC109" s="98" t="s">
        <v>3562</v>
      </c>
    </row>
    <row r="110" spans="1:29" x14ac:dyDescent="0.4">
      <c r="A110" s="102" t="s">
        <v>166</v>
      </c>
      <c r="B110" s="85" t="s">
        <v>648</v>
      </c>
      <c r="C110" s="84" t="s">
        <v>2565</v>
      </c>
      <c r="D110" s="143" t="s">
        <v>4324</v>
      </c>
      <c r="E110" s="145"/>
      <c r="I110" s="106" t="s">
        <v>4027</v>
      </c>
      <c r="L110" s="100">
        <v>4150</v>
      </c>
      <c r="M110" s="100">
        <v>3250</v>
      </c>
      <c r="N110" s="136">
        <f t="shared" si="5"/>
        <v>13.487500000000001</v>
      </c>
      <c r="Q110" s="86" t="s">
        <v>3774</v>
      </c>
      <c r="R110" s="86"/>
      <c r="S110" s="86" t="s">
        <v>2768</v>
      </c>
      <c r="AA110" s="116" t="s">
        <v>3052</v>
      </c>
      <c r="AC110" s="98" t="s">
        <v>3783</v>
      </c>
    </row>
    <row r="111" spans="1:29" x14ac:dyDescent="0.4">
      <c r="A111" s="102" t="s">
        <v>303</v>
      </c>
      <c r="B111" s="85" t="s">
        <v>724</v>
      </c>
      <c r="C111" s="84" t="s">
        <v>2565</v>
      </c>
      <c r="D111" s="143" t="s">
        <v>4324</v>
      </c>
      <c r="E111" s="145"/>
      <c r="I111" s="106" t="s">
        <v>4027</v>
      </c>
      <c r="J111" s="86">
        <v>100</v>
      </c>
      <c r="K111" s="88">
        <v>3880</v>
      </c>
      <c r="M111" s="100">
        <v>2725</v>
      </c>
      <c r="N111" s="136">
        <f t="shared" si="5"/>
        <v>0</v>
      </c>
      <c r="P111" s="90" t="s">
        <v>3360</v>
      </c>
      <c r="Q111" s="86" t="s">
        <v>3053</v>
      </c>
      <c r="R111" s="86" t="s">
        <v>3077</v>
      </c>
      <c r="S111" s="86" t="s">
        <v>2766</v>
      </c>
      <c r="T111" s="91">
        <v>0.75</v>
      </c>
      <c r="V111" s="93">
        <v>1</v>
      </c>
      <c r="AA111" s="111" t="s">
        <v>3052</v>
      </c>
      <c r="AB111" s="86" t="s">
        <v>2769</v>
      </c>
      <c r="AC111" s="98" t="s">
        <v>3361</v>
      </c>
    </row>
    <row r="112" spans="1:29" x14ac:dyDescent="0.4">
      <c r="A112" s="102" t="s">
        <v>2778</v>
      </c>
      <c r="B112" s="85" t="s">
        <v>2762</v>
      </c>
      <c r="C112" s="84" t="s">
        <v>2565</v>
      </c>
      <c r="D112" s="143" t="s">
        <v>4324</v>
      </c>
      <c r="E112" s="145"/>
      <c r="H112" s="86">
        <v>1</v>
      </c>
      <c r="I112" s="106" t="s">
        <v>4027</v>
      </c>
      <c r="J112" s="86">
        <v>125</v>
      </c>
      <c r="L112" s="100">
        <v>3700</v>
      </c>
      <c r="M112" s="100">
        <v>3750</v>
      </c>
      <c r="N112" s="136">
        <f t="shared" si="5"/>
        <v>13.875</v>
      </c>
      <c r="P112" s="90" t="s">
        <v>1132</v>
      </c>
      <c r="Q112" s="86" t="s">
        <v>3053</v>
      </c>
      <c r="R112" s="86"/>
      <c r="S112" s="86" t="s">
        <v>2766</v>
      </c>
      <c r="T112" s="91">
        <v>0.75</v>
      </c>
      <c r="U112" s="92">
        <v>10</v>
      </c>
      <c r="V112" s="93">
        <v>1</v>
      </c>
      <c r="W112" s="94" t="s">
        <v>3050</v>
      </c>
      <c r="AC112" s="98" t="s">
        <v>2999</v>
      </c>
    </row>
    <row r="113" spans="1:29" x14ac:dyDescent="0.4">
      <c r="A113" s="102" t="s">
        <v>2779</v>
      </c>
      <c r="B113" s="85" t="s">
        <v>2762</v>
      </c>
      <c r="C113" s="84" t="s">
        <v>2565</v>
      </c>
      <c r="D113" s="143" t="s">
        <v>4324</v>
      </c>
      <c r="E113" s="145"/>
      <c r="I113" s="106" t="s">
        <v>4027</v>
      </c>
      <c r="J113" s="86">
        <v>125</v>
      </c>
      <c r="L113" s="100">
        <v>2500</v>
      </c>
      <c r="M113" s="100">
        <v>3750</v>
      </c>
      <c r="N113" s="136">
        <f t="shared" si="5"/>
        <v>9.375</v>
      </c>
      <c r="P113" s="90" t="s">
        <v>1132</v>
      </c>
      <c r="Q113" s="86" t="s">
        <v>3053</v>
      </c>
      <c r="R113" s="86"/>
      <c r="S113" s="86" t="s">
        <v>2768</v>
      </c>
      <c r="T113" s="91">
        <v>0.75</v>
      </c>
      <c r="U113" s="92">
        <v>10</v>
      </c>
      <c r="V113" s="93">
        <v>1</v>
      </c>
      <c r="W113" s="94" t="s">
        <v>3050</v>
      </c>
      <c r="AC113" s="98" t="s">
        <v>3000</v>
      </c>
    </row>
    <row r="114" spans="1:29" x14ac:dyDescent="0.4">
      <c r="A114" s="102" t="s">
        <v>1858</v>
      </c>
      <c r="B114" s="85" t="s">
        <v>2680</v>
      </c>
      <c r="C114" s="84" t="s">
        <v>4289</v>
      </c>
      <c r="D114" s="143" t="s">
        <v>4360</v>
      </c>
      <c r="E114" s="143" t="s">
        <v>4364</v>
      </c>
      <c r="I114" s="106" t="s">
        <v>4027</v>
      </c>
      <c r="J114" s="86">
        <v>125</v>
      </c>
      <c r="L114" s="100">
        <v>4000</v>
      </c>
      <c r="M114" s="100">
        <v>4550</v>
      </c>
      <c r="N114" s="136">
        <f t="shared" si="5"/>
        <v>18.2</v>
      </c>
      <c r="Q114" s="86" t="s">
        <v>3053</v>
      </c>
      <c r="R114" s="86"/>
      <c r="S114" s="86" t="s">
        <v>2766</v>
      </c>
      <c r="Z114" s="87" t="s">
        <v>3051</v>
      </c>
      <c r="AC114" s="98" t="s">
        <v>3490</v>
      </c>
    </row>
    <row r="115" spans="1:29" x14ac:dyDescent="0.4">
      <c r="A115" s="102" t="s">
        <v>1859</v>
      </c>
      <c r="B115" s="85" t="s">
        <v>2680</v>
      </c>
      <c r="C115" s="84" t="s">
        <v>4289</v>
      </c>
      <c r="D115" s="143" t="s">
        <v>4360</v>
      </c>
      <c r="E115" s="143" t="s">
        <v>4364</v>
      </c>
      <c r="I115" s="106" t="s">
        <v>4027</v>
      </c>
      <c r="J115" s="86">
        <v>125</v>
      </c>
      <c r="L115" s="100">
        <v>3700</v>
      </c>
      <c r="M115" s="100">
        <v>4780</v>
      </c>
      <c r="N115" s="136">
        <f t="shared" si="5"/>
        <v>17.686</v>
      </c>
      <c r="Q115" s="86" t="s">
        <v>3053</v>
      </c>
      <c r="R115" s="86"/>
      <c r="S115" s="86" t="s">
        <v>2768</v>
      </c>
      <c r="Z115" s="87" t="s">
        <v>3051</v>
      </c>
      <c r="AC115" s="98" t="s">
        <v>3489</v>
      </c>
    </row>
    <row r="116" spans="1:29" x14ac:dyDescent="0.4">
      <c r="A116" s="102" t="s">
        <v>189</v>
      </c>
      <c r="B116" s="85" t="s">
        <v>658</v>
      </c>
      <c r="C116" s="84" t="s">
        <v>4289</v>
      </c>
      <c r="D116" s="143" t="s">
        <v>4360</v>
      </c>
      <c r="E116" s="143" t="s">
        <v>4364</v>
      </c>
      <c r="I116" s="106" t="s">
        <v>4027</v>
      </c>
      <c r="J116" s="86">
        <v>125</v>
      </c>
      <c r="L116" s="100">
        <v>4000</v>
      </c>
      <c r="M116" s="100">
        <v>4650</v>
      </c>
      <c r="N116" s="136">
        <f t="shared" si="5"/>
        <v>18.600000000000001</v>
      </c>
      <c r="P116" s="90" t="s">
        <v>1132</v>
      </c>
      <c r="Q116" s="86" t="s">
        <v>3053</v>
      </c>
      <c r="R116" s="86"/>
      <c r="S116" s="86" t="s">
        <v>2766</v>
      </c>
      <c r="T116" s="91">
        <v>1.5</v>
      </c>
      <c r="W116" s="94" t="s">
        <v>3129</v>
      </c>
      <c r="Z116" s="87" t="s">
        <v>3051</v>
      </c>
      <c r="AB116" s="86" t="s">
        <v>2769</v>
      </c>
      <c r="AC116" s="98" t="s">
        <v>3983</v>
      </c>
    </row>
    <row r="117" spans="1:29" x14ac:dyDescent="0.4">
      <c r="A117" s="102" t="s">
        <v>393</v>
      </c>
      <c r="B117" s="85" t="s">
        <v>796</v>
      </c>
      <c r="C117" s="84" t="s">
        <v>4365</v>
      </c>
      <c r="D117" s="143" t="s">
        <v>4366</v>
      </c>
      <c r="E117" s="145" t="s">
        <v>4367</v>
      </c>
      <c r="I117" s="106" t="s">
        <v>4027</v>
      </c>
      <c r="J117" s="86">
        <v>100</v>
      </c>
      <c r="L117" s="100">
        <v>3020</v>
      </c>
      <c r="M117" s="100">
        <v>3150</v>
      </c>
      <c r="N117" s="136">
        <f t="shared" si="5"/>
        <v>9.5129999999999999</v>
      </c>
      <c r="P117" s="90" t="s">
        <v>1132</v>
      </c>
      <c r="Q117" s="86" t="s">
        <v>3053</v>
      </c>
      <c r="R117" s="86"/>
      <c r="S117" s="86" t="s">
        <v>2768</v>
      </c>
      <c r="T117" s="91">
        <v>0.75</v>
      </c>
      <c r="U117" s="92">
        <v>10</v>
      </c>
      <c r="V117" s="93">
        <v>1</v>
      </c>
      <c r="AB117" s="86" t="s">
        <v>2769</v>
      </c>
      <c r="AC117" s="98" t="s">
        <v>3927</v>
      </c>
    </row>
    <row r="118" spans="1:29" x14ac:dyDescent="0.4">
      <c r="A118" s="102" t="s">
        <v>396</v>
      </c>
      <c r="B118" s="85" t="s">
        <v>799</v>
      </c>
      <c r="C118" s="84" t="s">
        <v>4365</v>
      </c>
      <c r="D118" s="143" t="s">
        <v>4366</v>
      </c>
      <c r="E118" s="143" t="s">
        <v>4367</v>
      </c>
      <c r="I118" s="106" t="s">
        <v>4027</v>
      </c>
      <c r="J118" s="86">
        <v>100</v>
      </c>
      <c r="L118" s="100">
        <v>2400</v>
      </c>
      <c r="M118" s="100">
        <v>3100</v>
      </c>
      <c r="N118" s="136">
        <f t="shared" si="5"/>
        <v>7.44</v>
      </c>
      <c r="P118" s="90" t="s">
        <v>1132</v>
      </c>
      <c r="Q118" s="86" t="s">
        <v>3053</v>
      </c>
      <c r="R118" s="86"/>
      <c r="S118" s="86" t="s">
        <v>2766</v>
      </c>
      <c r="T118" s="91">
        <v>0.75</v>
      </c>
      <c r="U118" s="92">
        <v>10</v>
      </c>
      <c r="V118" s="93">
        <v>1</v>
      </c>
      <c r="AB118" s="86" t="s">
        <v>2769</v>
      </c>
      <c r="AC118" s="98" t="s">
        <v>2990</v>
      </c>
    </row>
    <row r="119" spans="1:29" x14ac:dyDescent="0.4">
      <c r="A119" s="102" t="s">
        <v>336</v>
      </c>
      <c r="B119" s="85" t="s">
        <v>767</v>
      </c>
      <c r="C119" s="84" t="s">
        <v>4236</v>
      </c>
      <c r="E119" s="145"/>
      <c r="I119" s="106" t="s">
        <v>1131</v>
      </c>
      <c r="J119" s="86">
        <v>150</v>
      </c>
      <c r="L119" s="100">
        <v>4850</v>
      </c>
      <c r="M119" s="100">
        <v>4400</v>
      </c>
      <c r="N119" s="136">
        <f t="shared" si="5"/>
        <v>21.34</v>
      </c>
      <c r="P119" s="90" t="s">
        <v>1132</v>
      </c>
      <c r="Q119" s="86" t="s">
        <v>3053</v>
      </c>
      <c r="R119" s="86"/>
      <c r="S119" s="86" t="s">
        <v>2766</v>
      </c>
      <c r="T119" s="91">
        <v>1.5</v>
      </c>
      <c r="V119" s="93">
        <v>3.5</v>
      </c>
      <c r="W119" s="94" t="s">
        <v>3049</v>
      </c>
      <c r="AA119" s="99" t="s">
        <v>3052</v>
      </c>
      <c r="AB119" s="86" t="s">
        <v>2769</v>
      </c>
      <c r="AC119" s="98" t="s">
        <v>3027</v>
      </c>
    </row>
    <row r="120" spans="1:29" x14ac:dyDescent="0.4">
      <c r="A120" s="102" t="s">
        <v>3694</v>
      </c>
      <c r="B120" s="85" t="s">
        <v>671</v>
      </c>
      <c r="C120" s="84" t="s">
        <v>4416</v>
      </c>
      <c r="E120" s="145"/>
      <c r="H120" s="86">
        <v>2</v>
      </c>
      <c r="I120" s="106" t="s">
        <v>4027</v>
      </c>
      <c r="J120" s="86">
        <v>100</v>
      </c>
      <c r="L120" s="100">
        <v>2900</v>
      </c>
      <c r="M120" s="100">
        <v>3750</v>
      </c>
      <c r="N120" s="136">
        <f t="shared" si="5"/>
        <v>10.875</v>
      </c>
      <c r="P120" s="90" t="s">
        <v>1132</v>
      </c>
      <c r="Q120" s="86" t="s">
        <v>3053</v>
      </c>
      <c r="R120" s="86"/>
      <c r="S120" s="86" t="s">
        <v>2768</v>
      </c>
      <c r="T120" s="91">
        <v>0.75</v>
      </c>
      <c r="AB120" s="86" t="s">
        <v>2769</v>
      </c>
      <c r="AC120" s="98" t="s">
        <v>3967</v>
      </c>
    </row>
    <row r="121" spans="1:29" x14ac:dyDescent="0.4">
      <c r="A121" s="102" t="s">
        <v>58</v>
      </c>
      <c r="B121" s="85" t="s">
        <v>593</v>
      </c>
      <c r="C121" s="84" t="s">
        <v>1433</v>
      </c>
      <c r="E121" s="145"/>
      <c r="I121" s="106" t="s">
        <v>1133</v>
      </c>
      <c r="L121" s="100">
        <v>6000</v>
      </c>
      <c r="M121" s="100">
        <v>5200</v>
      </c>
      <c r="N121" s="136">
        <f t="shared" si="5"/>
        <v>31.2</v>
      </c>
      <c r="R121" s="86"/>
      <c r="S121" s="86" t="s">
        <v>2768</v>
      </c>
      <c r="AC121" s="98" t="s">
        <v>1434</v>
      </c>
    </row>
    <row r="122" spans="1:29" x14ac:dyDescent="0.4">
      <c r="A122" s="102" t="s">
        <v>144</v>
      </c>
      <c r="B122" s="85" t="s">
        <v>634</v>
      </c>
      <c r="C122" s="84" t="s">
        <v>1801</v>
      </c>
      <c r="E122" s="145"/>
      <c r="I122" s="106" t="s">
        <v>4027</v>
      </c>
      <c r="L122" s="100">
        <v>2600</v>
      </c>
      <c r="M122" s="100">
        <v>4000</v>
      </c>
      <c r="N122" s="136">
        <f t="shared" si="5"/>
        <v>10.4</v>
      </c>
      <c r="R122" s="86"/>
      <c r="S122" s="86" t="s">
        <v>2768</v>
      </c>
      <c r="Z122" s="87" t="s">
        <v>3051</v>
      </c>
      <c r="AB122" s="86" t="s">
        <v>2769</v>
      </c>
      <c r="AC122" s="98" t="s">
        <v>3307</v>
      </c>
    </row>
    <row r="123" spans="1:29" x14ac:dyDescent="0.4">
      <c r="A123" s="102" t="s">
        <v>3380</v>
      </c>
      <c r="B123" s="85" t="s">
        <v>719</v>
      </c>
      <c r="C123" s="84" t="s">
        <v>2544</v>
      </c>
      <c r="E123" s="145"/>
      <c r="H123" s="86">
        <v>2</v>
      </c>
      <c r="I123" s="106" t="s">
        <v>4027</v>
      </c>
      <c r="J123" s="86">
        <v>125</v>
      </c>
      <c r="L123" s="100">
        <v>2700</v>
      </c>
      <c r="M123" s="100">
        <v>4350</v>
      </c>
      <c r="N123" s="136">
        <f t="shared" si="5"/>
        <v>11.744999999999999</v>
      </c>
      <c r="P123" s="63" t="s">
        <v>3177</v>
      </c>
      <c r="Q123" s="86" t="s">
        <v>3053</v>
      </c>
      <c r="R123" s="86" t="s">
        <v>3078</v>
      </c>
      <c r="S123" s="86" t="s">
        <v>2768</v>
      </c>
      <c r="T123" s="91">
        <v>0.75</v>
      </c>
      <c r="V123" s="93">
        <v>0.5</v>
      </c>
      <c r="W123" s="94" t="s">
        <v>3049</v>
      </c>
      <c r="Z123" s="87" t="s">
        <v>3051</v>
      </c>
      <c r="AB123" s="86" t="s">
        <v>2769</v>
      </c>
      <c r="AC123" s="98" t="s">
        <v>3379</v>
      </c>
    </row>
    <row r="124" spans="1:29" x14ac:dyDescent="0.4">
      <c r="A124" s="102" t="s">
        <v>1506</v>
      </c>
      <c r="B124" s="85" t="s">
        <v>603</v>
      </c>
      <c r="C124" s="84" t="s">
        <v>1623</v>
      </c>
      <c r="D124" s="143" t="s">
        <v>4325</v>
      </c>
      <c r="E124" s="145"/>
      <c r="I124" s="106" t="s">
        <v>4027</v>
      </c>
      <c r="L124" s="100">
        <v>1960</v>
      </c>
      <c r="M124" s="100">
        <v>3000</v>
      </c>
      <c r="N124" s="136">
        <f t="shared" si="5"/>
        <v>5.88</v>
      </c>
      <c r="Q124" s="86" t="s">
        <v>3063</v>
      </c>
      <c r="R124" s="86"/>
      <c r="S124" s="86" t="s">
        <v>2768</v>
      </c>
      <c r="AC124" s="98" t="s">
        <v>3617</v>
      </c>
    </row>
    <row r="125" spans="1:29" x14ac:dyDescent="0.4">
      <c r="A125" s="102" t="s">
        <v>1624</v>
      </c>
      <c r="B125" s="85" t="s">
        <v>1625</v>
      </c>
      <c r="C125" s="84" t="s">
        <v>1623</v>
      </c>
      <c r="D125" s="143" t="s">
        <v>4325</v>
      </c>
      <c r="E125" s="145"/>
      <c r="I125" s="106" t="s">
        <v>4027</v>
      </c>
      <c r="L125" s="100">
        <v>2400</v>
      </c>
      <c r="M125" s="100">
        <v>4000</v>
      </c>
      <c r="N125" s="136">
        <f t="shared" si="5"/>
        <v>9.6</v>
      </c>
      <c r="Q125" s="86" t="s">
        <v>3063</v>
      </c>
      <c r="R125" s="86"/>
      <c r="S125" s="86" t="s">
        <v>2766</v>
      </c>
      <c r="AC125" s="98" t="s">
        <v>3589</v>
      </c>
    </row>
    <row r="126" spans="1:29" x14ac:dyDescent="0.4">
      <c r="A126" s="102" t="s">
        <v>1626</v>
      </c>
      <c r="B126" s="85" t="s">
        <v>1625</v>
      </c>
      <c r="C126" s="84" t="s">
        <v>1623</v>
      </c>
      <c r="D126" s="143" t="s">
        <v>4325</v>
      </c>
      <c r="E126" s="145"/>
      <c r="I126" s="106" t="s">
        <v>4027</v>
      </c>
      <c r="L126" s="100">
        <v>2450</v>
      </c>
      <c r="M126" s="100">
        <v>3000</v>
      </c>
      <c r="N126" s="136">
        <f t="shared" si="5"/>
        <v>7.35</v>
      </c>
      <c r="Q126" s="86" t="s">
        <v>3063</v>
      </c>
      <c r="R126" s="86"/>
      <c r="S126" s="86" t="s">
        <v>2768</v>
      </c>
      <c r="AC126" s="98" t="s">
        <v>3588</v>
      </c>
    </row>
    <row r="127" spans="1:29" x14ac:dyDescent="0.4">
      <c r="A127" s="102" t="s">
        <v>1684</v>
      </c>
      <c r="B127" s="85" t="s">
        <v>1668</v>
      </c>
      <c r="C127" s="84" t="s">
        <v>1623</v>
      </c>
      <c r="D127" s="143" t="s">
        <v>4325</v>
      </c>
      <c r="E127" s="145"/>
      <c r="I127" s="106" t="s">
        <v>4027</v>
      </c>
      <c r="J127" s="86">
        <v>100</v>
      </c>
      <c r="L127" s="100">
        <v>3500</v>
      </c>
      <c r="M127" s="100">
        <v>4340</v>
      </c>
      <c r="N127" s="136">
        <f t="shared" si="5"/>
        <v>15.19</v>
      </c>
      <c r="R127" s="86"/>
      <c r="AC127" s="98" t="s">
        <v>3345</v>
      </c>
    </row>
    <row r="128" spans="1:29" x14ac:dyDescent="0.4">
      <c r="A128" s="102" t="s">
        <v>1689</v>
      </c>
      <c r="B128" s="85" t="s">
        <v>1668</v>
      </c>
      <c r="C128" s="84" t="s">
        <v>1623</v>
      </c>
      <c r="D128" s="143" t="s">
        <v>4325</v>
      </c>
      <c r="E128" s="145"/>
      <c r="I128" s="106" t="s">
        <v>4027</v>
      </c>
      <c r="J128" s="86">
        <v>100</v>
      </c>
      <c r="L128" s="100">
        <v>2500</v>
      </c>
      <c r="M128" s="100">
        <v>3550</v>
      </c>
      <c r="N128" s="136">
        <f t="shared" si="5"/>
        <v>8.875</v>
      </c>
      <c r="R128" s="86"/>
      <c r="AC128" s="98" t="s">
        <v>3344</v>
      </c>
    </row>
    <row r="129" spans="1:29" x14ac:dyDescent="0.4">
      <c r="A129" s="102" t="s">
        <v>1690</v>
      </c>
      <c r="B129" s="85" t="s">
        <v>1668</v>
      </c>
      <c r="C129" s="84" t="s">
        <v>1623</v>
      </c>
      <c r="D129" s="143" t="s">
        <v>4325</v>
      </c>
      <c r="E129" s="145"/>
      <c r="I129" s="106" t="s">
        <v>4027</v>
      </c>
      <c r="J129" s="86">
        <v>100</v>
      </c>
      <c r="L129" s="100">
        <v>2900</v>
      </c>
      <c r="M129" s="100">
        <v>3750</v>
      </c>
      <c r="N129" s="136">
        <f t="shared" si="5"/>
        <v>10.875</v>
      </c>
      <c r="R129" s="86"/>
      <c r="AC129" s="98" t="s">
        <v>3343</v>
      </c>
    </row>
    <row r="130" spans="1:29" x14ac:dyDescent="0.4">
      <c r="A130" s="102" t="s">
        <v>1691</v>
      </c>
      <c r="B130" s="85" t="s">
        <v>1668</v>
      </c>
      <c r="C130" s="84" t="s">
        <v>1623</v>
      </c>
      <c r="D130" s="143" t="s">
        <v>4325</v>
      </c>
      <c r="E130" s="145"/>
      <c r="I130" s="106" t="s">
        <v>4027</v>
      </c>
      <c r="J130" s="86">
        <v>100</v>
      </c>
      <c r="L130" s="100">
        <v>3100</v>
      </c>
      <c r="M130" s="100">
        <v>3150</v>
      </c>
      <c r="N130" s="136">
        <f t="shared" si="5"/>
        <v>9.7650000000000006</v>
      </c>
      <c r="R130" s="86"/>
      <c r="AC130" s="98" t="s">
        <v>3342</v>
      </c>
    </row>
    <row r="131" spans="1:29" x14ac:dyDescent="0.4">
      <c r="A131" s="102" t="s">
        <v>55</v>
      </c>
      <c r="B131" s="85" t="s">
        <v>1428</v>
      </c>
      <c r="C131" s="84" t="s">
        <v>890</v>
      </c>
      <c r="E131" s="145"/>
      <c r="I131" s="106" t="s">
        <v>1133</v>
      </c>
      <c r="L131" s="100">
        <v>5000</v>
      </c>
      <c r="M131" s="100">
        <v>5000</v>
      </c>
      <c r="N131" s="136">
        <f t="shared" si="5"/>
        <v>25</v>
      </c>
      <c r="R131" s="86"/>
      <c r="S131" s="86" t="s">
        <v>2766</v>
      </c>
      <c r="AC131" s="98" t="s">
        <v>1430</v>
      </c>
    </row>
    <row r="132" spans="1:29" x14ac:dyDescent="0.4">
      <c r="A132" s="102" t="s">
        <v>64</v>
      </c>
      <c r="B132" s="85" t="s">
        <v>1451</v>
      </c>
      <c r="C132" s="84" t="s">
        <v>4237</v>
      </c>
      <c r="E132" s="145"/>
      <c r="I132" s="106" t="s">
        <v>1133</v>
      </c>
      <c r="L132" s="100">
        <v>3600</v>
      </c>
      <c r="M132" s="100">
        <v>4000</v>
      </c>
      <c r="N132" s="136">
        <f t="shared" si="5"/>
        <v>14.4</v>
      </c>
      <c r="R132" s="86"/>
      <c r="AC132" s="98" t="s">
        <v>1450</v>
      </c>
    </row>
    <row r="133" spans="1:29" x14ac:dyDescent="0.4">
      <c r="A133" s="102" t="s">
        <v>464</v>
      </c>
      <c r="B133" s="85" t="s">
        <v>2746</v>
      </c>
      <c r="C133" s="84" t="s">
        <v>2868</v>
      </c>
      <c r="E133" s="145"/>
      <c r="I133" s="106" t="s">
        <v>4027</v>
      </c>
      <c r="J133" s="86">
        <v>125</v>
      </c>
      <c r="L133" s="100">
        <v>2450</v>
      </c>
      <c r="M133" s="100">
        <v>3500</v>
      </c>
      <c r="N133" s="136">
        <f t="shared" si="5"/>
        <v>8.5749999999999993</v>
      </c>
      <c r="P133" s="90" t="s">
        <v>1132</v>
      </c>
      <c r="Q133" s="86" t="s">
        <v>3053</v>
      </c>
      <c r="R133" s="86"/>
      <c r="S133" s="86" t="s">
        <v>2766</v>
      </c>
      <c r="T133" s="91">
        <v>0.75</v>
      </c>
      <c r="U133" s="92">
        <v>10</v>
      </c>
      <c r="V133" s="93">
        <v>1</v>
      </c>
      <c r="W133" s="94" t="s">
        <v>3050</v>
      </c>
      <c r="AB133" s="86" t="s">
        <v>2769</v>
      </c>
      <c r="AC133" s="98" t="s">
        <v>2141</v>
      </c>
    </row>
    <row r="134" spans="1:29" x14ac:dyDescent="0.4">
      <c r="A134" s="83" t="s">
        <v>4155</v>
      </c>
      <c r="C134" s="95" t="s">
        <v>4177</v>
      </c>
      <c r="D134" s="97" t="s">
        <v>4187</v>
      </c>
      <c r="E134" s="145">
        <v>435349088</v>
      </c>
      <c r="F134" s="96" t="s">
        <v>4186</v>
      </c>
      <c r="G134" s="143" t="s">
        <v>4185</v>
      </c>
      <c r="H134" s="86">
        <v>1</v>
      </c>
      <c r="I134" s="106" t="s">
        <v>4027</v>
      </c>
      <c r="J134" s="86">
        <v>125</v>
      </c>
      <c r="L134" s="89">
        <v>3000</v>
      </c>
      <c r="M134" s="89">
        <v>4000</v>
      </c>
      <c r="N134" s="136">
        <f t="shared" si="5"/>
        <v>12</v>
      </c>
      <c r="P134" s="90" t="s">
        <v>1132</v>
      </c>
      <c r="Q134" s="86" t="s">
        <v>3053</v>
      </c>
      <c r="R134" s="86" t="s">
        <v>4030</v>
      </c>
      <c r="S134" s="86" t="s">
        <v>2768</v>
      </c>
      <c r="T134" s="91">
        <v>0.75</v>
      </c>
      <c r="U134" s="92">
        <f>IF(T134="NA","-",IF(T134&gt;=1.5,15,IF(T134=0.75,10,"")))</f>
        <v>10</v>
      </c>
      <c r="V134" s="93">
        <v>4</v>
      </c>
      <c r="W134" s="94" t="s">
        <v>4065</v>
      </c>
      <c r="X134" s="86" t="s">
        <v>4037</v>
      </c>
      <c r="Z134" s="87" t="s">
        <v>3051</v>
      </c>
      <c r="AB134" s="86" t="s">
        <v>2769</v>
      </c>
    </row>
    <row r="135" spans="1:29" x14ac:dyDescent="0.4">
      <c r="A135" s="83" t="s">
        <v>4184</v>
      </c>
      <c r="C135" s="95" t="s">
        <v>4177</v>
      </c>
      <c r="D135" s="97" t="s">
        <v>4187</v>
      </c>
      <c r="E135" s="145">
        <v>435349088</v>
      </c>
      <c r="F135" s="96" t="s">
        <v>4186</v>
      </c>
      <c r="G135" s="143" t="s">
        <v>4185</v>
      </c>
      <c r="I135" s="106"/>
      <c r="L135" s="89"/>
      <c r="M135" s="89"/>
      <c r="N135" s="89"/>
      <c r="P135" s="63"/>
      <c r="R135" s="86"/>
    </row>
    <row r="136" spans="1:29" x14ac:dyDescent="0.4">
      <c r="A136" s="102" t="s">
        <v>3441</v>
      </c>
      <c r="B136" s="85" t="s">
        <v>699</v>
      </c>
      <c r="C136" s="84" t="s">
        <v>3439</v>
      </c>
      <c r="D136" s="97" t="s">
        <v>4187</v>
      </c>
      <c r="E136" s="145"/>
      <c r="H136" s="86">
        <v>2</v>
      </c>
      <c r="I136" s="106" t="s">
        <v>4027</v>
      </c>
      <c r="J136" s="86">
        <v>100</v>
      </c>
      <c r="L136" s="100">
        <v>2400</v>
      </c>
      <c r="M136" s="100">
        <v>3900</v>
      </c>
      <c r="N136" s="136">
        <f t="shared" ref="N136:N148" si="6">L136*M136/1000000</f>
        <v>9.36</v>
      </c>
      <c r="P136" s="90" t="s">
        <v>1132</v>
      </c>
      <c r="Q136" s="86" t="s">
        <v>3053</v>
      </c>
      <c r="R136" s="86"/>
      <c r="S136" s="86" t="s">
        <v>2768</v>
      </c>
      <c r="T136" s="91">
        <v>0.75</v>
      </c>
      <c r="V136" s="93">
        <v>1</v>
      </c>
      <c r="AA136" s="111" t="s">
        <v>3052</v>
      </c>
      <c r="AB136" s="86" t="s">
        <v>2769</v>
      </c>
      <c r="AC136" s="98" t="s">
        <v>3294</v>
      </c>
    </row>
    <row r="137" spans="1:29" x14ac:dyDescent="0.4">
      <c r="A137" s="102" t="s">
        <v>3440</v>
      </c>
      <c r="B137" s="85" t="s">
        <v>699</v>
      </c>
      <c r="C137" s="84" t="s">
        <v>3439</v>
      </c>
      <c r="D137" s="97" t="s">
        <v>4187</v>
      </c>
      <c r="E137" s="145"/>
      <c r="I137" s="106" t="s">
        <v>4027</v>
      </c>
      <c r="J137" s="86">
        <v>100</v>
      </c>
      <c r="L137" s="100">
        <v>2400</v>
      </c>
      <c r="M137" s="100">
        <v>3900</v>
      </c>
      <c r="N137" s="136">
        <f t="shared" si="6"/>
        <v>9.36</v>
      </c>
      <c r="P137" s="90" t="s">
        <v>1132</v>
      </c>
      <c r="Q137" s="86" t="s">
        <v>3053</v>
      </c>
      <c r="R137" s="86"/>
      <c r="S137" s="86" t="s">
        <v>2766</v>
      </c>
      <c r="T137" s="91">
        <v>0.75</v>
      </c>
      <c r="V137" s="93">
        <v>1</v>
      </c>
      <c r="AA137" s="111" t="s">
        <v>3052</v>
      </c>
      <c r="AB137" s="86" t="s">
        <v>2769</v>
      </c>
      <c r="AC137" s="98" t="s">
        <v>3443</v>
      </c>
    </row>
    <row r="138" spans="1:29" x14ac:dyDescent="0.4">
      <c r="A138" s="102" t="s">
        <v>3442</v>
      </c>
      <c r="B138" s="85" t="s">
        <v>699</v>
      </c>
      <c r="C138" s="84" t="s">
        <v>3439</v>
      </c>
      <c r="D138" s="97" t="s">
        <v>4187</v>
      </c>
      <c r="E138" s="145"/>
      <c r="I138" s="106" t="s">
        <v>4027</v>
      </c>
      <c r="J138" s="86">
        <v>100</v>
      </c>
      <c r="L138" s="100">
        <v>2600</v>
      </c>
      <c r="M138" s="100">
        <v>3900</v>
      </c>
      <c r="N138" s="136">
        <f t="shared" si="6"/>
        <v>10.14</v>
      </c>
      <c r="P138" s="90" t="s">
        <v>1132</v>
      </c>
      <c r="Q138" s="86" t="s">
        <v>3053</v>
      </c>
      <c r="R138" s="86"/>
      <c r="S138" s="86" t="s">
        <v>2768</v>
      </c>
      <c r="T138" s="91">
        <v>0.75</v>
      </c>
      <c r="V138" s="93">
        <v>1</v>
      </c>
      <c r="AA138" s="111" t="s">
        <v>3052</v>
      </c>
      <c r="AB138" s="86" t="s">
        <v>2769</v>
      </c>
      <c r="AC138" s="98" t="s">
        <v>3444</v>
      </c>
    </row>
    <row r="139" spans="1:29" x14ac:dyDescent="0.4">
      <c r="A139" s="102" t="s">
        <v>129</v>
      </c>
      <c r="B139" s="85" t="s">
        <v>3816</v>
      </c>
      <c r="C139" s="84" t="s">
        <v>1772</v>
      </c>
      <c r="D139" s="143" t="s">
        <v>4326</v>
      </c>
      <c r="E139" s="145"/>
      <c r="I139" s="106" t="s">
        <v>4027</v>
      </c>
      <c r="L139" s="100">
        <v>3000</v>
      </c>
      <c r="M139" s="100">
        <v>4100</v>
      </c>
      <c r="N139" s="136">
        <f t="shared" si="6"/>
        <v>12.3</v>
      </c>
      <c r="P139" s="63" t="s">
        <v>3177</v>
      </c>
      <c r="Q139" s="86" t="s">
        <v>3737</v>
      </c>
      <c r="R139" s="86"/>
      <c r="S139" s="86" t="s">
        <v>2768</v>
      </c>
      <c r="W139" s="94" t="s">
        <v>3049</v>
      </c>
      <c r="AC139" s="98" t="s">
        <v>3312</v>
      </c>
    </row>
    <row r="140" spans="1:29" x14ac:dyDescent="0.4">
      <c r="A140" s="102" t="s">
        <v>196</v>
      </c>
      <c r="B140" s="85" t="s">
        <v>662</v>
      </c>
      <c r="C140" s="84" t="s">
        <v>1772</v>
      </c>
      <c r="D140" s="143" t="s">
        <v>4326</v>
      </c>
      <c r="E140" s="145"/>
      <c r="I140" s="106" t="s">
        <v>4027</v>
      </c>
      <c r="J140" s="86">
        <v>100</v>
      </c>
      <c r="L140" s="100">
        <v>2600</v>
      </c>
      <c r="M140" s="100">
        <v>3600</v>
      </c>
      <c r="N140" s="136">
        <f t="shared" si="6"/>
        <v>9.36</v>
      </c>
      <c r="P140" s="90" t="s">
        <v>1132</v>
      </c>
      <c r="Q140" s="86" t="s">
        <v>3056</v>
      </c>
      <c r="R140" s="86"/>
      <c r="S140" s="86" t="s">
        <v>2768</v>
      </c>
      <c r="T140" s="91">
        <v>0.75</v>
      </c>
      <c r="V140" s="93">
        <v>1</v>
      </c>
      <c r="AB140" s="86" t="s">
        <v>2769</v>
      </c>
      <c r="AC140" s="98" t="s">
        <v>3544</v>
      </c>
    </row>
    <row r="141" spans="1:29" x14ac:dyDescent="0.4">
      <c r="A141" s="102" t="s">
        <v>2811</v>
      </c>
      <c r="B141" s="85" t="s">
        <v>850</v>
      </c>
      <c r="C141" s="84" t="s">
        <v>4316</v>
      </c>
      <c r="D141" s="143" t="s">
        <v>4315</v>
      </c>
      <c r="E141" s="145"/>
      <c r="I141" s="106" t="s">
        <v>4027</v>
      </c>
      <c r="J141" s="86">
        <v>125</v>
      </c>
      <c r="L141" s="100">
        <v>1850</v>
      </c>
      <c r="M141" s="100">
        <v>2600</v>
      </c>
      <c r="N141" s="136">
        <f t="shared" si="6"/>
        <v>4.8099999999999996</v>
      </c>
      <c r="P141" s="63" t="s">
        <v>3177</v>
      </c>
      <c r="Q141" s="86" t="s">
        <v>3061</v>
      </c>
      <c r="R141" s="86"/>
      <c r="S141" s="86" t="s">
        <v>2768</v>
      </c>
      <c r="T141" s="91">
        <v>0.75</v>
      </c>
      <c r="U141" s="92">
        <v>10</v>
      </c>
      <c r="W141" s="94" t="s">
        <v>3049</v>
      </c>
      <c r="AB141" s="86" t="s">
        <v>2769</v>
      </c>
      <c r="AC141" s="98" t="s">
        <v>2812</v>
      </c>
    </row>
    <row r="142" spans="1:29" x14ac:dyDescent="0.4">
      <c r="A142" s="102" t="s">
        <v>2814</v>
      </c>
      <c r="B142" s="85" t="s">
        <v>850</v>
      </c>
      <c r="C142" s="84" t="s">
        <v>4316</v>
      </c>
      <c r="D142" s="143" t="s">
        <v>4315</v>
      </c>
      <c r="E142" s="145"/>
      <c r="I142" s="106" t="s">
        <v>4027</v>
      </c>
      <c r="J142" s="86">
        <v>125</v>
      </c>
      <c r="L142" s="100">
        <v>1850</v>
      </c>
      <c r="M142" s="100">
        <v>2600</v>
      </c>
      <c r="N142" s="136">
        <f t="shared" si="6"/>
        <v>4.8099999999999996</v>
      </c>
      <c r="P142" s="63" t="s">
        <v>3177</v>
      </c>
      <c r="Q142" s="86" t="s">
        <v>3061</v>
      </c>
      <c r="R142" s="86"/>
      <c r="S142" s="86" t="s">
        <v>2766</v>
      </c>
      <c r="T142" s="91">
        <v>0.75</v>
      </c>
      <c r="U142" s="92">
        <v>10</v>
      </c>
      <c r="W142" s="94" t="s">
        <v>3049</v>
      </c>
      <c r="AB142" s="86" t="s">
        <v>2769</v>
      </c>
      <c r="AC142" s="98" t="s">
        <v>2813</v>
      </c>
    </row>
    <row r="143" spans="1:29" x14ac:dyDescent="0.4">
      <c r="A143" s="102" t="s">
        <v>528</v>
      </c>
      <c r="B143" s="85" t="s">
        <v>866</v>
      </c>
      <c r="C143" s="84" t="s">
        <v>4316</v>
      </c>
      <c r="D143" s="143" t="s">
        <v>4315</v>
      </c>
      <c r="E143" s="145"/>
      <c r="H143" s="86">
        <v>1</v>
      </c>
      <c r="I143" s="106" t="s">
        <v>4027</v>
      </c>
      <c r="J143" s="86">
        <v>125</v>
      </c>
      <c r="L143" s="100">
        <v>1600</v>
      </c>
      <c r="M143" s="100">
        <v>2550</v>
      </c>
      <c r="N143" s="136">
        <f t="shared" si="6"/>
        <v>4.08</v>
      </c>
      <c r="P143" s="63" t="s">
        <v>3177</v>
      </c>
      <c r="Q143" s="86" t="s">
        <v>3056</v>
      </c>
      <c r="R143" s="86"/>
      <c r="S143" s="86" t="s">
        <v>2768</v>
      </c>
      <c r="T143" s="91">
        <v>0.75</v>
      </c>
      <c r="U143" s="92">
        <v>10</v>
      </c>
      <c r="W143" s="94" t="s">
        <v>3050</v>
      </c>
      <c r="AC143" s="98" t="s">
        <v>2032</v>
      </c>
    </row>
    <row r="144" spans="1:29" x14ac:dyDescent="0.4">
      <c r="A144" s="102" t="s">
        <v>2993</v>
      </c>
      <c r="B144" s="85" t="s">
        <v>2991</v>
      </c>
      <c r="C144" s="84" t="s">
        <v>4317</v>
      </c>
      <c r="D144" s="143" t="s">
        <v>4315</v>
      </c>
      <c r="E144" s="145"/>
      <c r="I144" s="106" t="s">
        <v>4027</v>
      </c>
      <c r="J144" s="86">
        <v>125</v>
      </c>
      <c r="L144" s="100">
        <v>2000</v>
      </c>
      <c r="M144" s="100">
        <v>2900</v>
      </c>
      <c r="N144" s="136">
        <f t="shared" si="6"/>
        <v>5.8</v>
      </c>
      <c r="P144" s="63" t="s">
        <v>3177</v>
      </c>
      <c r="Q144" s="86" t="s">
        <v>3056</v>
      </c>
      <c r="R144" s="86"/>
      <c r="S144" s="86" t="s">
        <v>2768</v>
      </c>
      <c r="T144" s="91">
        <v>0.75</v>
      </c>
      <c r="U144" s="92">
        <v>10</v>
      </c>
      <c r="V144" s="93">
        <v>0.5</v>
      </c>
      <c r="W144" s="94" t="s">
        <v>3049</v>
      </c>
      <c r="AB144" s="86" t="s">
        <v>2769</v>
      </c>
      <c r="AC144" s="98" t="s">
        <v>2992</v>
      </c>
    </row>
    <row r="145" spans="1:29" x14ac:dyDescent="0.4">
      <c r="A145" s="102" t="s">
        <v>2994</v>
      </c>
      <c r="B145" s="85" t="s">
        <v>2991</v>
      </c>
      <c r="C145" s="84" t="s">
        <v>4317</v>
      </c>
      <c r="D145" s="143" t="s">
        <v>4315</v>
      </c>
      <c r="E145" s="145"/>
      <c r="I145" s="106" t="s">
        <v>4027</v>
      </c>
      <c r="J145" s="86">
        <v>125</v>
      </c>
      <c r="L145" s="100">
        <v>2300</v>
      </c>
      <c r="M145" s="100">
        <v>2900</v>
      </c>
      <c r="N145" s="136">
        <f t="shared" si="6"/>
        <v>6.67</v>
      </c>
      <c r="P145" s="63" t="s">
        <v>3177</v>
      </c>
      <c r="Q145" s="86" t="s">
        <v>3056</v>
      </c>
      <c r="R145" s="86"/>
      <c r="S145" s="86" t="s">
        <v>2766</v>
      </c>
      <c r="T145" s="91">
        <v>0.75</v>
      </c>
      <c r="U145" s="92">
        <v>10</v>
      </c>
      <c r="V145" s="93">
        <v>0.5</v>
      </c>
      <c r="W145" s="94" t="s">
        <v>3049</v>
      </c>
      <c r="AB145" s="86" t="s">
        <v>2769</v>
      </c>
      <c r="AC145" s="98" t="s">
        <v>2995</v>
      </c>
    </row>
    <row r="146" spans="1:29" x14ac:dyDescent="0.4">
      <c r="A146" s="102" t="s">
        <v>484</v>
      </c>
      <c r="B146" s="85" t="s">
        <v>840</v>
      </c>
      <c r="C146" s="84" t="s">
        <v>4317</v>
      </c>
      <c r="D146" s="143" t="s">
        <v>4315</v>
      </c>
      <c r="E146" s="145"/>
      <c r="I146" s="106" t="s">
        <v>4027</v>
      </c>
      <c r="J146" s="86">
        <v>125</v>
      </c>
      <c r="L146" s="100">
        <v>2400</v>
      </c>
      <c r="M146" s="100">
        <v>2700</v>
      </c>
      <c r="N146" s="136">
        <f t="shared" si="6"/>
        <v>6.48</v>
      </c>
      <c r="P146" s="63" t="s">
        <v>3177</v>
      </c>
      <c r="Q146" s="86" t="s">
        <v>3061</v>
      </c>
      <c r="R146" s="86"/>
      <c r="S146" s="86" t="s">
        <v>2768</v>
      </c>
      <c r="T146" s="91">
        <v>0.75</v>
      </c>
      <c r="U146" s="92">
        <v>10</v>
      </c>
      <c r="V146" s="93">
        <v>1.5</v>
      </c>
      <c r="W146" s="94" t="s">
        <v>3050</v>
      </c>
      <c r="AB146" s="86" t="s">
        <v>2769</v>
      </c>
      <c r="AC146" s="98" t="s">
        <v>3033</v>
      </c>
    </row>
    <row r="147" spans="1:29" x14ac:dyDescent="0.4">
      <c r="A147" s="102" t="s">
        <v>3856</v>
      </c>
      <c r="B147" s="85" t="s">
        <v>1323</v>
      </c>
      <c r="C147" s="84" t="s">
        <v>1325</v>
      </c>
      <c r="E147" s="145"/>
      <c r="I147" s="106" t="s">
        <v>1133</v>
      </c>
      <c r="L147" s="100">
        <v>4550</v>
      </c>
      <c r="M147" s="100">
        <v>5500</v>
      </c>
      <c r="N147" s="136">
        <f t="shared" si="6"/>
        <v>25.024999999999999</v>
      </c>
      <c r="R147" s="86"/>
      <c r="S147" s="86" t="s">
        <v>2766</v>
      </c>
      <c r="AC147" s="98" t="s">
        <v>1326</v>
      </c>
    </row>
    <row r="148" spans="1:29" x14ac:dyDescent="0.4">
      <c r="A148" s="102" t="s">
        <v>211</v>
      </c>
      <c r="B148" s="85" t="s">
        <v>671</v>
      </c>
      <c r="C148" s="84" t="s">
        <v>3695</v>
      </c>
      <c r="E148" s="145"/>
      <c r="I148" s="106" t="s">
        <v>4027</v>
      </c>
      <c r="J148" s="86">
        <v>100</v>
      </c>
      <c r="L148" s="100">
        <v>3600</v>
      </c>
      <c r="M148" s="100">
        <v>4150</v>
      </c>
      <c r="N148" s="136">
        <f t="shared" si="6"/>
        <v>14.94</v>
      </c>
      <c r="P148" s="90" t="s">
        <v>1132</v>
      </c>
      <c r="Q148" s="86" t="s">
        <v>3053</v>
      </c>
      <c r="R148" s="86"/>
      <c r="S148" s="86" t="s">
        <v>2768</v>
      </c>
      <c r="T148" s="91">
        <v>0.75</v>
      </c>
      <c r="V148" s="93">
        <v>3</v>
      </c>
      <c r="Z148" s="87" t="s">
        <v>3051</v>
      </c>
      <c r="AB148" s="86" t="s">
        <v>2769</v>
      </c>
      <c r="AC148" s="98" t="s">
        <v>3968</v>
      </c>
    </row>
    <row r="149" spans="1:29" x14ac:dyDescent="0.4">
      <c r="A149" s="102" t="s">
        <v>1505</v>
      </c>
      <c r="B149" s="85" t="s">
        <v>1502</v>
      </c>
      <c r="C149" s="84" t="s">
        <v>903</v>
      </c>
      <c r="E149" s="145"/>
      <c r="I149" s="106"/>
      <c r="R149" s="86"/>
    </row>
    <row r="150" spans="1:29" x14ac:dyDescent="0.4">
      <c r="A150" s="102" t="s">
        <v>53</v>
      </c>
      <c r="B150" s="85" t="s">
        <v>591</v>
      </c>
      <c r="C150" s="84" t="s">
        <v>4012</v>
      </c>
      <c r="E150" s="145"/>
      <c r="I150" s="106" t="s">
        <v>4027</v>
      </c>
      <c r="L150" s="100">
        <v>3600</v>
      </c>
      <c r="M150" s="100">
        <v>3600</v>
      </c>
      <c r="N150" s="136">
        <f t="shared" ref="N150:N160" si="7">L150*M150/1000000</f>
        <v>12.96</v>
      </c>
      <c r="Q150" s="86" t="s">
        <v>3774</v>
      </c>
      <c r="R150" s="86"/>
      <c r="S150" s="86" t="s">
        <v>2768</v>
      </c>
      <c r="AC150" s="98" t="s">
        <v>3642</v>
      </c>
    </row>
    <row r="151" spans="1:29" x14ac:dyDescent="0.4">
      <c r="A151" s="102" t="s">
        <v>2996</v>
      </c>
      <c r="B151" s="85" t="s">
        <v>793</v>
      </c>
      <c r="C151" s="84" t="s">
        <v>2271</v>
      </c>
      <c r="E151" s="145"/>
      <c r="I151" s="106" t="s">
        <v>4027</v>
      </c>
      <c r="J151" s="86">
        <v>125</v>
      </c>
      <c r="L151" s="100">
        <v>2020</v>
      </c>
      <c r="M151" s="100">
        <v>2700</v>
      </c>
      <c r="N151" s="136">
        <f t="shared" si="7"/>
        <v>5.4539999999999997</v>
      </c>
      <c r="P151" s="63" t="s">
        <v>3177</v>
      </c>
      <c r="Q151" s="86" t="s">
        <v>3053</v>
      </c>
      <c r="R151" s="86"/>
      <c r="S151" s="86" t="s">
        <v>2768</v>
      </c>
      <c r="T151" s="91">
        <v>0.75</v>
      </c>
      <c r="U151" s="92">
        <v>10</v>
      </c>
      <c r="V151" s="93">
        <v>1</v>
      </c>
      <c r="AB151" s="86" t="s">
        <v>3073</v>
      </c>
      <c r="AC151" s="98" t="s">
        <v>3929</v>
      </c>
    </row>
    <row r="152" spans="1:29" x14ac:dyDescent="0.4">
      <c r="A152" s="102" t="s">
        <v>2997</v>
      </c>
      <c r="B152" s="85" t="s">
        <v>793</v>
      </c>
      <c r="C152" s="84" t="s">
        <v>2271</v>
      </c>
      <c r="E152" s="145"/>
      <c r="I152" s="106" t="s">
        <v>4027</v>
      </c>
      <c r="J152" s="86">
        <v>125</v>
      </c>
      <c r="L152" s="100">
        <v>2020</v>
      </c>
      <c r="M152" s="100">
        <v>2700</v>
      </c>
      <c r="N152" s="136">
        <f t="shared" si="7"/>
        <v>5.4539999999999997</v>
      </c>
      <c r="P152" s="63" t="s">
        <v>3177</v>
      </c>
      <c r="Q152" s="86" t="s">
        <v>3053</v>
      </c>
      <c r="R152" s="86"/>
      <c r="S152" s="86" t="s">
        <v>2766</v>
      </c>
      <c r="T152" s="91">
        <v>0.75</v>
      </c>
      <c r="U152" s="92">
        <v>10</v>
      </c>
      <c r="V152" s="93">
        <v>1</v>
      </c>
      <c r="AB152" s="86" t="s">
        <v>3073</v>
      </c>
      <c r="AC152" s="98" t="s">
        <v>3930</v>
      </c>
    </row>
    <row r="153" spans="1:29" x14ac:dyDescent="0.4">
      <c r="A153" s="102" t="s">
        <v>141</v>
      </c>
      <c r="B153" s="85" t="s">
        <v>2679</v>
      </c>
      <c r="C153" s="84" t="s">
        <v>1798</v>
      </c>
      <c r="E153" s="145"/>
      <c r="I153" s="106" t="s">
        <v>4027</v>
      </c>
      <c r="J153" s="86">
        <v>100</v>
      </c>
      <c r="L153" s="100">
        <v>3000</v>
      </c>
      <c r="M153" s="100">
        <v>3750</v>
      </c>
      <c r="N153" s="136">
        <f t="shared" si="7"/>
        <v>11.25</v>
      </c>
      <c r="Q153" s="86" t="s">
        <v>3054</v>
      </c>
      <c r="R153" s="86"/>
      <c r="S153" s="86" t="s">
        <v>2766</v>
      </c>
      <c r="Z153" s="87" t="s">
        <v>3051</v>
      </c>
      <c r="AC153" s="98" t="s">
        <v>3809</v>
      </c>
    </row>
    <row r="154" spans="1:29" x14ac:dyDescent="0.4">
      <c r="A154" s="102" t="s">
        <v>14</v>
      </c>
      <c r="B154" s="85" t="s">
        <v>2662</v>
      </c>
      <c r="C154" s="84" t="s">
        <v>3905</v>
      </c>
      <c r="E154" s="145"/>
      <c r="I154" s="106" t="s">
        <v>1133</v>
      </c>
      <c r="L154" s="100">
        <v>3600</v>
      </c>
      <c r="M154" s="100">
        <v>4000</v>
      </c>
      <c r="N154" s="136">
        <f t="shared" si="7"/>
        <v>14.4</v>
      </c>
      <c r="R154" s="86"/>
      <c r="AC154" s="98" t="s">
        <v>1202</v>
      </c>
    </row>
    <row r="155" spans="1:29" x14ac:dyDescent="0.4">
      <c r="A155" s="102" t="s">
        <v>3531</v>
      </c>
      <c r="B155" s="85" t="s">
        <v>685</v>
      </c>
      <c r="C155" s="84" t="s">
        <v>3455</v>
      </c>
      <c r="E155" s="145"/>
      <c r="I155" s="106" t="s">
        <v>4027</v>
      </c>
      <c r="J155" s="86">
        <v>100</v>
      </c>
      <c r="L155" s="100">
        <v>2400</v>
      </c>
      <c r="M155" s="100">
        <v>4150</v>
      </c>
      <c r="N155" s="136">
        <f t="shared" si="7"/>
        <v>9.9600000000000009</v>
      </c>
      <c r="P155" s="90" t="s">
        <v>1132</v>
      </c>
      <c r="Q155" s="86" t="s">
        <v>3053</v>
      </c>
      <c r="R155" s="86" t="s">
        <v>3078</v>
      </c>
      <c r="S155" s="86" t="s">
        <v>2768</v>
      </c>
      <c r="V155" s="93">
        <v>1</v>
      </c>
      <c r="AA155" s="116" t="s">
        <v>3052</v>
      </c>
      <c r="AB155" s="86" t="s">
        <v>2769</v>
      </c>
      <c r="AC155" s="98" t="s">
        <v>3723</v>
      </c>
    </row>
    <row r="156" spans="1:29" x14ac:dyDescent="0.4">
      <c r="A156" s="102" t="s">
        <v>3532</v>
      </c>
      <c r="B156" s="85" t="s">
        <v>685</v>
      </c>
      <c r="C156" s="84" t="s">
        <v>3455</v>
      </c>
      <c r="E156" s="145"/>
      <c r="I156" s="106" t="s">
        <v>4027</v>
      </c>
      <c r="J156" s="86">
        <v>100</v>
      </c>
      <c r="L156" s="100">
        <v>2400</v>
      </c>
      <c r="M156" s="100">
        <v>4150</v>
      </c>
      <c r="N156" s="136">
        <f t="shared" si="7"/>
        <v>9.9600000000000009</v>
      </c>
      <c r="P156" s="90" t="s">
        <v>1132</v>
      </c>
      <c r="Q156" s="86" t="s">
        <v>3053</v>
      </c>
      <c r="R156" s="86" t="s">
        <v>3078</v>
      </c>
      <c r="S156" s="86" t="s">
        <v>2766</v>
      </c>
      <c r="V156" s="93">
        <v>1</v>
      </c>
      <c r="AA156" s="116" t="s">
        <v>3052</v>
      </c>
      <c r="AB156" s="86" t="s">
        <v>2769</v>
      </c>
      <c r="AC156" s="98" t="s">
        <v>3724</v>
      </c>
    </row>
    <row r="157" spans="1:29" x14ac:dyDescent="0.4">
      <c r="A157" s="102" t="s">
        <v>3767</v>
      </c>
      <c r="B157" s="85" t="s">
        <v>1890</v>
      </c>
      <c r="C157" s="84" t="s">
        <v>3766</v>
      </c>
      <c r="E157" s="145"/>
      <c r="I157" s="106" t="s">
        <v>4027</v>
      </c>
      <c r="J157" s="86">
        <v>100</v>
      </c>
      <c r="L157" s="100">
        <v>1500</v>
      </c>
      <c r="M157" s="100">
        <v>2750</v>
      </c>
      <c r="N157" s="136">
        <f t="shared" si="7"/>
        <v>4.125</v>
      </c>
      <c r="P157" s="63" t="s">
        <v>3177</v>
      </c>
      <c r="Q157" s="86" t="s">
        <v>3053</v>
      </c>
      <c r="R157" s="86"/>
      <c r="S157" s="86" t="s">
        <v>2768</v>
      </c>
      <c r="T157" s="91">
        <v>0.75</v>
      </c>
      <c r="V157" s="93">
        <v>3</v>
      </c>
      <c r="W157" s="94" t="s">
        <v>3049</v>
      </c>
      <c r="AC157" s="98" t="s">
        <v>3988</v>
      </c>
    </row>
    <row r="158" spans="1:29" x14ac:dyDescent="0.4">
      <c r="A158" s="102" t="s">
        <v>3768</v>
      </c>
      <c r="B158" s="85" t="s">
        <v>1890</v>
      </c>
      <c r="C158" s="84" t="s">
        <v>3766</v>
      </c>
      <c r="E158" s="145"/>
      <c r="I158" s="106" t="s">
        <v>2765</v>
      </c>
      <c r="L158" s="100">
        <v>1500</v>
      </c>
      <c r="M158" s="100">
        <v>2600</v>
      </c>
      <c r="N158" s="136">
        <f t="shared" si="7"/>
        <v>3.9</v>
      </c>
      <c r="P158" s="63" t="s">
        <v>3177</v>
      </c>
      <c r="Q158" s="86" t="s">
        <v>3770</v>
      </c>
      <c r="R158" s="86"/>
      <c r="T158" s="91">
        <v>0.75</v>
      </c>
      <c r="V158" s="93">
        <v>3</v>
      </c>
      <c r="W158" s="94" t="s">
        <v>3049</v>
      </c>
      <c r="AC158" s="98" t="s">
        <v>3769</v>
      </c>
    </row>
    <row r="159" spans="1:29" x14ac:dyDescent="0.4">
      <c r="A159" s="102" t="s">
        <v>1529</v>
      </c>
      <c r="B159" s="85" t="s">
        <v>606</v>
      </c>
      <c r="C159" s="84" t="s">
        <v>4327</v>
      </c>
      <c r="D159" s="143" t="s">
        <v>4328</v>
      </c>
      <c r="E159" s="145"/>
      <c r="I159" s="106" t="s">
        <v>4027</v>
      </c>
      <c r="L159" s="100">
        <v>1400</v>
      </c>
      <c r="M159" s="100">
        <v>2300</v>
      </c>
      <c r="N159" s="136">
        <f t="shared" si="7"/>
        <v>3.22</v>
      </c>
      <c r="R159" s="86"/>
      <c r="S159" s="86" t="s">
        <v>2766</v>
      </c>
      <c r="AC159" s="98" t="s">
        <v>3610</v>
      </c>
    </row>
    <row r="160" spans="1:29" x14ac:dyDescent="0.4">
      <c r="A160" s="102" t="s">
        <v>1530</v>
      </c>
      <c r="B160" s="85" t="s">
        <v>606</v>
      </c>
      <c r="C160" s="84" t="s">
        <v>4327</v>
      </c>
      <c r="D160" s="143" t="s">
        <v>4328</v>
      </c>
      <c r="E160" s="145"/>
      <c r="H160" s="86">
        <v>3</v>
      </c>
      <c r="I160" s="106" t="s">
        <v>4027</v>
      </c>
      <c r="L160" s="100">
        <v>1000</v>
      </c>
      <c r="M160" s="100">
        <v>2300</v>
      </c>
      <c r="N160" s="136">
        <f t="shared" si="7"/>
        <v>2.2999999999999998</v>
      </c>
      <c r="R160" s="86"/>
      <c r="S160" s="86" t="s">
        <v>2766</v>
      </c>
      <c r="AC160" s="98" t="s">
        <v>3609</v>
      </c>
    </row>
    <row r="161" spans="1:29" x14ac:dyDescent="0.4">
      <c r="A161" s="102" t="s">
        <v>94</v>
      </c>
      <c r="B161" s="85" t="s">
        <v>617</v>
      </c>
      <c r="C161" s="84" t="s">
        <v>4327</v>
      </c>
      <c r="D161" s="143" t="s">
        <v>4328</v>
      </c>
      <c r="E161" s="145"/>
      <c r="I161" s="106"/>
      <c r="R161" s="86"/>
    </row>
    <row r="162" spans="1:29" x14ac:dyDescent="0.4">
      <c r="A162" s="102" t="s">
        <v>3909</v>
      </c>
      <c r="B162" s="85"/>
      <c r="C162" s="84" t="s">
        <v>1196</v>
      </c>
      <c r="E162" s="145"/>
      <c r="I162" s="106"/>
      <c r="J162" s="86">
        <v>150</v>
      </c>
      <c r="L162" s="100">
        <v>2500</v>
      </c>
      <c r="M162" s="100">
        <v>3450</v>
      </c>
      <c r="N162" s="136">
        <f t="shared" ref="N162:N190" si="8">L162*M162/1000000</f>
        <v>8.625</v>
      </c>
      <c r="R162" s="86"/>
      <c r="U162" s="92" t="s">
        <v>1127</v>
      </c>
      <c r="AC162" s="98" t="s">
        <v>1195</v>
      </c>
    </row>
    <row r="163" spans="1:29" x14ac:dyDescent="0.4">
      <c r="A163" s="102" t="s">
        <v>1380</v>
      </c>
      <c r="B163" s="85" t="s">
        <v>1379</v>
      </c>
      <c r="C163" s="84" t="s">
        <v>3845</v>
      </c>
      <c r="E163" s="145"/>
      <c r="I163" s="106" t="s">
        <v>4027</v>
      </c>
      <c r="L163" s="100">
        <v>3000</v>
      </c>
      <c r="M163" s="100">
        <v>3700</v>
      </c>
      <c r="N163" s="136">
        <f t="shared" si="8"/>
        <v>11.1</v>
      </c>
      <c r="R163" s="86"/>
      <c r="AC163" s="98" t="s">
        <v>3846</v>
      </c>
    </row>
    <row r="164" spans="1:29" x14ac:dyDescent="0.4">
      <c r="A164" s="102" t="s">
        <v>75</v>
      </c>
      <c r="B164" s="85" t="s">
        <v>599</v>
      </c>
      <c r="C164" s="84" t="s">
        <v>1481</v>
      </c>
      <c r="E164" s="145"/>
      <c r="I164" s="106" t="s">
        <v>1133</v>
      </c>
      <c r="L164" s="100">
        <v>6000</v>
      </c>
      <c r="M164" s="100">
        <v>3000</v>
      </c>
      <c r="N164" s="136">
        <f t="shared" si="8"/>
        <v>18</v>
      </c>
      <c r="R164" s="86"/>
      <c r="AC164" s="98" t="s">
        <v>1482</v>
      </c>
    </row>
    <row r="165" spans="1:29" x14ac:dyDescent="0.4">
      <c r="A165" s="102" t="s">
        <v>3371</v>
      </c>
      <c r="B165" s="85" t="s">
        <v>2701</v>
      </c>
      <c r="C165" s="84" t="s">
        <v>2553</v>
      </c>
      <c r="E165" s="145"/>
      <c r="H165" s="86">
        <v>2</v>
      </c>
      <c r="I165" s="106" t="s">
        <v>4027</v>
      </c>
      <c r="J165" s="86">
        <v>125</v>
      </c>
      <c r="L165" s="100">
        <v>3650</v>
      </c>
      <c r="M165" s="100">
        <v>3100</v>
      </c>
      <c r="N165" s="136">
        <f t="shared" si="8"/>
        <v>11.315</v>
      </c>
      <c r="Q165" s="86" t="s">
        <v>3053</v>
      </c>
      <c r="R165" s="86"/>
      <c r="AC165" s="98" t="s">
        <v>3372</v>
      </c>
    </row>
    <row r="166" spans="1:29" x14ac:dyDescent="0.4">
      <c r="A166" s="102" t="s">
        <v>1535</v>
      </c>
      <c r="B166" s="85" t="s">
        <v>2677</v>
      </c>
      <c r="C166" s="84" t="s">
        <v>910</v>
      </c>
      <c r="E166" s="145"/>
      <c r="H166" s="86">
        <v>4</v>
      </c>
      <c r="I166" s="106" t="s">
        <v>1133</v>
      </c>
      <c r="L166" s="100">
        <v>2600</v>
      </c>
      <c r="M166" s="100">
        <v>3200</v>
      </c>
      <c r="N166" s="136">
        <f t="shared" si="8"/>
        <v>8.32</v>
      </c>
      <c r="Q166" s="86" t="s">
        <v>3054</v>
      </c>
      <c r="R166" s="86"/>
      <c r="S166" s="86" t="s">
        <v>2766</v>
      </c>
      <c r="AC166" s="98" t="s">
        <v>1536</v>
      </c>
    </row>
    <row r="167" spans="1:29" x14ac:dyDescent="0.4">
      <c r="A167" s="102" t="s">
        <v>1534</v>
      </c>
      <c r="B167" s="85" t="s">
        <v>2677</v>
      </c>
      <c r="C167" s="84" t="s">
        <v>910</v>
      </c>
      <c r="E167" s="145"/>
      <c r="I167" s="106" t="s">
        <v>4027</v>
      </c>
      <c r="L167" s="100">
        <v>2600</v>
      </c>
      <c r="M167" s="100">
        <v>3200</v>
      </c>
      <c r="N167" s="136">
        <f t="shared" si="8"/>
        <v>8.32</v>
      </c>
      <c r="Q167" s="86" t="s">
        <v>3054</v>
      </c>
      <c r="R167" s="86"/>
      <c r="S167" s="86" t="s">
        <v>2766</v>
      </c>
      <c r="AC167" s="98" t="s">
        <v>3608</v>
      </c>
    </row>
    <row r="168" spans="1:29" x14ac:dyDescent="0.4">
      <c r="A168" s="102" t="s">
        <v>3779</v>
      </c>
      <c r="B168" s="85" t="s">
        <v>651</v>
      </c>
      <c r="C168" s="84" t="s">
        <v>3778</v>
      </c>
      <c r="D168" s="143" t="s">
        <v>4368</v>
      </c>
      <c r="E168" s="145" t="s">
        <v>4369</v>
      </c>
      <c r="I168" s="106" t="s">
        <v>1133</v>
      </c>
      <c r="L168" s="100">
        <v>4535</v>
      </c>
      <c r="M168" s="100">
        <v>4400</v>
      </c>
      <c r="N168" s="136">
        <f t="shared" si="8"/>
        <v>19.954000000000001</v>
      </c>
      <c r="Q168" s="86" t="s">
        <v>3417</v>
      </c>
      <c r="R168" s="86"/>
      <c r="T168" s="91">
        <v>1.5</v>
      </c>
      <c r="AA168" s="116" t="s">
        <v>3052</v>
      </c>
      <c r="AB168" s="86" t="s">
        <v>2769</v>
      </c>
      <c r="AC168" s="98" t="s">
        <v>3991</v>
      </c>
    </row>
    <row r="169" spans="1:29" x14ac:dyDescent="0.4">
      <c r="A169" s="102" t="s">
        <v>3780</v>
      </c>
      <c r="B169" s="85" t="s">
        <v>651</v>
      </c>
      <c r="C169" s="84" t="s">
        <v>3778</v>
      </c>
      <c r="D169" s="143" t="s">
        <v>4368</v>
      </c>
      <c r="E169" s="145" t="s">
        <v>4369</v>
      </c>
      <c r="I169" s="106" t="s">
        <v>1133</v>
      </c>
      <c r="L169" s="100">
        <v>5510</v>
      </c>
      <c r="M169" s="100">
        <v>4400</v>
      </c>
      <c r="N169" s="136">
        <f t="shared" si="8"/>
        <v>24.244</v>
      </c>
      <c r="Q169" s="86" t="s">
        <v>3417</v>
      </c>
      <c r="R169" s="86"/>
      <c r="T169" s="91">
        <v>1.5</v>
      </c>
      <c r="AA169" s="116" t="s">
        <v>3052</v>
      </c>
      <c r="AB169" s="86" t="s">
        <v>2769</v>
      </c>
      <c r="AC169" s="98" t="s">
        <v>3992</v>
      </c>
    </row>
    <row r="170" spans="1:29" x14ac:dyDescent="0.4">
      <c r="A170" s="102" t="s">
        <v>3781</v>
      </c>
      <c r="B170" s="85" t="s">
        <v>651</v>
      </c>
      <c r="C170" s="84" t="s">
        <v>3778</v>
      </c>
      <c r="D170" s="143" t="s">
        <v>4368</v>
      </c>
      <c r="E170" s="145" t="s">
        <v>4369</v>
      </c>
      <c r="I170" s="106" t="s">
        <v>1133</v>
      </c>
      <c r="L170" s="100">
        <v>5510</v>
      </c>
      <c r="M170" s="100">
        <v>4400</v>
      </c>
      <c r="N170" s="136">
        <f t="shared" si="8"/>
        <v>24.244</v>
      </c>
      <c r="Q170" s="86" t="s">
        <v>3417</v>
      </c>
      <c r="R170" s="86"/>
      <c r="T170" s="91">
        <v>1.5</v>
      </c>
      <c r="AA170" s="116" t="s">
        <v>3052</v>
      </c>
      <c r="AB170" s="86" t="s">
        <v>2769</v>
      </c>
      <c r="AC170" s="98" t="s">
        <v>3993</v>
      </c>
    </row>
    <row r="171" spans="1:29" x14ac:dyDescent="0.4">
      <c r="A171" s="102" t="s">
        <v>272</v>
      </c>
      <c r="B171" s="85" t="s">
        <v>706</v>
      </c>
      <c r="C171" s="84" t="s">
        <v>3778</v>
      </c>
      <c r="D171" s="143" t="s">
        <v>4368</v>
      </c>
      <c r="E171" s="145" t="s">
        <v>4369</v>
      </c>
      <c r="I171" s="106" t="s">
        <v>1133</v>
      </c>
      <c r="L171" s="100">
        <v>7800</v>
      </c>
      <c r="M171" s="100">
        <v>4600</v>
      </c>
      <c r="N171" s="136">
        <f t="shared" si="8"/>
        <v>35.880000000000003</v>
      </c>
      <c r="P171" s="90" t="s">
        <v>1132</v>
      </c>
      <c r="Q171" s="86" t="s">
        <v>3417</v>
      </c>
      <c r="R171" s="86" t="s">
        <v>3077</v>
      </c>
      <c r="S171" s="86" t="s">
        <v>2766</v>
      </c>
      <c r="T171" s="91">
        <v>2.2000000000000002</v>
      </c>
      <c r="U171" s="92" t="s">
        <v>3040</v>
      </c>
      <c r="AC171" s="98" t="s">
        <v>3959</v>
      </c>
    </row>
    <row r="172" spans="1:29" x14ac:dyDescent="0.4">
      <c r="A172" s="102" t="s">
        <v>473</v>
      </c>
      <c r="B172" s="85" t="s">
        <v>2851</v>
      </c>
      <c r="C172" s="84" t="s">
        <v>3778</v>
      </c>
      <c r="D172" s="143" t="s">
        <v>4368</v>
      </c>
      <c r="E172" s="145" t="s">
        <v>4369</v>
      </c>
      <c r="I172" s="106" t="s">
        <v>1133</v>
      </c>
      <c r="J172" s="86">
        <v>150</v>
      </c>
      <c r="L172" s="100">
        <v>5500</v>
      </c>
      <c r="M172" s="100">
        <v>6750</v>
      </c>
      <c r="N172" s="136">
        <f t="shared" si="8"/>
        <v>37.125</v>
      </c>
      <c r="O172" s="88">
        <v>7000</v>
      </c>
      <c r="P172" s="90" t="s">
        <v>1132</v>
      </c>
      <c r="Q172" s="86" t="s">
        <v>3059</v>
      </c>
      <c r="R172" s="86"/>
      <c r="S172" s="86" t="s">
        <v>2768</v>
      </c>
      <c r="T172" s="91">
        <v>2.2000000000000002</v>
      </c>
      <c r="U172" s="92" t="s">
        <v>3040</v>
      </c>
      <c r="V172" s="93">
        <v>1</v>
      </c>
      <c r="AB172" s="86" t="s">
        <v>2769</v>
      </c>
      <c r="AC172" s="98" t="s">
        <v>3912</v>
      </c>
    </row>
    <row r="173" spans="1:29" x14ac:dyDescent="0.4">
      <c r="A173" s="102" t="s">
        <v>3087</v>
      </c>
      <c r="B173" s="85" t="s">
        <v>2727</v>
      </c>
      <c r="C173" s="84" t="s">
        <v>4329</v>
      </c>
      <c r="D173" s="143" t="s">
        <v>4330</v>
      </c>
      <c r="E173" s="145"/>
      <c r="I173" s="106" t="s">
        <v>4027</v>
      </c>
      <c r="J173" s="86">
        <v>125</v>
      </c>
      <c r="L173" s="100">
        <v>3000</v>
      </c>
      <c r="M173" s="100">
        <v>3650</v>
      </c>
      <c r="N173" s="136">
        <f t="shared" si="8"/>
        <v>10.95</v>
      </c>
      <c r="P173" s="90" t="s">
        <v>1132</v>
      </c>
      <c r="Q173" s="86" t="s">
        <v>3053</v>
      </c>
      <c r="R173" s="86" t="s">
        <v>3078</v>
      </c>
      <c r="S173" s="86" t="s">
        <v>2768</v>
      </c>
      <c r="T173" s="91">
        <v>0.75</v>
      </c>
      <c r="U173" s="92">
        <v>10</v>
      </c>
      <c r="V173" s="93">
        <v>0.5</v>
      </c>
      <c r="W173" s="94" t="s">
        <v>3050</v>
      </c>
      <c r="AB173" s="86" t="s">
        <v>2769</v>
      </c>
      <c r="AC173" s="98" t="s">
        <v>3932</v>
      </c>
    </row>
    <row r="174" spans="1:29" x14ac:dyDescent="0.4">
      <c r="A174" s="102" t="s">
        <v>3088</v>
      </c>
      <c r="B174" s="85" t="s">
        <v>2727</v>
      </c>
      <c r="C174" s="84" t="s">
        <v>4329</v>
      </c>
      <c r="D174" s="143" t="s">
        <v>4330</v>
      </c>
      <c r="E174" s="145"/>
      <c r="I174" s="106" t="s">
        <v>4027</v>
      </c>
      <c r="J174" s="86">
        <v>125</v>
      </c>
      <c r="L174" s="100">
        <v>3000</v>
      </c>
      <c r="M174" s="100">
        <v>3650</v>
      </c>
      <c r="N174" s="136">
        <f t="shared" si="8"/>
        <v>10.95</v>
      </c>
      <c r="P174" s="90" t="s">
        <v>1132</v>
      </c>
      <c r="Q174" s="86" t="s">
        <v>3053</v>
      </c>
      <c r="R174" s="86" t="s">
        <v>3078</v>
      </c>
      <c r="S174" s="86" t="s">
        <v>2766</v>
      </c>
      <c r="T174" s="91">
        <v>0.75</v>
      </c>
      <c r="U174" s="92">
        <v>10</v>
      </c>
      <c r="V174" s="93">
        <v>0.5</v>
      </c>
      <c r="W174" s="94" t="s">
        <v>3050</v>
      </c>
      <c r="AB174" s="86" t="s">
        <v>2769</v>
      </c>
      <c r="AC174" s="98" t="s">
        <v>3933</v>
      </c>
    </row>
    <row r="175" spans="1:29" x14ac:dyDescent="0.4">
      <c r="A175" s="102" t="s">
        <v>3089</v>
      </c>
      <c r="B175" s="85" t="s">
        <v>2727</v>
      </c>
      <c r="C175" s="84" t="s">
        <v>4329</v>
      </c>
      <c r="D175" s="143" t="s">
        <v>4330</v>
      </c>
      <c r="E175" s="145"/>
      <c r="I175" s="106" t="s">
        <v>4027</v>
      </c>
      <c r="J175" s="86">
        <v>125</v>
      </c>
      <c r="L175" s="100">
        <v>4200</v>
      </c>
      <c r="M175" s="100">
        <v>4550</v>
      </c>
      <c r="N175" s="136">
        <f t="shared" si="8"/>
        <v>19.11</v>
      </c>
      <c r="P175" s="90" t="s">
        <v>1132</v>
      </c>
      <c r="Q175" s="86" t="s">
        <v>3053</v>
      </c>
      <c r="R175" s="86" t="s">
        <v>3078</v>
      </c>
      <c r="S175" s="86" t="s">
        <v>2768</v>
      </c>
      <c r="T175" s="91">
        <v>1.5</v>
      </c>
      <c r="U175" s="92">
        <v>15</v>
      </c>
      <c r="V175" s="93">
        <v>1</v>
      </c>
      <c r="W175" s="94" t="s">
        <v>3049</v>
      </c>
      <c r="AB175" s="86" t="s">
        <v>2769</v>
      </c>
      <c r="AC175" s="98" t="s">
        <v>3091</v>
      </c>
    </row>
    <row r="176" spans="1:29" x14ac:dyDescent="0.4">
      <c r="A176" s="102" t="s">
        <v>3090</v>
      </c>
      <c r="B176" s="85" t="s">
        <v>2727</v>
      </c>
      <c r="C176" s="84" t="s">
        <v>4329</v>
      </c>
      <c r="D176" s="143" t="s">
        <v>4330</v>
      </c>
      <c r="E176" s="145"/>
      <c r="I176" s="106" t="s">
        <v>4027</v>
      </c>
      <c r="J176" s="86">
        <v>125</v>
      </c>
      <c r="L176" s="100">
        <v>4200</v>
      </c>
      <c r="M176" s="100">
        <v>4550</v>
      </c>
      <c r="N176" s="136">
        <f t="shared" si="8"/>
        <v>19.11</v>
      </c>
      <c r="P176" s="90" t="s">
        <v>1132</v>
      </c>
      <c r="Q176" s="86" t="s">
        <v>3062</v>
      </c>
      <c r="R176" s="86" t="s">
        <v>3078</v>
      </c>
      <c r="S176" s="86" t="s">
        <v>2766</v>
      </c>
      <c r="T176" s="91">
        <v>1.5</v>
      </c>
      <c r="U176" s="92">
        <v>15</v>
      </c>
      <c r="V176" s="93">
        <v>1</v>
      </c>
      <c r="W176" s="94" t="s">
        <v>3049</v>
      </c>
      <c r="AB176" s="86" t="s">
        <v>2769</v>
      </c>
      <c r="AC176" s="98" t="s">
        <v>3934</v>
      </c>
    </row>
    <row r="177" spans="1:29" x14ac:dyDescent="0.4">
      <c r="A177" s="102" t="s">
        <v>1271</v>
      </c>
      <c r="B177" s="85" t="s">
        <v>1273</v>
      </c>
      <c r="C177" s="84" t="s">
        <v>1279</v>
      </c>
      <c r="E177" s="145"/>
      <c r="I177" s="106" t="s">
        <v>1133</v>
      </c>
      <c r="L177" s="100">
        <v>4800</v>
      </c>
      <c r="M177" s="100">
        <v>5500</v>
      </c>
      <c r="N177" s="136">
        <f t="shared" si="8"/>
        <v>26.4</v>
      </c>
      <c r="R177" s="86"/>
      <c r="AC177" s="98" t="s">
        <v>1280</v>
      </c>
    </row>
    <row r="178" spans="1:29" x14ac:dyDescent="0.4">
      <c r="A178" s="102" t="s">
        <v>3421</v>
      </c>
      <c r="B178" s="85" t="s">
        <v>703</v>
      </c>
      <c r="C178" s="84" t="s">
        <v>2887</v>
      </c>
      <c r="E178" s="145"/>
      <c r="I178" s="106" t="s">
        <v>2765</v>
      </c>
      <c r="J178" s="86">
        <v>125</v>
      </c>
      <c r="L178" s="100">
        <v>2900</v>
      </c>
      <c r="M178" s="100">
        <v>3300</v>
      </c>
      <c r="N178" s="136">
        <f t="shared" si="8"/>
        <v>9.57</v>
      </c>
      <c r="P178" s="63" t="s">
        <v>3177</v>
      </c>
      <c r="Q178" s="86" t="s">
        <v>3053</v>
      </c>
      <c r="R178" s="86" t="s">
        <v>3078</v>
      </c>
      <c r="S178" s="86" t="s">
        <v>2766</v>
      </c>
      <c r="T178" s="91">
        <v>1.5</v>
      </c>
      <c r="V178" s="93">
        <v>1</v>
      </c>
      <c r="Z178" s="87" t="s">
        <v>3051</v>
      </c>
      <c r="AB178" s="86" t="s">
        <v>2769</v>
      </c>
      <c r="AC178" s="98" t="s">
        <v>3419</v>
      </c>
    </row>
    <row r="179" spans="1:29" x14ac:dyDescent="0.4">
      <c r="A179" s="102" t="s">
        <v>509</v>
      </c>
      <c r="B179" s="85" t="s">
        <v>854</v>
      </c>
      <c r="C179" s="84" t="s">
        <v>2887</v>
      </c>
      <c r="E179" s="145"/>
      <c r="I179" s="106" t="s">
        <v>4027</v>
      </c>
      <c r="J179" s="86">
        <v>125</v>
      </c>
      <c r="L179" s="100">
        <v>2500</v>
      </c>
      <c r="M179" s="100">
        <v>4000</v>
      </c>
      <c r="N179" s="136">
        <f t="shared" si="8"/>
        <v>10</v>
      </c>
      <c r="P179" s="90" t="s">
        <v>1132</v>
      </c>
      <c r="Q179" s="86" t="s">
        <v>3059</v>
      </c>
      <c r="R179" s="86"/>
      <c r="S179" s="86" t="s">
        <v>2768</v>
      </c>
      <c r="T179" s="91">
        <v>0.75</v>
      </c>
      <c r="U179" s="92">
        <v>10</v>
      </c>
      <c r="V179" s="93">
        <v>1</v>
      </c>
      <c r="W179" s="86" t="s">
        <v>3050</v>
      </c>
      <c r="Z179" s="99" t="s">
        <v>3051</v>
      </c>
      <c r="AB179" s="86" t="s">
        <v>2769</v>
      </c>
      <c r="AC179" s="98" t="s">
        <v>2058</v>
      </c>
    </row>
    <row r="180" spans="1:29" x14ac:dyDescent="0.4">
      <c r="A180" s="102" t="s">
        <v>1390</v>
      </c>
      <c r="B180" s="85" t="s">
        <v>2676</v>
      </c>
      <c r="C180" s="84" t="s">
        <v>1388</v>
      </c>
      <c r="E180" s="145"/>
      <c r="I180" s="106" t="s">
        <v>1133</v>
      </c>
      <c r="L180" s="100">
        <v>5500</v>
      </c>
      <c r="M180" s="100">
        <v>4300</v>
      </c>
      <c r="N180" s="136">
        <f t="shared" si="8"/>
        <v>23.65</v>
      </c>
      <c r="Q180" s="86" t="s">
        <v>3054</v>
      </c>
      <c r="R180" s="86"/>
      <c r="S180" s="86" t="s">
        <v>2766</v>
      </c>
      <c r="AC180" s="98" t="s">
        <v>1389</v>
      </c>
    </row>
    <row r="181" spans="1:29" x14ac:dyDescent="0.4">
      <c r="A181" s="102" t="s">
        <v>1391</v>
      </c>
      <c r="B181" s="85" t="s">
        <v>2676</v>
      </c>
      <c r="C181" s="84" t="s">
        <v>1388</v>
      </c>
      <c r="E181" s="145"/>
      <c r="I181" s="106" t="s">
        <v>4027</v>
      </c>
      <c r="L181" s="100">
        <v>2000</v>
      </c>
      <c r="M181" s="100">
        <v>3600</v>
      </c>
      <c r="N181" s="136">
        <f t="shared" si="8"/>
        <v>7.2</v>
      </c>
      <c r="Q181" s="86" t="s">
        <v>3054</v>
      </c>
      <c r="R181" s="86"/>
      <c r="S181" s="86" t="s">
        <v>2766</v>
      </c>
      <c r="AC181" s="98" t="s">
        <v>3649</v>
      </c>
    </row>
    <row r="182" spans="1:29" x14ac:dyDescent="0.4">
      <c r="A182" s="102" t="s">
        <v>1249</v>
      </c>
      <c r="B182" s="85" t="s">
        <v>1248</v>
      </c>
      <c r="C182" s="84" t="s">
        <v>1246</v>
      </c>
      <c r="E182" s="145"/>
      <c r="I182" s="106" t="s">
        <v>4027</v>
      </c>
      <c r="L182" s="100">
        <v>3000</v>
      </c>
      <c r="M182" s="100">
        <v>3150</v>
      </c>
      <c r="N182" s="136">
        <f t="shared" si="8"/>
        <v>9.4499999999999993</v>
      </c>
      <c r="R182" s="86"/>
      <c r="S182" s="86" t="s">
        <v>2766</v>
      </c>
      <c r="AC182" s="98" t="s">
        <v>3671</v>
      </c>
    </row>
    <row r="183" spans="1:29" x14ac:dyDescent="0.4">
      <c r="A183" s="102" t="s">
        <v>179</v>
      </c>
      <c r="B183" s="85" t="s">
        <v>1889</v>
      </c>
      <c r="C183" s="84" t="s">
        <v>3772</v>
      </c>
      <c r="E183" s="145"/>
      <c r="I183" s="106" t="s">
        <v>4027</v>
      </c>
      <c r="J183" s="86">
        <v>100</v>
      </c>
      <c r="L183" s="100">
        <v>2500</v>
      </c>
      <c r="M183" s="100">
        <v>3050</v>
      </c>
      <c r="N183" s="136">
        <f t="shared" si="8"/>
        <v>7.625</v>
      </c>
      <c r="P183" s="63" t="s">
        <v>3177</v>
      </c>
      <c r="Q183" s="86" t="s">
        <v>3063</v>
      </c>
      <c r="R183" s="86" t="s">
        <v>3039</v>
      </c>
      <c r="T183" s="91">
        <v>0.75</v>
      </c>
      <c r="AC183" s="98" t="s">
        <v>3483</v>
      </c>
    </row>
    <row r="184" spans="1:29" x14ac:dyDescent="0.4">
      <c r="A184" s="102" t="s">
        <v>341</v>
      </c>
      <c r="B184" s="85" t="s">
        <v>2717</v>
      </c>
      <c r="C184" s="84" t="s">
        <v>2353</v>
      </c>
      <c r="E184" s="145"/>
      <c r="I184" s="106" t="s">
        <v>4027</v>
      </c>
      <c r="J184" s="86">
        <v>125</v>
      </c>
      <c r="L184" s="100">
        <v>3000</v>
      </c>
      <c r="M184" s="100">
        <v>4350</v>
      </c>
      <c r="N184" s="136">
        <f t="shared" si="8"/>
        <v>13.05</v>
      </c>
      <c r="P184" s="63" t="s">
        <v>3177</v>
      </c>
      <c r="Q184" s="86" t="s">
        <v>3053</v>
      </c>
      <c r="R184" s="86"/>
      <c r="S184" s="86" t="s">
        <v>2766</v>
      </c>
      <c r="T184" s="91">
        <v>0.75</v>
      </c>
      <c r="W184" s="94" t="s">
        <v>3049</v>
      </c>
      <c r="AB184" s="86" t="s">
        <v>2769</v>
      </c>
      <c r="AC184" s="98" t="s">
        <v>3025</v>
      </c>
    </row>
    <row r="185" spans="1:29" x14ac:dyDescent="0.4">
      <c r="A185" s="102" t="s">
        <v>1548</v>
      </c>
      <c r="B185" s="85" t="s">
        <v>611</v>
      </c>
      <c r="C185" s="84" t="s">
        <v>1549</v>
      </c>
      <c r="E185" s="145"/>
      <c r="I185" s="106" t="s">
        <v>1133</v>
      </c>
      <c r="L185" s="100">
        <v>4500</v>
      </c>
      <c r="M185" s="100">
        <v>2900</v>
      </c>
      <c r="N185" s="136">
        <f t="shared" si="8"/>
        <v>13.05</v>
      </c>
      <c r="R185" s="86"/>
      <c r="AC185" s="98" t="s">
        <v>1551</v>
      </c>
    </row>
    <row r="186" spans="1:29" x14ac:dyDescent="0.4">
      <c r="A186" s="102" t="s">
        <v>1550</v>
      </c>
      <c r="B186" s="85" t="s">
        <v>611</v>
      </c>
      <c r="C186" s="84" t="s">
        <v>1549</v>
      </c>
      <c r="E186" s="145"/>
      <c r="H186" s="86">
        <v>2</v>
      </c>
      <c r="I186" s="106" t="s">
        <v>4027</v>
      </c>
      <c r="L186" s="100">
        <v>2700</v>
      </c>
      <c r="M186" s="100">
        <v>2000</v>
      </c>
      <c r="N186" s="136">
        <f t="shared" si="8"/>
        <v>5.4</v>
      </c>
      <c r="R186" s="86"/>
      <c r="AC186" s="98" t="s">
        <v>3604</v>
      </c>
    </row>
    <row r="187" spans="1:29" x14ac:dyDescent="0.4">
      <c r="A187" s="102" t="s">
        <v>1552</v>
      </c>
      <c r="B187" s="85" t="s">
        <v>611</v>
      </c>
      <c r="C187" s="84" t="s">
        <v>1549</v>
      </c>
      <c r="E187" s="145"/>
      <c r="I187" s="106" t="s">
        <v>4027</v>
      </c>
      <c r="L187" s="100">
        <v>3200</v>
      </c>
      <c r="M187" s="100">
        <v>2900</v>
      </c>
      <c r="N187" s="136">
        <f t="shared" si="8"/>
        <v>9.2799999999999994</v>
      </c>
      <c r="R187" s="86"/>
      <c r="AC187" s="98" t="s">
        <v>3603</v>
      </c>
    </row>
    <row r="188" spans="1:29" x14ac:dyDescent="0.4">
      <c r="A188" s="102" t="s">
        <v>1553</v>
      </c>
      <c r="B188" s="85" t="s">
        <v>611</v>
      </c>
      <c r="C188" s="84" t="s">
        <v>1549</v>
      </c>
      <c r="E188" s="145"/>
      <c r="I188" s="106" t="s">
        <v>4027</v>
      </c>
      <c r="L188" s="100">
        <v>3000</v>
      </c>
      <c r="M188" s="100">
        <v>2900</v>
      </c>
      <c r="N188" s="136">
        <f t="shared" si="8"/>
        <v>8.6999999999999993</v>
      </c>
      <c r="R188" s="86"/>
      <c r="AC188" s="98" t="s">
        <v>3602</v>
      </c>
    </row>
    <row r="189" spans="1:29" x14ac:dyDescent="0.4">
      <c r="A189" s="102" t="s">
        <v>199</v>
      </c>
      <c r="B189" s="85" t="s">
        <v>663</v>
      </c>
      <c r="C189" s="84" t="s">
        <v>2002</v>
      </c>
      <c r="E189" s="145"/>
      <c r="H189" s="86">
        <v>4</v>
      </c>
      <c r="I189" s="106" t="s">
        <v>4027</v>
      </c>
      <c r="J189" s="86">
        <v>100</v>
      </c>
      <c r="L189" s="100">
        <v>2700</v>
      </c>
      <c r="M189" s="100">
        <v>3000</v>
      </c>
      <c r="N189" s="136">
        <f t="shared" si="8"/>
        <v>8.1</v>
      </c>
      <c r="R189" s="86"/>
      <c r="S189" s="86" t="s">
        <v>2768</v>
      </c>
      <c r="AC189" s="98" t="s">
        <v>3977</v>
      </c>
    </row>
    <row r="190" spans="1:29" x14ac:dyDescent="0.4">
      <c r="A190" s="102" t="s">
        <v>481</v>
      </c>
      <c r="B190" s="85" t="s">
        <v>838</v>
      </c>
      <c r="C190" s="84" t="s">
        <v>2843</v>
      </c>
      <c r="E190" s="145"/>
      <c r="I190" s="106" t="s">
        <v>4027</v>
      </c>
      <c r="J190" s="86">
        <v>125</v>
      </c>
      <c r="L190" s="100">
        <v>2600</v>
      </c>
      <c r="M190" s="100">
        <v>3000</v>
      </c>
      <c r="N190" s="136">
        <f t="shared" si="8"/>
        <v>7.8</v>
      </c>
      <c r="P190" s="90" t="s">
        <v>1132</v>
      </c>
      <c r="R190" s="86"/>
      <c r="AC190" s="98" t="s">
        <v>2842</v>
      </c>
    </row>
    <row r="191" spans="1:29" x14ac:dyDescent="0.4">
      <c r="A191" s="102" t="s">
        <v>51</v>
      </c>
      <c r="B191" s="85" t="s">
        <v>1423</v>
      </c>
      <c r="C191" s="84" t="s">
        <v>1422</v>
      </c>
      <c r="E191" s="145"/>
      <c r="I191" s="106" t="s">
        <v>2998</v>
      </c>
      <c r="R191" s="86"/>
      <c r="AC191" s="98" t="s">
        <v>556</v>
      </c>
    </row>
    <row r="192" spans="1:29" x14ac:dyDescent="0.4">
      <c r="A192" s="102" t="s">
        <v>1345</v>
      </c>
      <c r="B192" s="85" t="s">
        <v>1343</v>
      </c>
      <c r="C192" s="84" t="s">
        <v>1344</v>
      </c>
      <c r="E192" s="145"/>
      <c r="I192" s="106" t="s">
        <v>1133</v>
      </c>
      <c r="L192" s="100">
        <v>4200</v>
      </c>
      <c r="M192" s="100">
        <v>4000</v>
      </c>
      <c r="N192" s="136">
        <f t="shared" ref="N192:N199" si="9">L192*M192/1000000</f>
        <v>16.8</v>
      </c>
      <c r="R192" s="86"/>
      <c r="AC192" s="98" t="s">
        <v>1347</v>
      </c>
    </row>
    <row r="193" spans="1:29" x14ac:dyDescent="0.4">
      <c r="A193" s="102" t="s">
        <v>1346</v>
      </c>
      <c r="B193" s="85" t="s">
        <v>1343</v>
      </c>
      <c r="C193" s="84" t="s">
        <v>1344</v>
      </c>
      <c r="E193" s="145"/>
      <c r="I193" s="106" t="s">
        <v>1133</v>
      </c>
      <c r="L193" s="100">
        <v>4200</v>
      </c>
      <c r="M193" s="100">
        <v>4800</v>
      </c>
      <c r="N193" s="136">
        <f t="shared" si="9"/>
        <v>20.16</v>
      </c>
      <c r="R193" s="86"/>
      <c r="AC193" s="98" t="s">
        <v>1348</v>
      </c>
    </row>
    <row r="194" spans="1:29" x14ac:dyDescent="0.4">
      <c r="A194" s="102" t="s">
        <v>3225</v>
      </c>
      <c r="B194" s="85" t="s">
        <v>744</v>
      </c>
      <c r="C194" s="84" t="s">
        <v>4331</v>
      </c>
      <c r="D194" s="143" t="s">
        <v>4332</v>
      </c>
      <c r="E194" s="145"/>
      <c r="I194" s="106" t="s">
        <v>4027</v>
      </c>
      <c r="J194" s="86">
        <v>125</v>
      </c>
      <c r="L194" s="100">
        <v>2400</v>
      </c>
      <c r="M194" s="100">
        <v>3700</v>
      </c>
      <c r="N194" s="136">
        <f t="shared" si="9"/>
        <v>8.8800000000000008</v>
      </c>
      <c r="P194" s="90" t="s">
        <v>1132</v>
      </c>
      <c r="Q194" s="86" t="s">
        <v>3053</v>
      </c>
      <c r="R194" s="86"/>
      <c r="S194" s="86" t="s">
        <v>2768</v>
      </c>
      <c r="T194" s="91">
        <v>1.5</v>
      </c>
      <c r="Z194" s="87" t="s">
        <v>3051</v>
      </c>
      <c r="AB194" s="86" t="s">
        <v>2769</v>
      </c>
      <c r="AC194" s="98" t="s">
        <v>3227</v>
      </c>
    </row>
    <row r="195" spans="1:29" x14ac:dyDescent="0.4">
      <c r="A195" s="102" t="s">
        <v>3226</v>
      </c>
      <c r="B195" s="85" t="s">
        <v>744</v>
      </c>
      <c r="C195" s="84" t="s">
        <v>4331</v>
      </c>
      <c r="D195" s="143" t="s">
        <v>4332</v>
      </c>
      <c r="E195" s="145"/>
      <c r="I195" s="106" t="s">
        <v>4027</v>
      </c>
      <c r="J195" s="86">
        <v>125</v>
      </c>
      <c r="L195" s="100">
        <v>2400</v>
      </c>
      <c r="M195" s="100">
        <v>3700</v>
      </c>
      <c r="N195" s="136">
        <f t="shared" si="9"/>
        <v>8.8800000000000008</v>
      </c>
      <c r="P195" s="90" t="s">
        <v>1132</v>
      </c>
      <c r="Q195" s="86" t="s">
        <v>3053</v>
      </c>
      <c r="R195" s="86"/>
      <c r="S195" s="86" t="s">
        <v>2766</v>
      </c>
      <c r="T195" s="91">
        <v>1.5</v>
      </c>
      <c r="Z195" s="87" t="s">
        <v>3051</v>
      </c>
      <c r="AB195" s="86" t="s">
        <v>2769</v>
      </c>
      <c r="AC195" s="98" t="s">
        <v>3228</v>
      </c>
    </row>
    <row r="196" spans="1:29" x14ac:dyDescent="0.4">
      <c r="A196" s="102" t="s">
        <v>3229</v>
      </c>
      <c r="B196" s="85" t="s">
        <v>744</v>
      </c>
      <c r="C196" s="84" t="s">
        <v>4331</v>
      </c>
      <c r="D196" s="143" t="s">
        <v>4332</v>
      </c>
      <c r="E196" s="145"/>
      <c r="I196" s="106" t="s">
        <v>4027</v>
      </c>
      <c r="J196" s="86">
        <v>125</v>
      </c>
      <c r="L196" s="100">
        <v>2400</v>
      </c>
      <c r="M196" s="100">
        <v>3900</v>
      </c>
      <c r="N196" s="136">
        <f t="shared" si="9"/>
        <v>9.36</v>
      </c>
      <c r="P196" s="90" t="s">
        <v>1132</v>
      </c>
      <c r="Q196" s="86" t="s">
        <v>3053</v>
      </c>
      <c r="R196" s="86"/>
      <c r="S196" s="86" t="s">
        <v>2766</v>
      </c>
      <c r="T196" s="91">
        <v>0.75</v>
      </c>
      <c r="Z196" s="87" t="s">
        <v>3051</v>
      </c>
      <c r="AB196" s="86" t="s">
        <v>2769</v>
      </c>
      <c r="AC196" s="98" t="s">
        <v>3231</v>
      </c>
    </row>
    <row r="197" spans="1:29" x14ac:dyDescent="0.4">
      <c r="A197" s="102" t="s">
        <v>3230</v>
      </c>
      <c r="B197" s="85" t="s">
        <v>746</v>
      </c>
      <c r="C197" s="84" t="s">
        <v>4331</v>
      </c>
      <c r="D197" s="143" t="s">
        <v>4332</v>
      </c>
      <c r="E197" s="145"/>
      <c r="I197" s="106" t="s">
        <v>4027</v>
      </c>
      <c r="J197" s="86">
        <v>125</v>
      </c>
      <c r="L197" s="100">
        <v>2300</v>
      </c>
      <c r="M197" s="100">
        <v>3200</v>
      </c>
      <c r="N197" s="136">
        <f t="shared" si="9"/>
        <v>7.36</v>
      </c>
      <c r="P197" s="90" t="s">
        <v>1132</v>
      </c>
      <c r="Q197" s="86" t="s">
        <v>3053</v>
      </c>
      <c r="R197" s="86"/>
      <c r="S197" s="86" t="s">
        <v>2768</v>
      </c>
      <c r="T197" s="91">
        <v>0.75</v>
      </c>
      <c r="V197" s="93">
        <v>1</v>
      </c>
      <c r="Z197" s="86" t="s">
        <v>1439</v>
      </c>
      <c r="AB197" s="86" t="s">
        <v>2769</v>
      </c>
      <c r="AC197" s="98" t="s">
        <v>3232</v>
      </c>
    </row>
    <row r="198" spans="1:29" x14ac:dyDescent="0.4">
      <c r="A198" s="102" t="s">
        <v>3233</v>
      </c>
      <c r="B198" s="85" t="s">
        <v>746</v>
      </c>
      <c r="C198" s="84" t="s">
        <v>4331</v>
      </c>
      <c r="D198" s="143" t="s">
        <v>4332</v>
      </c>
      <c r="E198" s="145"/>
      <c r="I198" s="106" t="s">
        <v>4027</v>
      </c>
      <c r="J198" s="86">
        <v>125</v>
      </c>
      <c r="L198" s="100">
        <v>3000</v>
      </c>
      <c r="M198" s="100">
        <v>3200</v>
      </c>
      <c r="N198" s="136">
        <f t="shared" si="9"/>
        <v>9.6</v>
      </c>
      <c r="P198" s="90" t="s">
        <v>1132</v>
      </c>
      <c r="Q198" s="86" t="s">
        <v>3053</v>
      </c>
      <c r="R198" s="86"/>
      <c r="S198" s="86" t="s">
        <v>2768</v>
      </c>
      <c r="T198" s="91">
        <v>0.75</v>
      </c>
      <c r="V198" s="93">
        <v>1</v>
      </c>
      <c r="Z198" s="86" t="s">
        <v>1439</v>
      </c>
      <c r="AB198" s="86" t="s">
        <v>2769</v>
      </c>
      <c r="AC198" s="98" t="s">
        <v>3234</v>
      </c>
    </row>
    <row r="199" spans="1:29" x14ac:dyDescent="0.4">
      <c r="A199" s="102" t="s">
        <v>458</v>
      </c>
      <c r="B199" s="85" t="s">
        <v>828</v>
      </c>
      <c r="C199" s="84" t="s">
        <v>4331</v>
      </c>
      <c r="D199" s="143" t="s">
        <v>4332</v>
      </c>
      <c r="E199" s="145"/>
      <c r="I199" s="106" t="s">
        <v>4027</v>
      </c>
      <c r="J199" s="86">
        <v>125</v>
      </c>
      <c r="L199" s="100">
        <v>3000</v>
      </c>
      <c r="M199" s="100">
        <v>3200</v>
      </c>
      <c r="N199" s="136">
        <f t="shared" si="9"/>
        <v>9.6</v>
      </c>
      <c r="Q199" s="86" t="s">
        <v>3053</v>
      </c>
      <c r="R199" s="86"/>
      <c r="AC199" s="98" t="s">
        <v>2874</v>
      </c>
    </row>
    <row r="200" spans="1:29" x14ac:dyDescent="0.4">
      <c r="A200" s="102" t="s">
        <v>154</v>
      </c>
      <c r="B200" s="85" t="s">
        <v>640</v>
      </c>
      <c r="C200" s="84" t="s">
        <v>564</v>
      </c>
      <c r="E200" s="145"/>
      <c r="I200" s="106"/>
      <c r="R200" s="86"/>
    </row>
    <row r="201" spans="1:29" x14ac:dyDescent="0.4">
      <c r="A201" s="102" t="s">
        <v>1522</v>
      </c>
      <c r="B201" s="85" t="s">
        <v>1521</v>
      </c>
      <c r="C201" s="84" t="s">
        <v>4283</v>
      </c>
      <c r="D201" s="143" t="s">
        <v>4333</v>
      </c>
      <c r="E201" s="145"/>
      <c r="I201" s="106" t="s">
        <v>4027</v>
      </c>
      <c r="L201" s="100">
        <v>2020</v>
      </c>
      <c r="M201" s="100">
        <v>3000</v>
      </c>
      <c r="N201" s="136">
        <f t="shared" ref="N201:N219" si="10">L201*M201/1000000</f>
        <v>6.06</v>
      </c>
      <c r="Q201" s="86" t="s">
        <v>3827</v>
      </c>
      <c r="R201" s="86"/>
      <c r="S201" s="86" t="s">
        <v>2766</v>
      </c>
      <c r="AC201" s="98" t="s">
        <v>3613</v>
      </c>
    </row>
    <row r="202" spans="1:29" x14ac:dyDescent="0.4">
      <c r="A202" s="102" t="s">
        <v>1524</v>
      </c>
      <c r="B202" s="85" t="s">
        <v>1521</v>
      </c>
      <c r="C202" s="84" t="s">
        <v>4283</v>
      </c>
      <c r="D202" s="143" t="s">
        <v>4333</v>
      </c>
      <c r="E202" s="145"/>
      <c r="I202" s="106" t="s">
        <v>4027</v>
      </c>
      <c r="L202" s="100">
        <v>2800</v>
      </c>
      <c r="M202" s="100">
        <v>3600</v>
      </c>
      <c r="N202" s="136">
        <f t="shared" si="10"/>
        <v>10.08</v>
      </c>
      <c r="Q202" s="86" t="s">
        <v>3827</v>
      </c>
      <c r="R202" s="86"/>
      <c r="S202" s="86" t="s">
        <v>2766</v>
      </c>
      <c r="AC202" s="98" t="s">
        <v>3612</v>
      </c>
    </row>
    <row r="203" spans="1:29" x14ac:dyDescent="0.4">
      <c r="A203" s="102" t="s">
        <v>91</v>
      </c>
      <c r="B203" s="85" t="s">
        <v>616</v>
      </c>
      <c r="C203" s="84" t="s">
        <v>1616</v>
      </c>
      <c r="D203" s="143" t="s">
        <v>4334</v>
      </c>
      <c r="E203" s="145"/>
      <c r="I203" s="106" t="s">
        <v>4027</v>
      </c>
      <c r="L203" s="100">
        <v>3300</v>
      </c>
      <c r="M203" s="100">
        <v>3500</v>
      </c>
      <c r="N203" s="136">
        <f t="shared" si="10"/>
        <v>11.55</v>
      </c>
      <c r="R203" s="86"/>
      <c r="AC203" s="98" t="s">
        <v>3591</v>
      </c>
    </row>
    <row r="204" spans="1:29" x14ac:dyDescent="0.4">
      <c r="A204" s="102" t="s">
        <v>209</v>
      </c>
      <c r="B204" s="85" t="s">
        <v>2684</v>
      </c>
      <c r="C204" s="84" t="s">
        <v>1616</v>
      </c>
      <c r="D204" s="143" t="s">
        <v>4334</v>
      </c>
      <c r="E204" s="145"/>
      <c r="I204" s="106" t="s">
        <v>1133</v>
      </c>
      <c r="L204" s="100">
        <v>4400</v>
      </c>
      <c r="M204" s="100">
        <v>4800</v>
      </c>
      <c r="N204" s="136">
        <f t="shared" si="10"/>
        <v>21.12</v>
      </c>
      <c r="P204" s="90" t="s">
        <v>1132</v>
      </c>
      <c r="Q204" s="86" t="s">
        <v>3063</v>
      </c>
      <c r="R204" s="86" t="s">
        <v>3054</v>
      </c>
      <c r="S204" s="86" t="s">
        <v>2768</v>
      </c>
      <c r="T204" s="91">
        <v>1.5</v>
      </c>
      <c r="Z204" s="87" t="s">
        <v>3051</v>
      </c>
      <c r="AC204" s="98" t="s">
        <v>3970</v>
      </c>
    </row>
    <row r="205" spans="1:29" x14ac:dyDescent="0.4">
      <c r="A205" s="102" t="s">
        <v>3492</v>
      </c>
      <c r="B205" s="85" t="s">
        <v>697</v>
      </c>
      <c r="C205" s="84" t="s">
        <v>1616</v>
      </c>
      <c r="D205" s="143" t="s">
        <v>4334</v>
      </c>
      <c r="E205" s="145"/>
      <c r="I205" s="106" t="s">
        <v>4027</v>
      </c>
      <c r="J205" s="86">
        <v>100</v>
      </c>
      <c r="L205" s="100">
        <v>3000</v>
      </c>
      <c r="M205" s="100">
        <v>3850</v>
      </c>
      <c r="N205" s="136">
        <f t="shared" si="10"/>
        <v>11.55</v>
      </c>
      <c r="P205" s="90" t="s">
        <v>1132</v>
      </c>
      <c r="Q205" s="86" t="s">
        <v>3066</v>
      </c>
      <c r="R205" s="86"/>
      <c r="S205" s="86" t="s">
        <v>2766</v>
      </c>
      <c r="T205" s="91">
        <v>0.75</v>
      </c>
      <c r="V205" s="93">
        <v>1</v>
      </c>
      <c r="Z205" s="87" t="s">
        <v>3051</v>
      </c>
      <c r="AC205" s="98" t="s">
        <v>3467</v>
      </c>
    </row>
    <row r="206" spans="1:29" x14ac:dyDescent="0.4">
      <c r="A206" s="102" t="s">
        <v>3493</v>
      </c>
      <c r="B206" s="85" t="s">
        <v>697</v>
      </c>
      <c r="C206" s="84" t="s">
        <v>1616</v>
      </c>
      <c r="D206" s="143" t="s">
        <v>4334</v>
      </c>
      <c r="E206" s="145"/>
      <c r="I206" s="106" t="s">
        <v>4027</v>
      </c>
      <c r="J206" s="86">
        <v>100</v>
      </c>
      <c r="L206" s="100">
        <v>3500</v>
      </c>
      <c r="M206" s="100">
        <v>3500</v>
      </c>
      <c r="N206" s="136">
        <f t="shared" si="10"/>
        <v>12.25</v>
      </c>
      <c r="P206" s="90" t="s">
        <v>1132</v>
      </c>
      <c r="Q206" s="86" t="s">
        <v>3066</v>
      </c>
      <c r="R206" s="86"/>
      <c r="S206" s="86" t="s">
        <v>2768</v>
      </c>
      <c r="T206" s="91">
        <v>0.75</v>
      </c>
      <c r="Y206" s="94"/>
      <c r="Z206" s="87" t="s">
        <v>3051</v>
      </c>
      <c r="AC206" s="98" t="s">
        <v>3494</v>
      </c>
    </row>
    <row r="207" spans="1:29" x14ac:dyDescent="0.4">
      <c r="A207" s="102" t="s">
        <v>276</v>
      </c>
      <c r="B207" s="85" t="s">
        <v>708</v>
      </c>
      <c r="C207" s="84" t="s">
        <v>1616</v>
      </c>
      <c r="D207" s="143" t="s">
        <v>4334</v>
      </c>
      <c r="E207" s="145"/>
      <c r="I207" s="106" t="s">
        <v>1131</v>
      </c>
      <c r="L207" s="100">
        <v>4500</v>
      </c>
      <c r="M207" s="100">
        <v>5000</v>
      </c>
      <c r="N207" s="136">
        <f t="shared" si="10"/>
        <v>22.5</v>
      </c>
      <c r="P207" s="90" t="s">
        <v>1132</v>
      </c>
      <c r="Q207" s="86" t="s">
        <v>3148</v>
      </c>
      <c r="R207" s="86"/>
      <c r="T207" s="91">
        <v>1.5</v>
      </c>
      <c r="AC207" s="98" t="s">
        <v>3554</v>
      </c>
    </row>
    <row r="208" spans="1:29" x14ac:dyDescent="0.4">
      <c r="A208" s="102" t="s">
        <v>3184</v>
      </c>
      <c r="B208" s="85" t="s">
        <v>764</v>
      </c>
      <c r="C208" s="84" t="s">
        <v>1616</v>
      </c>
      <c r="D208" s="143" t="s">
        <v>4334</v>
      </c>
      <c r="E208" s="145"/>
      <c r="H208" s="86">
        <v>2</v>
      </c>
      <c r="I208" s="106" t="s">
        <v>4027</v>
      </c>
      <c r="J208" s="86">
        <v>125</v>
      </c>
      <c r="L208" s="100">
        <v>3000</v>
      </c>
      <c r="M208" s="100">
        <v>3000</v>
      </c>
      <c r="N208" s="136">
        <f t="shared" si="10"/>
        <v>9</v>
      </c>
      <c r="P208" s="90" t="s">
        <v>1132</v>
      </c>
      <c r="Q208" s="86" t="s">
        <v>3148</v>
      </c>
      <c r="R208" s="86" t="s">
        <v>3077</v>
      </c>
      <c r="S208" s="86" t="s">
        <v>3185</v>
      </c>
      <c r="T208" s="91">
        <v>0.75</v>
      </c>
      <c r="Z208" s="87" t="s">
        <v>3051</v>
      </c>
      <c r="AC208" s="98" t="s">
        <v>2372</v>
      </c>
    </row>
    <row r="209" spans="1:29" x14ac:dyDescent="0.4">
      <c r="A209" s="102" t="s">
        <v>3186</v>
      </c>
      <c r="B209" s="85" t="s">
        <v>764</v>
      </c>
      <c r="C209" s="84" t="s">
        <v>1616</v>
      </c>
      <c r="D209" s="143" t="s">
        <v>4334</v>
      </c>
      <c r="E209" s="145"/>
      <c r="I209" s="106" t="s">
        <v>4027</v>
      </c>
      <c r="J209" s="86">
        <v>125</v>
      </c>
      <c r="L209" s="100">
        <v>1500</v>
      </c>
      <c r="M209" s="100">
        <v>2300</v>
      </c>
      <c r="N209" s="136">
        <f t="shared" si="10"/>
        <v>3.45</v>
      </c>
      <c r="P209" s="90" t="s">
        <v>1132</v>
      </c>
      <c r="Q209" s="86" t="s">
        <v>3148</v>
      </c>
      <c r="R209" s="86" t="s">
        <v>3077</v>
      </c>
      <c r="S209" s="86" t="s">
        <v>2768</v>
      </c>
      <c r="T209" s="91">
        <v>0.75</v>
      </c>
      <c r="Z209" s="87" t="s">
        <v>3051</v>
      </c>
      <c r="AC209" s="98" t="s">
        <v>3187</v>
      </c>
    </row>
    <row r="210" spans="1:29" x14ac:dyDescent="0.4">
      <c r="A210" s="102" t="s">
        <v>457</v>
      </c>
      <c r="B210" s="85" t="s">
        <v>2743</v>
      </c>
      <c r="C210" s="84" t="s">
        <v>1616</v>
      </c>
      <c r="D210" s="143" t="s">
        <v>4334</v>
      </c>
      <c r="E210" s="145"/>
      <c r="I210" s="106" t="s">
        <v>4027</v>
      </c>
      <c r="J210" s="86">
        <v>125</v>
      </c>
      <c r="L210" s="100">
        <v>3300</v>
      </c>
      <c r="M210" s="100">
        <v>4000</v>
      </c>
      <c r="N210" s="136">
        <f t="shared" si="10"/>
        <v>13.2</v>
      </c>
      <c r="P210" s="90" t="s">
        <v>1132</v>
      </c>
      <c r="R210" s="86"/>
      <c r="S210" s="86" t="s">
        <v>2768</v>
      </c>
      <c r="T210" s="91">
        <v>0.75</v>
      </c>
      <c r="U210" s="92">
        <v>10</v>
      </c>
      <c r="W210" s="94" t="s">
        <v>3050</v>
      </c>
      <c r="AB210" s="86" t="s">
        <v>2769</v>
      </c>
      <c r="AC210" s="98" t="s">
        <v>2875</v>
      </c>
    </row>
    <row r="211" spans="1:29" x14ac:dyDescent="0.4">
      <c r="A211" s="102" t="s">
        <v>3109</v>
      </c>
      <c r="B211" s="85" t="s">
        <v>785</v>
      </c>
      <c r="C211" s="84" t="s">
        <v>4335</v>
      </c>
      <c r="E211" s="145"/>
      <c r="I211" s="106" t="s">
        <v>4027</v>
      </c>
      <c r="J211" s="86">
        <v>125</v>
      </c>
      <c r="L211" s="100">
        <v>3400</v>
      </c>
      <c r="M211" s="100">
        <v>3750</v>
      </c>
      <c r="N211" s="136">
        <f t="shared" si="10"/>
        <v>12.75</v>
      </c>
      <c r="P211" s="90" t="s">
        <v>1132</v>
      </c>
      <c r="Q211" s="86" t="s">
        <v>3053</v>
      </c>
      <c r="R211" s="86"/>
      <c r="S211" s="86" t="s">
        <v>2768</v>
      </c>
      <c r="T211" s="91">
        <v>0.75</v>
      </c>
      <c r="U211" s="92">
        <v>10</v>
      </c>
      <c r="V211" s="93">
        <v>1</v>
      </c>
      <c r="AB211" s="86" t="s">
        <v>2769</v>
      </c>
      <c r="AC211" s="98" t="s">
        <v>3112</v>
      </c>
    </row>
    <row r="212" spans="1:29" x14ac:dyDescent="0.4">
      <c r="A212" s="102" t="s">
        <v>3110</v>
      </c>
      <c r="B212" s="85" t="s">
        <v>785</v>
      </c>
      <c r="C212" s="84" t="s">
        <v>4335</v>
      </c>
      <c r="E212" s="145"/>
      <c r="I212" s="106" t="s">
        <v>4027</v>
      </c>
      <c r="J212" s="86">
        <v>125</v>
      </c>
      <c r="L212" s="100">
        <v>3400</v>
      </c>
      <c r="M212" s="100">
        <v>3750</v>
      </c>
      <c r="N212" s="136">
        <f t="shared" si="10"/>
        <v>12.75</v>
      </c>
      <c r="P212" s="90" t="s">
        <v>1132</v>
      </c>
      <c r="Q212" s="86" t="s">
        <v>3053</v>
      </c>
      <c r="R212" s="86"/>
      <c r="S212" s="86" t="s">
        <v>2766</v>
      </c>
      <c r="T212" s="91">
        <v>0.75</v>
      </c>
      <c r="U212" s="92">
        <v>10</v>
      </c>
      <c r="V212" s="93">
        <v>1</v>
      </c>
      <c r="AB212" s="86" t="s">
        <v>2769</v>
      </c>
      <c r="AC212" s="98" t="s">
        <v>3111</v>
      </c>
    </row>
    <row r="213" spans="1:29" x14ac:dyDescent="0.4">
      <c r="A213" s="102" t="s">
        <v>1165</v>
      </c>
      <c r="B213" s="85" t="s">
        <v>738</v>
      </c>
      <c r="C213" s="84" t="s">
        <v>2605</v>
      </c>
      <c r="E213" s="145"/>
      <c r="I213" s="106" t="s">
        <v>4027</v>
      </c>
      <c r="J213" s="86">
        <v>100</v>
      </c>
      <c r="L213" s="100">
        <v>2400</v>
      </c>
      <c r="M213" s="113">
        <v>3300</v>
      </c>
      <c r="N213" s="136">
        <f t="shared" si="10"/>
        <v>7.92</v>
      </c>
      <c r="Q213" s="86" t="s">
        <v>3062</v>
      </c>
      <c r="R213" s="86" t="s">
        <v>3078</v>
      </c>
      <c r="S213" s="86" t="s">
        <v>2766</v>
      </c>
      <c r="T213" s="91">
        <v>0.75</v>
      </c>
      <c r="V213" s="93">
        <v>3.5</v>
      </c>
      <c r="Z213" s="86" t="s">
        <v>3185</v>
      </c>
      <c r="AC213" s="98" t="s">
        <v>3954</v>
      </c>
    </row>
    <row r="214" spans="1:29" x14ac:dyDescent="0.4">
      <c r="A214" s="83" t="s">
        <v>4047</v>
      </c>
      <c r="B214" s="64" t="s">
        <v>4049</v>
      </c>
      <c r="C214" s="84" t="s">
        <v>4050</v>
      </c>
      <c r="D214" s="143" t="s">
        <v>4051</v>
      </c>
      <c r="E214" s="145">
        <v>428268630</v>
      </c>
      <c r="F214" s="146" t="s">
        <v>4061</v>
      </c>
      <c r="G214" s="143" t="s">
        <v>4060</v>
      </c>
      <c r="H214" s="86">
        <v>1</v>
      </c>
      <c r="I214" s="106" t="s">
        <v>2998</v>
      </c>
      <c r="J214" s="86" t="s">
        <v>4059</v>
      </c>
      <c r="L214" s="89">
        <v>3840</v>
      </c>
      <c r="M214" s="89">
        <v>4800</v>
      </c>
      <c r="N214" s="136">
        <f t="shared" si="10"/>
        <v>18.431999999999999</v>
      </c>
      <c r="P214" s="63" t="s">
        <v>4062</v>
      </c>
      <c r="Q214" s="86" t="s">
        <v>3062</v>
      </c>
      <c r="R214" s="86" t="s">
        <v>4030</v>
      </c>
      <c r="S214" s="86" t="s">
        <v>2768</v>
      </c>
      <c r="T214" s="91" t="s">
        <v>4063</v>
      </c>
      <c r="U214" s="92" t="str">
        <f>IF(T214="NA","-",IF(T214&gt;=1.5,15,IF(T214=0.75,10,"")))</f>
        <v>-</v>
      </c>
    </row>
    <row r="215" spans="1:29" x14ac:dyDescent="0.4">
      <c r="A215" s="83" t="s">
        <v>4048</v>
      </c>
      <c r="B215" s="64" t="s">
        <v>4049</v>
      </c>
      <c r="C215" s="84" t="s">
        <v>4050</v>
      </c>
      <c r="D215" s="143" t="s">
        <v>4051</v>
      </c>
      <c r="E215" s="145">
        <v>428268630</v>
      </c>
      <c r="F215" s="146" t="s">
        <v>4061</v>
      </c>
      <c r="G215" s="143" t="s">
        <v>4060</v>
      </c>
      <c r="H215" s="86">
        <v>1</v>
      </c>
      <c r="I215" s="106" t="s">
        <v>2998</v>
      </c>
      <c r="J215" s="86" t="s">
        <v>4059</v>
      </c>
      <c r="L215" s="89">
        <v>3840</v>
      </c>
      <c r="M215" s="89">
        <v>6060</v>
      </c>
      <c r="N215" s="136">
        <f t="shared" si="10"/>
        <v>23.270399999999999</v>
      </c>
      <c r="P215" s="63" t="s">
        <v>4062</v>
      </c>
      <c r="Q215" s="86" t="s">
        <v>3062</v>
      </c>
      <c r="R215" s="86" t="s">
        <v>4030</v>
      </c>
      <c r="S215" s="86" t="s">
        <v>2768</v>
      </c>
      <c r="T215" s="91" t="s">
        <v>4063</v>
      </c>
      <c r="U215" s="92" t="str">
        <f>IF(T215="NA","-",IF(T215&gt;=1.5,15,IF(T215=0.75,10,"")))</f>
        <v>-</v>
      </c>
    </row>
    <row r="216" spans="1:29" x14ac:dyDescent="0.4">
      <c r="A216" s="102" t="s">
        <v>1567</v>
      </c>
      <c r="B216" s="85" t="s">
        <v>612</v>
      </c>
      <c r="C216" s="84" t="s">
        <v>4305</v>
      </c>
      <c r="E216" s="145"/>
      <c r="H216" s="86">
        <v>2</v>
      </c>
      <c r="I216" s="106" t="s">
        <v>4027</v>
      </c>
      <c r="L216" s="100">
        <v>3200</v>
      </c>
      <c r="M216" s="100">
        <v>3100</v>
      </c>
      <c r="N216" s="136">
        <f t="shared" si="10"/>
        <v>9.92</v>
      </c>
      <c r="R216" s="86"/>
      <c r="AC216" s="98" t="s">
        <v>1570</v>
      </c>
    </row>
    <row r="217" spans="1:29" x14ac:dyDescent="0.4">
      <c r="A217" s="102" t="s">
        <v>1568</v>
      </c>
      <c r="B217" s="85" t="s">
        <v>612</v>
      </c>
      <c r="C217" s="84" t="s">
        <v>4305</v>
      </c>
      <c r="E217" s="145"/>
      <c r="H217" s="86">
        <v>2</v>
      </c>
      <c r="I217" s="106" t="s">
        <v>4027</v>
      </c>
      <c r="L217" s="100">
        <v>2100</v>
      </c>
      <c r="M217" s="100">
        <v>3100</v>
      </c>
      <c r="N217" s="136">
        <f t="shared" si="10"/>
        <v>6.51</v>
      </c>
      <c r="R217" s="86"/>
      <c r="AC217" s="98" t="s">
        <v>1571</v>
      </c>
    </row>
    <row r="218" spans="1:29" x14ac:dyDescent="0.4">
      <c r="A218" s="102" t="s">
        <v>1569</v>
      </c>
      <c r="B218" s="85" t="s">
        <v>612</v>
      </c>
      <c r="C218" s="84" t="s">
        <v>4305</v>
      </c>
      <c r="E218" s="145"/>
      <c r="I218" s="106" t="s">
        <v>4027</v>
      </c>
      <c r="L218" s="100">
        <v>3000</v>
      </c>
      <c r="M218" s="100">
        <v>3100</v>
      </c>
      <c r="N218" s="136">
        <f t="shared" si="10"/>
        <v>9.3000000000000007</v>
      </c>
      <c r="R218" s="86"/>
      <c r="AC218" s="98" t="s">
        <v>1572</v>
      </c>
    </row>
    <row r="219" spans="1:29" x14ac:dyDescent="0.4">
      <c r="A219" s="102" t="s">
        <v>88</v>
      </c>
      <c r="B219" s="85" t="s">
        <v>608</v>
      </c>
      <c r="C219" s="84" t="s">
        <v>911</v>
      </c>
      <c r="E219" s="145"/>
      <c r="I219" s="106" t="s">
        <v>4027</v>
      </c>
      <c r="L219" s="100">
        <v>3500</v>
      </c>
      <c r="M219" s="100">
        <v>4500</v>
      </c>
      <c r="N219" s="136">
        <f t="shared" si="10"/>
        <v>15.75</v>
      </c>
      <c r="R219" s="86"/>
      <c r="S219" s="86" t="s">
        <v>2766</v>
      </c>
      <c r="AC219" s="98" t="s">
        <v>3607</v>
      </c>
    </row>
    <row r="220" spans="1:29" x14ac:dyDescent="0.4">
      <c r="A220" s="102" t="s">
        <v>192</v>
      </c>
      <c r="B220" s="85" t="s">
        <v>659</v>
      </c>
      <c r="C220" s="84" t="s">
        <v>3716</v>
      </c>
      <c r="E220" s="145"/>
      <c r="I220" s="106" t="s">
        <v>3001</v>
      </c>
      <c r="R220" s="86"/>
      <c r="AC220" s="98" t="s">
        <v>1982</v>
      </c>
    </row>
    <row r="221" spans="1:29" x14ac:dyDescent="0.4">
      <c r="A221" s="124" t="s">
        <v>125</v>
      </c>
      <c r="B221" s="85" t="s">
        <v>631</v>
      </c>
      <c r="C221" s="84" t="s">
        <v>1759</v>
      </c>
      <c r="E221" s="145"/>
      <c r="I221" s="106" t="s">
        <v>4027</v>
      </c>
      <c r="L221" s="100">
        <v>2400</v>
      </c>
      <c r="M221" s="100">
        <v>3100</v>
      </c>
      <c r="N221" s="136">
        <f t="shared" ref="N221:N247" si="11">L221*M221/1000000</f>
        <v>7.44</v>
      </c>
      <c r="R221" s="86"/>
      <c r="S221" s="86" t="s">
        <v>2768</v>
      </c>
      <c r="AC221" s="98" t="s">
        <v>3318</v>
      </c>
    </row>
    <row r="222" spans="1:29" x14ac:dyDescent="0.4">
      <c r="A222" s="102" t="s">
        <v>388</v>
      </c>
      <c r="B222" s="85" t="s">
        <v>793</v>
      </c>
      <c r="C222" s="84" t="s">
        <v>4373</v>
      </c>
      <c r="D222" s="143" t="s">
        <v>4376</v>
      </c>
      <c r="E222" s="145" t="s">
        <v>4377</v>
      </c>
      <c r="I222" s="106" t="s">
        <v>4027</v>
      </c>
      <c r="J222" s="86">
        <v>125</v>
      </c>
      <c r="L222" s="100">
        <v>2450</v>
      </c>
      <c r="M222" s="100">
        <v>2200</v>
      </c>
      <c r="N222" s="136">
        <f t="shared" si="11"/>
        <v>5.39</v>
      </c>
      <c r="P222" s="90" t="s">
        <v>1132</v>
      </c>
      <c r="Q222" s="86" t="s">
        <v>3053</v>
      </c>
      <c r="R222" s="86"/>
      <c r="S222" s="86" t="s">
        <v>2768</v>
      </c>
      <c r="T222" s="91">
        <v>0.75</v>
      </c>
      <c r="U222" s="92">
        <v>10</v>
      </c>
      <c r="V222" s="93">
        <v>1</v>
      </c>
      <c r="AB222" s="86" t="s">
        <v>2769</v>
      </c>
      <c r="AC222" s="98" t="s">
        <v>3931</v>
      </c>
    </row>
    <row r="223" spans="1:29" x14ac:dyDescent="0.4">
      <c r="A223" s="102" t="s">
        <v>3170</v>
      </c>
      <c r="B223" s="85" t="s">
        <v>821</v>
      </c>
      <c r="C223" s="84" t="s">
        <v>4373</v>
      </c>
      <c r="D223" s="143" t="s">
        <v>4376</v>
      </c>
      <c r="E223" s="145" t="s">
        <v>4377</v>
      </c>
      <c r="I223" s="106" t="s">
        <v>4027</v>
      </c>
      <c r="J223" s="86">
        <v>125</v>
      </c>
      <c r="L223" s="100">
        <v>2600</v>
      </c>
      <c r="M223" s="100">
        <v>2500</v>
      </c>
      <c r="N223" s="136">
        <f t="shared" si="11"/>
        <v>6.5</v>
      </c>
      <c r="P223" s="90" t="s">
        <v>1132</v>
      </c>
      <c r="Q223" s="86" t="s">
        <v>3053</v>
      </c>
      <c r="R223" s="86"/>
      <c r="S223" s="86" t="s">
        <v>2768</v>
      </c>
      <c r="T223" s="91">
        <v>0.75</v>
      </c>
      <c r="U223" s="92">
        <v>10</v>
      </c>
      <c r="AB223" s="86" t="s">
        <v>2769</v>
      </c>
      <c r="AC223" s="98" t="s">
        <v>2913</v>
      </c>
    </row>
    <row r="224" spans="1:29" x14ac:dyDescent="0.4">
      <c r="A224" s="102" t="s">
        <v>3169</v>
      </c>
      <c r="B224" s="85" t="s">
        <v>825</v>
      </c>
      <c r="C224" s="84" t="s">
        <v>4373</v>
      </c>
      <c r="D224" s="143" t="s">
        <v>4376</v>
      </c>
      <c r="E224" s="145" t="s">
        <v>4377</v>
      </c>
      <c r="I224" s="106" t="s">
        <v>4027</v>
      </c>
      <c r="J224" s="86">
        <v>125</v>
      </c>
      <c r="L224" s="100">
        <v>2600</v>
      </c>
      <c r="M224" s="100">
        <v>2500</v>
      </c>
      <c r="N224" s="136">
        <f t="shared" si="11"/>
        <v>6.5</v>
      </c>
      <c r="P224" s="90" t="s">
        <v>1132</v>
      </c>
      <c r="Q224" s="86" t="s">
        <v>3053</v>
      </c>
      <c r="R224" s="86"/>
      <c r="S224" s="86" t="s">
        <v>2768</v>
      </c>
      <c r="T224" s="91">
        <v>0.75</v>
      </c>
      <c r="U224" s="92">
        <v>10</v>
      </c>
      <c r="V224" s="93">
        <v>1</v>
      </c>
      <c r="W224" s="94" t="s">
        <v>3050</v>
      </c>
      <c r="AB224" s="86" t="s">
        <v>2769</v>
      </c>
      <c r="AC224" s="98" t="s">
        <v>2891</v>
      </c>
    </row>
    <row r="225" spans="1:29" x14ac:dyDescent="0.4">
      <c r="A225" s="102" t="s">
        <v>3173</v>
      </c>
      <c r="B225" s="85" t="s">
        <v>790</v>
      </c>
      <c r="C225" s="84" t="s">
        <v>4374</v>
      </c>
      <c r="D225" s="143" t="s">
        <v>4376</v>
      </c>
      <c r="E225" s="145" t="s">
        <v>4377</v>
      </c>
      <c r="H225" s="86">
        <v>2</v>
      </c>
      <c r="I225" s="106" t="s">
        <v>4027</v>
      </c>
      <c r="J225" s="86">
        <v>125</v>
      </c>
      <c r="L225" s="100">
        <v>2600</v>
      </c>
      <c r="M225" s="100">
        <v>2500</v>
      </c>
      <c r="N225" s="136">
        <f t="shared" si="11"/>
        <v>6.5</v>
      </c>
      <c r="P225" s="90" t="s">
        <v>1132</v>
      </c>
      <c r="Q225" s="86" t="s">
        <v>3053</v>
      </c>
      <c r="R225" s="86"/>
      <c r="S225" s="86" t="s">
        <v>2768</v>
      </c>
      <c r="T225" s="91">
        <v>0.75</v>
      </c>
      <c r="U225" s="92">
        <v>10</v>
      </c>
      <c r="V225" s="93">
        <v>1</v>
      </c>
      <c r="AB225" s="86" t="s">
        <v>2769</v>
      </c>
      <c r="AC225" s="98" t="s">
        <v>3935</v>
      </c>
    </row>
    <row r="226" spans="1:29" x14ac:dyDescent="0.4">
      <c r="A226" s="102" t="s">
        <v>3095</v>
      </c>
      <c r="B226" s="85" t="s">
        <v>790</v>
      </c>
      <c r="C226" s="84" t="s">
        <v>4374</v>
      </c>
      <c r="D226" s="143" t="s">
        <v>4376</v>
      </c>
      <c r="E226" s="145" t="s">
        <v>4377</v>
      </c>
      <c r="H226" s="86">
        <v>2</v>
      </c>
      <c r="I226" s="106" t="s">
        <v>4027</v>
      </c>
      <c r="J226" s="86">
        <v>125</v>
      </c>
      <c r="L226" s="100">
        <v>2600</v>
      </c>
      <c r="M226" s="100">
        <v>2500</v>
      </c>
      <c r="N226" s="136">
        <f t="shared" si="11"/>
        <v>6.5</v>
      </c>
      <c r="P226" s="90" t="s">
        <v>1132</v>
      </c>
      <c r="Q226" s="86" t="s">
        <v>3053</v>
      </c>
      <c r="R226" s="86"/>
      <c r="S226" s="86" t="s">
        <v>2766</v>
      </c>
      <c r="T226" s="91">
        <v>0.75</v>
      </c>
      <c r="U226" s="92">
        <v>10</v>
      </c>
      <c r="V226" s="93">
        <v>1</v>
      </c>
      <c r="AB226" s="86" t="s">
        <v>2769</v>
      </c>
      <c r="AC226" s="98" t="s">
        <v>3936</v>
      </c>
    </row>
    <row r="227" spans="1:29" x14ac:dyDescent="0.4">
      <c r="A227" s="102" t="s">
        <v>90</v>
      </c>
      <c r="B227" s="85" t="s">
        <v>615</v>
      </c>
      <c r="C227" s="84" t="s">
        <v>1615</v>
      </c>
      <c r="E227" s="145"/>
      <c r="H227" s="86">
        <v>2</v>
      </c>
      <c r="I227" s="106" t="s">
        <v>4027</v>
      </c>
      <c r="L227" s="100">
        <v>3800</v>
      </c>
      <c r="M227" s="100">
        <v>3500</v>
      </c>
      <c r="N227" s="136">
        <f t="shared" si="11"/>
        <v>13.3</v>
      </c>
      <c r="Q227" s="86" t="s">
        <v>3774</v>
      </c>
      <c r="R227" s="86"/>
      <c r="S227" s="86" t="s">
        <v>2766</v>
      </c>
      <c r="AC227" s="98" t="s">
        <v>3592</v>
      </c>
    </row>
    <row r="228" spans="1:29" x14ac:dyDescent="0.4">
      <c r="A228" s="102" t="s">
        <v>3253</v>
      </c>
      <c r="B228" s="85" t="s">
        <v>739</v>
      </c>
      <c r="C228" s="84" t="s">
        <v>2607</v>
      </c>
      <c r="E228" s="145"/>
      <c r="I228" s="106" t="s">
        <v>4027</v>
      </c>
      <c r="J228" s="86">
        <v>125</v>
      </c>
      <c r="L228" s="100">
        <v>2400</v>
      </c>
      <c r="M228" s="100">
        <v>3550</v>
      </c>
      <c r="N228" s="136">
        <f t="shared" si="11"/>
        <v>8.52</v>
      </c>
      <c r="P228" s="63" t="s">
        <v>3177</v>
      </c>
      <c r="Q228" s="86" t="s">
        <v>3053</v>
      </c>
      <c r="R228" s="86" t="s">
        <v>3078</v>
      </c>
      <c r="S228" s="86" t="s">
        <v>2768</v>
      </c>
      <c r="T228" s="91">
        <v>0.75</v>
      </c>
      <c r="V228" s="93">
        <v>0.5</v>
      </c>
      <c r="AB228" s="86" t="s">
        <v>2769</v>
      </c>
      <c r="AC228" s="98" t="s">
        <v>3252</v>
      </c>
    </row>
    <row r="229" spans="1:29" x14ac:dyDescent="0.4">
      <c r="A229" s="102" t="s">
        <v>3254</v>
      </c>
      <c r="B229" s="85" t="s">
        <v>739</v>
      </c>
      <c r="C229" s="84" t="s">
        <v>2607</v>
      </c>
      <c r="E229" s="145"/>
      <c r="I229" s="106" t="s">
        <v>4027</v>
      </c>
      <c r="J229" s="86">
        <v>125</v>
      </c>
      <c r="L229" s="100">
        <v>2400</v>
      </c>
      <c r="M229" s="100">
        <v>3550</v>
      </c>
      <c r="N229" s="136">
        <f t="shared" si="11"/>
        <v>8.52</v>
      </c>
      <c r="P229" s="63" t="s">
        <v>3177</v>
      </c>
      <c r="Q229" s="86" t="s">
        <v>3053</v>
      </c>
      <c r="R229" s="86" t="s">
        <v>3078</v>
      </c>
      <c r="S229" s="86" t="s">
        <v>2766</v>
      </c>
      <c r="T229" s="91">
        <v>0.75</v>
      </c>
      <c r="V229" s="93">
        <v>0.5</v>
      </c>
      <c r="AB229" s="86" t="s">
        <v>2769</v>
      </c>
      <c r="AC229" s="98" t="s">
        <v>3255</v>
      </c>
    </row>
    <row r="230" spans="1:29" x14ac:dyDescent="0.4">
      <c r="A230" s="102" t="s">
        <v>2846</v>
      </c>
      <c r="B230" s="85" t="s">
        <v>837</v>
      </c>
      <c r="C230" s="84" t="s">
        <v>4375</v>
      </c>
      <c r="D230" s="143" t="s">
        <v>1439</v>
      </c>
      <c r="E230" s="145"/>
      <c r="I230" s="106" t="s">
        <v>4027</v>
      </c>
      <c r="J230" s="86">
        <v>125</v>
      </c>
      <c r="L230" s="100">
        <v>3200</v>
      </c>
      <c r="M230" s="100">
        <v>3700</v>
      </c>
      <c r="N230" s="136">
        <f t="shared" si="11"/>
        <v>11.84</v>
      </c>
      <c r="P230" s="63" t="s">
        <v>3177</v>
      </c>
      <c r="Q230" s="86" t="s">
        <v>3053</v>
      </c>
      <c r="R230" s="86"/>
      <c r="S230" s="86" t="s">
        <v>2766</v>
      </c>
      <c r="T230" s="91">
        <v>0.75</v>
      </c>
      <c r="U230" s="92">
        <v>10</v>
      </c>
      <c r="V230" s="93">
        <v>1</v>
      </c>
      <c r="W230" s="94" t="s">
        <v>3050</v>
      </c>
      <c r="AB230" s="86" t="s">
        <v>2769</v>
      </c>
      <c r="AC230" s="98" t="s">
        <v>3910</v>
      </c>
    </row>
    <row r="231" spans="1:29" x14ac:dyDescent="0.4">
      <c r="A231" s="102" t="s">
        <v>2847</v>
      </c>
      <c r="B231" s="85" t="s">
        <v>837</v>
      </c>
      <c r="C231" s="84" t="s">
        <v>4375</v>
      </c>
      <c r="D231" s="143" t="s">
        <v>1439</v>
      </c>
      <c r="E231" s="145"/>
      <c r="H231" s="86">
        <v>2</v>
      </c>
      <c r="I231" s="106" t="s">
        <v>4027</v>
      </c>
      <c r="J231" s="86">
        <v>125</v>
      </c>
      <c r="L231" s="100">
        <v>2400</v>
      </c>
      <c r="M231" s="100">
        <v>3700</v>
      </c>
      <c r="N231" s="136">
        <f t="shared" si="11"/>
        <v>8.8800000000000008</v>
      </c>
      <c r="P231" s="63" t="s">
        <v>3177</v>
      </c>
      <c r="Q231" s="86" t="s">
        <v>3053</v>
      </c>
      <c r="R231" s="86"/>
      <c r="S231" s="86" t="s">
        <v>2768</v>
      </c>
      <c r="T231" s="91">
        <v>0.75</v>
      </c>
      <c r="U231" s="92">
        <v>10</v>
      </c>
      <c r="V231" s="93">
        <v>1</v>
      </c>
      <c r="W231" s="94" t="s">
        <v>3050</v>
      </c>
      <c r="AB231" s="86" t="s">
        <v>2769</v>
      </c>
      <c r="AC231" s="98" t="s">
        <v>3034</v>
      </c>
    </row>
    <row r="232" spans="1:29" x14ac:dyDescent="0.4">
      <c r="A232" s="102" t="s">
        <v>2848</v>
      </c>
      <c r="B232" s="85" t="s">
        <v>837</v>
      </c>
      <c r="C232" s="84" t="s">
        <v>4375</v>
      </c>
      <c r="D232" s="143" t="s">
        <v>1439</v>
      </c>
      <c r="E232" s="145"/>
      <c r="H232" s="86">
        <v>2</v>
      </c>
      <c r="I232" s="106" t="s">
        <v>4027</v>
      </c>
      <c r="J232" s="86">
        <v>125</v>
      </c>
      <c r="L232" s="100">
        <v>2100</v>
      </c>
      <c r="M232" s="100">
        <v>3700</v>
      </c>
      <c r="N232" s="136">
        <f t="shared" si="11"/>
        <v>7.77</v>
      </c>
      <c r="P232" s="63" t="s">
        <v>3177</v>
      </c>
      <c r="Q232" s="86" t="s">
        <v>3053</v>
      </c>
      <c r="R232" s="86"/>
      <c r="S232" s="86" t="s">
        <v>2768</v>
      </c>
      <c r="T232" s="91">
        <v>0.75</v>
      </c>
      <c r="U232" s="92">
        <v>10</v>
      </c>
      <c r="V232" s="93">
        <v>1</v>
      </c>
      <c r="W232" s="94" t="s">
        <v>3050</v>
      </c>
      <c r="AB232" s="86" t="s">
        <v>2769</v>
      </c>
      <c r="AC232" s="98" t="s">
        <v>3035</v>
      </c>
    </row>
    <row r="233" spans="1:29" x14ac:dyDescent="0.4">
      <c r="A233" s="102" t="s">
        <v>2849</v>
      </c>
      <c r="B233" s="85" t="s">
        <v>837</v>
      </c>
      <c r="C233" s="84" t="s">
        <v>4375</v>
      </c>
      <c r="D233" s="143" t="s">
        <v>1439</v>
      </c>
      <c r="E233" s="145"/>
      <c r="I233" s="106" t="s">
        <v>4027</v>
      </c>
      <c r="J233" s="86">
        <v>125</v>
      </c>
      <c r="L233" s="100">
        <v>1200</v>
      </c>
      <c r="M233" s="100">
        <v>2700</v>
      </c>
      <c r="N233" s="136">
        <f t="shared" si="11"/>
        <v>3.24</v>
      </c>
      <c r="P233" s="63" t="s">
        <v>3177</v>
      </c>
      <c r="Q233" s="86" t="s">
        <v>3053</v>
      </c>
      <c r="R233" s="86"/>
      <c r="S233" s="86" t="s">
        <v>2768</v>
      </c>
      <c r="T233" s="91">
        <v>0.75</v>
      </c>
      <c r="U233" s="92">
        <v>10</v>
      </c>
      <c r="V233" s="93">
        <v>1</v>
      </c>
      <c r="W233" s="94" t="s">
        <v>3050</v>
      </c>
      <c r="AB233" s="86" t="s">
        <v>2769</v>
      </c>
      <c r="AC233" s="98" t="s">
        <v>3036</v>
      </c>
    </row>
    <row r="234" spans="1:29" x14ac:dyDescent="0.4">
      <c r="A234" s="102" t="s">
        <v>492</v>
      </c>
      <c r="B234" s="85" t="s">
        <v>844</v>
      </c>
      <c r="C234" s="84" t="s">
        <v>4375</v>
      </c>
      <c r="D234" s="143" t="s">
        <v>1439</v>
      </c>
      <c r="E234" s="145"/>
      <c r="I234" s="106" t="s">
        <v>4027</v>
      </c>
      <c r="J234" s="86">
        <v>125</v>
      </c>
      <c r="L234" s="100">
        <v>3950</v>
      </c>
      <c r="M234" s="100">
        <v>3700</v>
      </c>
      <c r="N234" s="136">
        <f t="shared" si="11"/>
        <v>14.615</v>
      </c>
      <c r="P234" s="90" t="s">
        <v>1132</v>
      </c>
      <c r="Q234" s="86" t="s">
        <v>3054</v>
      </c>
      <c r="R234" s="86"/>
      <c r="S234" s="86" t="s">
        <v>2766</v>
      </c>
      <c r="T234" s="91">
        <v>0.75</v>
      </c>
      <c r="U234" s="92">
        <v>10</v>
      </c>
      <c r="V234" s="93">
        <v>1</v>
      </c>
      <c r="W234" s="94" t="s">
        <v>3050</v>
      </c>
      <c r="AB234" s="86" t="s">
        <v>2769</v>
      </c>
      <c r="AC234" s="98" t="s">
        <v>2093</v>
      </c>
    </row>
    <row r="235" spans="1:29" x14ac:dyDescent="0.4">
      <c r="A235" s="102" t="s">
        <v>440</v>
      </c>
      <c r="B235" s="85" t="s">
        <v>2738</v>
      </c>
      <c r="C235" s="84" t="s">
        <v>3547</v>
      </c>
      <c r="E235" s="145"/>
      <c r="I235" s="106" t="s">
        <v>4027</v>
      </c>
      <c r="J235" s="86">
        <v>125</v>
      </c>
      <c r="L235" s="100">
        <v>3450</v>
      </c>
      <c r="M235" s="100">
        <v>4500</v>
      </c>
      <c r="N235" s="136">
        <f t="shared" si="11"/>
        <v>15.525</v>
      </c>
      <c r="P235" s="90" t="s">
        <v>1132</v>
      </c>
      <c r="Q235" s="86" t="s">
        <v>3053</v>
      </c>
      <c r="R235" s="86"/>
      <c r="S235" s="86" t="s">
        <v>2766</v>
      </c>
      <c r="T235" s="91">
        <v>0.75</v>
      </c>
      <c r="U235" s="92">
        <v>15</v>
      </c>
      <c r="V235" s="93">
        <v>1</v>
      </c>
      <c r="Z235" s="99" t="s">
        <v>3051</v>
      </c>
      <c r="AB235" s="86" t="s">
        <v>2769</v>
      </c>
      <c r="AC235" s="98" t="s">
        <v>2899</v>
      </c>
    </row>
    <row r="236" spans="1:29" x14ac:dyDescent="0.4">
      <c r="A236" s="102" t="s">
        <v>534</v>
      </c>
      <c r="B236" s="85" t="s">
        <v>868</v>
      </c>
      <c r="C236" s="84" t="s">
        <v>2773</v>
      </c>
      <c r="E236" s="145"/>
      <c r="H236" s="86">
        <v>1</v>
      </c>
      <c r="I236" s="106" t="s">
        <v>2765</v>
      </c>
      <c r="J236" s="86">
        <v>125</v>
      </c>
      <c r="L236" s="100">
        <v>4000</v>
      </c>
      <c r="M236" s="100">
        <v>3100</v>
      </c>
      <c r="N236" s="136">
        <f t="shared" si="11"/>
        <v>12.4</v>
      </c>
      <c r="O236" s="88">
        <v>4100</v>
      </c>
      <c r="P236" s="90" t="s">
        <v>1132</v>
      </c>
      <c r="Q236" s="86" t="s">
        <v>3057</v>
      </c>
      <c r="R236" s="86"/>
      <c r="S236" s="86" t="s">
        <v>2768</v>
      </c>
      <c r="T236" s="91">
        <v>0.75</v>
      </c>
      <c r="U236" s="92">
        <v>15</v>
      </c>
      <c r="V236" s="93">
        <v>1.5</v>
      </c>
      <c r="Z236" s="99" t="s">
        <v>3051</v>
      </c>
      <c r="AB236" s="86" t="s">
        <v>2769</v>
      </c>
      <c r="AC236" s="98" t="s">
        <v>2777</v>
      </c>
    </row>
    <row r="237" spans="1:29" x14ac:dyDescent="0.4">
      <c r="A237" s="102" t="s">
        <v>2789</v>
      </c>
      <c r="B237" s="85" t="s">
        <v>861</v>
      </c>
      <c r="C237" s="84" t="s">
        <v>1184</v>
      </c>
      <c r="E237" s="145"/>
      <c r="H237" s="86">
        <v>1</v>
      </c>
      <c r="I237" s="106" t="s">
        <v>4027</v>
      </c>
      <c r="J237" s="86">
        <v>125</v>
      </c>
      <c r="L237" s="100">
        <v>1850</v>
      </c>
      <c r="M237" s="100">
        <v>3150</v>
      </c>
      <c r="N237" s="136">
        <f t="shared" si="11"/>
        <v>5.8274999999999997</v>
      </c>
      <c r="P237" s="90" t="s">
        <v>1132</v>
      </c>
      <c r="Q237" s="86" t="s">
        <v>3053</v>
      </c>
      <c r="R237" s="86"/>
      <c r="S237" s="86" t="s">
        <v>2768</v>
      </c>
      <c r="T237" s="91">
        <v>0.75</v>
      </c>
      <c r="U237" s="92">
        <v>10</v>
      </c>
      <c r="V237" s="93">
        <v>1</v>
      </c>
      <c r="Z237" s="99" t="s">
        <v>3051</v>
      </c>
      <c r="AC237" s="98" t="s">
        <v>2791</v>
      </c>
    </row>
    <row r="238" spans="1:29" x14ac:dyDescent="0.4">
      <c r="A238" s="102" t="s">
        <v>2790</v>
      </c>
      <c r="B238" s="85" t="s">
        <v>861</v>
      </c>
      <c r="C238" s="84" t="s">
        <v>1184</v>
      </c>
      <c r="E238" s="145"/>
      <c r="H238" s="86">
        <v>1</v>
      </c>
      <c r="I238" s="106" t="s">
        <v>4027</v>
      </c>
      <c r="J238" s="86">
        <v>125</v>
      </c>
      <c r="L238" s="100">
        <v>1850</v>
      </c>
      <c r="M238" s="100">
        <v>3150</v>
      </c>
      <c r="N238" s="136">
        <f t="shared" si="11"/>
        <v>5.8274999999999997</v>
      </c>
      <c r="P238" s="90" t="s">
        <v>1132</v>
      </c>
      <c r="Q238" s="86" t="s">
        <v>3053</v>
      </c>
      <c r="R238" s="86"/>
      <c r="S238" s="86" t="s">
        <v>2766</v>
      </c>
      <c r="T238" s="91">
        <v>0.75</v>
      </c>
      <c r="U238" s="92">
        <v>10</v>
      </c>
      <c r="V238" s="93">
        <v>1</v>
      </c>
      <c r="Z238" s="99" t="s">
        <v>3051</v>
      </c>
      <c r="AC238" s="98" t="s">
        <v>2792</v>
      </c>
    </row>
    <row r="239" spans="1:29" x14ac:dyDescent="0.4">
      <c r="A239" s="102" t="s">
        <v>531</v>
      </c>
      <c r="B239" s="85" t="s">
        <v>2761</v>
      </c>
      <c r="C239" s="84" t="s">
        <v>1184</v>
      </c>
      <c r="E239" s="145"/>
      <c r="H239" s="86">
        <v>1</v>
      </c>
      <c r="I239" s="106" t="s">
        <v>4027</v>
      </c>
      <c r="J239" s="86">
        <v>125</v>
      </c>
      <c r="L239" s="100">
        <v>3500</v>
      </c>
      <c r="M239" s="100">
        <v>3600</v>
      </c>
      <c r="N239" s="136">
        <f t="shared" si="11"/>
        <v>12.6</v>
      </c>
      <c r="P239" s="90" t="s">
        <v>1132</v>
      </c>
      <c r="Q239" s="86" t="s">
        <v>3053</v>
      </c>
      <c r="R239" s="86"/>
      <c r="S239" s="86" t="s">
        <v>2768</v>
      </c>
      <c r="T239" s="91">
        <v>0.75</v>
      </c>
      <c r="U239" s="92">
        <v>10</v>
      </c>
      <c r="V239" s="93">
        <v>1</v>
      </c>
      <c r="W239" s="94" t="s">
        <v>3050</v>
      </c>
      <c r="Z239" s="99" t="s">
        <v>3051</v>
      </c>
      <c r="AB239" s="86" t="s">
        <v>2769</v>
      </c>
      <c r="AC239" s="98" t="s">
        <v>2029</v>
      </c>
    </row>
    <row r="240" spans="1:29" x14ac:dyDescent="0.4">
      <c r="A240" s="102" t="s">
        <v>404</v>
      </c>
      <c r="B240" s="85" t="s">
        <v>2732</v>
      </c>
      <c r="C240" s="84" t="s">
        <v>2244</v>
      </c>
      <c r="E240" s="145"/>
      <c r="I240" s="106" t="s">
        <v>4027</v>
      </c>
      <c r="J240" s="86">
        <v>125</v>
      </c>
      <c r="L240" s="100">
        <v>2500</v>
      </c>
      <c r="M240" s="100">
        <v>3150</v>
      </c>
      <c r="N240" s="136">
        <f t="shared" si="11"/>
        <v>7.875</v>
      </c>
      <c r="P240" s="90" t="s">
        <v>1132</v>
      </c>
      <c r="Q240" s="86" t="s">
        <v>3053</v>
      </c>
      <c r="R240" s="86"/>
      <c r="S240" s="86" t="s">
        <v>2766</v>
      </c>
      <c r="T240" s="91">
        <v>0.75</v>
      </c>
      <c r="U240" s="92">
        <v>10</v>
      </c>
      <c r="V240" s="93">
        <v>1</v>
      </c>
      <c r="Z240" s="99" t="s">
        <v>3051</v>
      </c>
      <c r="AB240" s="86" t="s">
        <v>2769</v>
      </c>
      <c r="AC240" s="98" t="s">
        <v>2973</v>
      </c>
    </row>
    <row r="241" spans="1:29" x14ac:dyDescent="0.4">
      <c r="A241" s="102" t="s">
        <v>1148</v>
      </c>
      <c r="B241" s="85" t="s">
        <v>2704</v>
      </c>
      <c r="C241" s="84" t="s">
        <v>2577</v>
      </c>
      <c r="E241" s="145"/>
      <c r="I241" s="106" t="s">
        <v>4027</v>
      </c>
      <c r="J241" s="86">
        <v>125</v>
      </c>
      <c r="L241" s="100">
        <v>2400</v>
      </c>
      <c r="M241" s="100">
        <v>4500</v>
      </c>
      <c r="N241" s="136">
        <f t="shared" si="11"/>
        <v>10.8</v>
      </c>
      <c r="R241" s="86" t="s">
        <v>3078</v>
      </c>
      <c r="S241" s="86" t="s">
        <v>2768</v>
      </c>
      <c r="T241" s="91">
        <v>0.75</v>
      </c>
      <c r="V241" s="93">
        <v>1</v>
      </c>
      <c r="W241" s="94" t="s">
        <v>3049</v>
      </c>
      <c r="AA241" s="111" t="s">
        <v>3052</v>
      </c>
      <c r="AB241" s="86" t="s">
        <v>2769</v>
      </c>
      <c r="AC241" s="98" t="s">
        <v>3280</v>
      </c>
    </row>
    <row r="242" spans="1:29" x14ac:dyDescent="0.4">
      <c r="A242" s="102" t="s">
        <v>466</v>
      </c>
      <c r="B242" s="85" t="s">
        <v>831</v>
      </c>
      <c r="C242" s="84" t="s">
        <v>2865</v>
      </c>
      <c r="E242" s="145"/>
      <c r="I242" s="106" t="s">
        <v>4027</v>
      </c>
      <c r="J242" s="86">
        <v>125</v>
      </c>
      <c r="L242" s="100">
        <v>2600</v>
      </c>
      <c r="M242" s="100">
        <v>3150</v>
      </c>
      <c r="N242" s="136">
        <f t="shared" si="11"/>
        <v>8.19</v>
      </c>
      <c r="P242" s="90" t="s">
        <v>1132</v>
      </c>
      <c r="Q242" s="86" t="s">
        <v>3063</v>
      </c>
      <c r="R242" s="86" t="s">
        <v>3054</v>
      </c>
      <c r="S242" s="86" t="s">
        <v>2768</v>
      </c>
      <c r="T242" s="91">
        <v>0.75</v>
      </c>
      <c r="U242" s="92">
        <v>10</v>
      </c>
      <c r="V242" s="93">
        <v>1</v>
      </c>
      <c r="AB242" s="86" t="s">
        <v>2769</v>
      </c>
      <c r="AC242" s="98" t="s">
        <v>2137</v>
      </c>
    </row>
    <row r="243" spans="1:29" x14ac:dyDescent="0.4">
      <c r="A243" s="102" t="s">
        <v>467</v>
      </c>
      <c r="B243" s="85" t="s">
        <v>831</v>
      </c>
      <c r="C243" s="84" t="s">
        <v>2866</v>
      </c>
      <c r="E243" s="145"/>
      <c r="I243" s="106" t="s">
        <v>4027</v>
      </c>
      <c r="J243" s="86">
        <v>125</v>
      </c>
      <c r="L243" s="100">
        <v>4000</v>
      </c>
      <c r="M243" s="100">
        <v>4150</v>
      </c>
      <c r="N243" s="136">
        <f t="shared" si="11"/>
        <v>16.600000000000001</v>
      </c>
      <c r="P243" s="90" t="s">
        <v>1132</v>
      </c>
      <c r="Q243" s="86" t="s">
        <v>3063</v>
      </c>
      <c r="R243" s="86" t="s">
        <v>3054</v>
      </c>
      <c r="S243" s="86" t="s">
        <v>2768</v>
      </c>
      <c r="T243" s="91">
        <v>0.75</v>
      </c>
      <c r="U243" s="92">
        <v>10</v>
      </c>
      <c r="V243" s="93">
        <v>1</v>
      </c>
      <c r="AB243" s="86" t="s">
        <v>2769</v>
      </c>
      <c r="AC243" s="98" t="s">
        <v>2864</v>
      </c>
    </row>
    <row r="244" spans="1:29" x14ac:dyDescent="0.4">
      <c r="A244" s="102" t="s">
        <v>338</v>
      </c>
      <c r="B244" s="85" t="s">
        <v>768</v>
      </c>
      <c r="C244" s="84" t="s">
        <v>3178</v>
      </c>
      <c r="E244" s="145"/>
      <c r="H244" s="86">
        <v>2</v>
      </c>
      <c r="I244" s="106" t="s">
        <v>4027</v>
      </c>
      <c r="J244" s="86">
        <v>125</v>
      </c>
      <c r="L244" s="100">
        <v>4500</v>
      </c>
      <c r="M244" s="100">
        <v>4650</v>
      </c>
      <c r="N244" s="136">
        <f t="shared" si="11"/>
        <v>20.925000000000001</v>
      </c>
      <c r="P244" s="63" t="s">
        <v>3177</v>
      </c>
      <c r="Q244" s="86" t="s">
        <v>3053</v>
      </c>
      <c r="R244" s="86"/>
      <c r="S244" s="86" t="s">
        <v>2768</v>
      </c>
      <c r="T244" s="91">
        <v>1.5</v>
      </c>
      <c r="U244" s="92">
        <v>15</v>
      </c>
      <c r="AA244" s="99" t="s">
        <v>3052</v>
      </c>
      <c r="AB244" s="86" t="s">
        <v>2769</v>
      </c>
      <c r="AC244" s="98" t="s">
        <v>3179</v>
      </c>
    </row>
    <row r="245" spans="1:29" x14ac:dyDescent="0.4">
      <c r="A245" s="102" t="s">
        <v>322</v>
      </c>
      <c r="B245" s="85" t="s">
        <v>2713</v>
      </c>
      <c r="C245" s="84" t="s">
        <v>2661</v>
      </c>
      <c r="E245" s="145"/>
      <c r="I245" s="106" t="s">
        <v>4027</v>
      </c>
      <c r="J245" s="86">
        <v>125</v>
      </c>
      <c r="L245" s="100">
        <v>2400</v>
      </c>
      <c r="M245" s="100">
        <v>3200</v>
      </c>
      <c r="N245" s="136">
        <f t="shared" si="11"/>
        <v>7.68</v>
      </c>
      <c r="P245" s="90" t="s">
        <v>1132</v>
      </c>
      <c r="Q245" s="86" t="s">
        <v>3054</v>
      </c>
      <c r="R245" s="86"/>
      <c r="S245" s="86" t="s">
        <v>2766</v>
      </c>
      <c r="T245" s="91">
        <v>0.75</v>
      </c>
      <c r="V245" s="93">
        <v>0.5</v>
      </c>
      <c r="AA245" s="99" t="s">
        <v>3052</v>
      </c>
      <c r="AB245" s="86" t="s">
        <v>2769</v>
      </c>
      <c r="AC245" s="98" t="s">
        <v>2660</v>
      </c>
    </row>
    <row r="246" spans="1:29" x14ac:dyDescent="0.4">
      <c r="A246" s="102" t="s">
        <v>416</v>
      </c>
      <c r="B246" s="85" t="s">
        <v>2734</v>
      </c>
      <c r="C246" s="84" t="s">
        <v>2225</v>
      </c>
      <c r="E246" s="145"/>
      <c r="I246" s="106" t="s">
        <v>4027</v>
      </c>
      <c r="J246" s="86">
        <v>125</v>
      </c>
      <c r="L246" s="100">
        <v>3000</v>
      </c>
      <c r="M246" s="100">
        <v>4500</v>
      </c>
      <c r="N246" s="136">
        <f t="shared" si="11"/>
        <v>13.5</v>
      </c>
      <c r="P246" s="90" t="s">
        <v>1132</v>
      </c>
      <c r="Q246" s="86" t="s">
        <v>3053</v>
      </c>
      <c r="R246" s="86"/>
      <c r="S246" s="86" t="s">
        <v>2768</v>
      </c>
      <c r="T246" s="91">
        <v>0.75</v>
      </c>
      <c r="U246" s="92">
        <v>15</v>
      </c>
      <c r="V246" s="93">
        <v>1</v>
      </c>
      <c r="AB246" s="86" t="s">
        <v>2769</v>
      </c>
      <c r="AC246" s="98" t="s">
        <v>2954</v>
      </c>
    </row>
    <row r="247" spans="1:29" x14ac:dyDescent="0.4">
      <c r="A247" s="102" t="s">
        <v>402</v>
      </c>
      <c r="B247" s="85" t="s">
        <v>801</v>
      </c>
      <c r="C247" s="84" t="s">
        <v>2248</v>
      </c>
      <c r="E247" s="145"/>
      <c r="I247" s="106" t="s">
        <v>4027</v>
      </c>
      <c r="J247" s="86">
        <v>125</v>
      </c>
      <c r="L247" s="100">
        <v>3100</v>
      </c>
      <c r="M247" s="100">
        <v>3150</v>
      </c>
      <c r="N247" s="136">
        <f t="shared" si="11"/>
        <v>9.7650000000000006</v>
      </c>
      <c r="P247" s="90" t="s">
        <v>1132</v>
      </c>
      <c r="R247" s="86"/>
      <c r="S247" s="86" t="s">
        <v>2768</v>
      </c>
      <c r="T247" s="91">
        <v>0.75</v>
      </c>
      <c r="U247" s="92">
        <v>10</v>
      </c>
      <c r="V247" s="93">
        <v>1</v>
      </c>
      <c r="AB247" s="86" t="s">
        <v>2769</v>
      </c>
      <c r="AC247" s="98" t="s">
        <v>2975</v>
      </c>
    </row>
    <row r="248" spans="1:29" x14ac:dyDescent="0.4">
      <c r="A248" s="102" t="s">
        <v>1330</v>
      </c>
      <c r="B248" s="85" t="s">
        <v>1331</v>
      </c>
      <c r="C248" s="84" t="s">
        <v>1332</v>
      </c>
      <c r="E248" s="145"/>
      <c r="I248" s="106" t="s">
        <v>3001</v>
      </c>
      <c r="R248" s="86"/>
      <c r="AC248" s="98" t="s">
        <v>1333</v>
      </c>
    </row>
    <row r="249" spans="1:29" x14ac:dyDescent="0.4">
      <c r="A249" s="102" t="s">
        <v>1341</v>
      </c>
      <c r="B249" s="85" t="s">
        <v>1342</v>
      </c>
      <c r="C249" s="84" t="s">
        <v>2665</v>
      </c>
      <c r="E249" s="145"/>
      <c r="I249" s="106"/>
      <c r="R249" s="86"/>
    </row>
    <row r="250" spans="1:29" x14ac:dyDescent="0.4">
      <c r="A250" s="102" t="s">
        <v>186</v>
      </c>
      <c r="B250" s="85" t="s">
        <v>1891</v>
      </c>
      <c r="C250" s="84" t="s">
        <v>3462</v>
      </c>
      <c r="D250" s="143" t="s">
        <v>4297</v>
      </c>
      <c r="E250" s="145"/>
      <c r="I250" s="106" t="s">
        <v>4027</v>
      </c>
      <c r="J250" s="86">
        <v>100</v>
      </c>
      <c r="L250" s="100">
        <v>3000</v>
      </c>
      <c r="M250" s="100">
        <v>3950</v>
      </c>
      <c r="N250" s="136">
        <f t="shared" ref="N250:N257" si="12">L250*M250/1000000</f>
        <v>11.85</v>
      </c>
      <c r="P250" s="63" t="s">
        <v>3177</v>
      </c>
      <c r="Q250" s="86" t="s">
        <v>3062</v>
      </c>
      <c r="R250" s="86"/>
      <c r="S250" s="86" t="s">
        <v>2768</v>
      </c>
      <c r="T250" s="91">
        <v>0.75</v>
      </c>
      <c r="Z250" s="87" t="s">
        <v>3051</v>
      </c>
      <c r="AB250" s="86" t="s">
        <v>2769</v>
      </c>
      <c r="AC250" s="98" t="s">
        <v>3985</v>
      </c>
    </row>
    <row r="251" spans="1:29" x14ac:dyDescent="0.4">
      <c r="A251" s="102" t="s">
        <v>3681</v>
      </c>
      <c r="B251" s="85" t="s">
        <v>677</v>
      </c>
      <c r="C251" s="84" t="s">
        <v>3462</v>
      </c>
      <c r="D251" s="143" t="s">
        <v>4297</v>
      </c>
      <c r="E251" s="145"/>
      <c r="I251" s="106" t="s">
        <v>4027</v>
      </c>
      <c r="J251" s="86">
        <v>100</v>
      </c>
      <c r="L251" s="100">
        <v>3000</v>
      </c>
      <c r="M251" s="100">
        <v>3950</v>
      </c>
      <c r="N251" s="136">
        <f t="shared" si="12"/>
        <v>11.85</v>
      </c>
      <c r="P251" s="63" t="s">
        <v>3177</v>
      </c>
      <c r="Q251" s="86" t="s">
        <v>3062</v>
      </c>
      <c r="R251" s="86" t="s">
        <v>3077</v>
      </c>
      <c r="S251" s="86" t="s">
        <v>2768</v>
      </c>
      <c r="T251" s="91">
        <v>0.75</v>
      </c>
      <c r="Z251" s="87" t="s">
        <v>3051</v>
      </c>
      <c r="AB251" s="86" t="s">
        <v>2769</v>
      </c>
      <c r="AC251" s="98" t="s">
        <v>3556</v>
      </c>
    </row>
    <row r="252" spans="1:29" x14ac:dyDescent="0.4">
      <c r="A252" s="102" t="s">
        <v>3682</v>
      </c>
      <c r="B252" s="85" t="s">
        <v>677</v>
      </c>
      <c r="C252" s="84" t="s">
        <v>3462</v>
      </c>
      <c r="D252" s="143" t="s">
        <v>4297</v>
      </c>
      <c r="E252" s="145"/>
      <c r="I252" s="106" t="s">
        <v>4027</v>
      </c>
      <c r="J252" s="86">
        <v>125</v>
      </c>
      <c r="L252" s="100">
        <v>3820</v>
      </c>
      <c r="M252" s="100">
        <v>5000</v>
      </c>
      <c r="N252" s="136">
        <f t="shared" si="12"/>
        <v>19.100000000000001</v>
      </c>
      <c r="P252" s="90" t="s">
        <v>1132</v>
      </c>
      <c r="Q252" s="86" t="s">
        <v>3062</v>
      </c>
      <c r="R252" s="86"/>
      <c r="T252" s="91">
        <v>1.5</v>
      </c>
      <c r="V252" s="93">
        <v>4</v>
      </c>
      <c r="Z252" s="87" t="s">
        <v>3051</v>
      </c>
      <c r="AB252" s="86" t="s">
        <v>2769</v>
      </c>
      <c r="AC252" s="98" t="s">
        <v>3683</v>
      </c>
    </row>
    <row r="253" spans="1:29" x14ac:dyDescent="0.4">
      <c r="A253" s="102" t="s">
        <v>169</v>
      </c>
      <c r="B253" s="85" t="s">
        <v>649</v>
      </c>
      <c r="C253" s="84" t="s">
        <v>4378</v>
      </c>
      <c r="D253" s="143" t="s">
        <v>4297</v>
      </c>
      <c r="E253" s="145" t="s">
        <v>4379</v>
      </c>
      <c r="I253" s="106" t="s">
        <v>4027</v>
      </c>
      <c r="J253" s="86">
        <v>100</v>
      </c>
      <c r="L253" s="100">
        <v>1550</v>
      </c>
      <c r="M253" s="100">
        <v>3300</v>
      </c>
      <c r="N253" s="136">
        <f t="shared" si="12"/>
        <v>5.1150000000000002</v>
      </c>
      <c r="Q253" s="86" t="s">
        <v>3069</v>
      </c>
      <c r="R253" s="86"/>
      <c r="S253" s="86" t="s">
        <v>2768</v>
      </c>
      <c r="T253" s="91">
        <v>0.75</v>
      </c>
      <c r="V253" s="93">
        <v>4</v>
      </c>
      <c r="Z253" s="87" t="s">
        <v>3051</v>
      </c>
      <c r="AB253" s="86" t="s">
        <v>2769</v>
      </c>
      <c r="AC253" s="98" t="s">
        <v>3486</v>
      </c>
    </row>
    <row r="254" spans="1:29" x14ac:dyDescent="0.4">
      <c r="A254" s="83" t="s">
        <v>4001</v>
      </c>
      <c r="B254" s="85" t="s">
        <v>4002</v>
      </c>
      <c r="C254" s="84" t="s">
        <v>4003</v>
      </c>
      <c r="D254" s="143" t="s">
        <v>4297</v>
      </c>
      <c r="E254" s="145"/>
      <c r="H254" s="86">
        <v>1</v>
      </c>
      <c r="I254" s="106" t="s">
        <v>4027</v>
      </c>
      <c r="J254" s="86">
        <v>150</v>
      </c>
      <c r="L254" s="100">
        <v>4500</v>
      </c>
      <c r="M254" s="89">
        <v>4650</v>
      </c>
      <c r="N254" s="136">
        <f t="shared" si="12"/>
        <v>20.925000000000001</v>
      </c>
      <c r="P254" s="90" t="s">
        <v>1132</v>
      </c>
      <c r="Q254" s="86" t="s">
        <v>3053</v>
      </c>
      <c r="R254" s="86" t="s">
        <v>3054</v>
      </c>
      <c r="S254" s="86" t="s">
        <v>2766</v>
      </c>
      <c r="T254" s="91">
        <v>1.5</v>
      </c>
      <c r="U254" s="92">
        <v>15</v>
      </c>
      <c r="V254" s="93">
        <v>1.5</v>
      </c>
      <c r="W254" s="94" t="s">
        <v>3049</v>
      </c>
      <c r="X254" s="86" t="s">
        <v>4038</v>
      </c>
      <c r="Z254" s="99" t="s">
        <v>3051</v>
      </c>
      <c r="AB254" s="86" t="s">
        <v>2769</v>
      </c>
    </row>
    <row r="255" spans="1:29" x14ac:dyDescent="0.4">
      <c r="A255" s="102" t="s">
        <v>306</v>
      </c>
      <c r="B255" s="85" t="s">
        <v>2702</v>
      </c>
      <c r="C255" s="84" t="s">
        <v>2570</v>
      </c>
      <c r="E255" s="145"/>
      <c r="I255" s="106" t="s">
        <v>4027</v>
      </c>
      <c r="J255" s="86">
        <v>100</v>
      </c>
      <c r="L255" s="100">
        <v>3000</v>
      </c>
      <c r="M255" s="100">
        <v>3825</v>
      </c>
      <c r="N255" s="136">
        <f t="shared" si="12"/>
        <v>11.475</v>
      </c>
      <c r="P255" s="63" t="s">
        <v>3177</v>
      </c>
      <c r="Q255" s="86" t="s">
        <v>3053</v>
      </c>
      <c r="R255" s="86" t="s">
        <v>3078</v>
      </c>
      <c r="T255" s="91">
        <v>0.75</v>
      </c>
      <c r="V255" s="93">
        <v>1</v>
      </c>
      <c r="Z255" s="87" t="s">
        <v>3051</v>
      </c>
      <c r="AC255" s="98" t="s">
        <v>3955</v>
      </c>
    </row>
    <row r="256" spans="1:29" x14ac:dyDescent="0.4">
      <c r="A256" s="102" t="s">
        <v>93</v>
      </c>
      <c r="B256" s="85" t="s">
        <v>617</v>
      </c>
      <c r="C256" s="84" t="s">
        <v>1641</v>
      </c>
      <c r="E256" s="145"/>
      <c r="I256" s="106" t="s">
        <v>4027</v>
      </c>
      <c r="L256" s="100">
        <v>1900</v>
      </c>
      <c r="M256" s="100">
        <v>2500</v>
      </c>
      <c r="N256" s="136">
        <f t="shared" si="12"/>
        <v>4.75</v>
      </c>
      <c r="Q256" s="86" t="s">
        <v>3069</v>
      </c>
      <c r="R256" s="86" t="s">
        <v>3054</v>
      </c>
      <c r="S256" s="86" t="s">
        <v>2766</v>
      </c>
      <c r="AC256" s="98" t="s">
        <v>3586</v>
      </c>
    </row>
    <row r="257" spans="1:29" x14ac:dyDescent="0.4">
      <c r="A257" s="102" t="s">
        <v>122</v>
      </c>
      <c r="B257" s="85" t="s">
        <v>1739</v>
      </c>
      <c r="C257" s="84" t="s">
        <v>4014</v>
      </c>
      <c r="E257" s="145"/>
      <c r="I257" s="106" t="s">
        <v>4027</v>
      </c>
      <c r="L257" s="100">
        <v>2450</v>
      </c>
      <c r="M257" s="100">
        <v>2600</v>
      </c>
      <c r="N257" s="136">
        <f t="shared" si="12"/>
        <v>6.37</v>
      </c>
      <c r="Q257" s="86" t="s">
        <v>3069</v>
      </c>
      <c r="R257" s="86"/>
      <c r="S257" s="86" t="s">
        <v>2768</v>
      </c>
      <c r="AC257" s="98" t="s">
        <v>3319</v>
      </c>
    </row>
    <row r="258" spans="1:29" x14ac:dyDescent="0.4">
      <c r="A258" s="102" t="s">
        <v>73</v>
      </c>
      <c r="B258" s="85" t="s">
        <v>1474</v>
      </c>
      <c r="C258" s="84" t="s">
        <v>1256</v>
      </c>
      <c r="E258" s="145"/>
      <c r="I258" s="106" t="s">
        <v>3001</v>
      </c>
      <c r="R258" s="86"/>
      <c r="AC258" s="98" t="s">
        <v>1475</v>
      </c>
    </row>
    <row r="259" spans="1:29" x14ac:dyDescent="0.4">
      <c r="A259" s="102" t="s">
        <v>1229</v>
      </c>
      <c r="B259" s="85" t="s">
        <v>1230</v>
      </c>
      <c r="C259" s="84" t="s">
        <v>1257</v>
      </c>
      <c r="E259" s="145"/>
      <c r="I259" s="106" t="s">
        <v>1133</v>
      </c>
      <c r="L259" s="100">
        <v>4800</v>
      </c>
      <c r="M259" s="100">
        <v>5200</v>
      </c>
      <c r="N259" s="136">
        <f>L259*M259/1000000</f>
        <v>24.96</v>
      </c>
      <c r="R259" s="86"/>
      <c r="S259" s="86" t="s">
        <v>2768</v>
      </c>
      <c r="AC259" s="98" t="s">
        <v>1258</v>
      </c>
    </row>
    <row r="260" spans="1:29" x14ac:dyDescent="0.4">
      <c r="A260" s="102" t="s">
        <v>48</v>
      </c>
      <c r="B260" s="85" t="s">
        <v>1418</v>
      </c>
      <c r="C260" s="84" t="s">
        <v>1414</v>
      </c>
      <c r="E260" s="145"/>
      <c r="H260" s="86">
        <v>2</v>
      </c>
      <c r="I260" s="106" t="s">
        <v>1133</v>
      </c>
      <c r="L260" s="100">
        <v>3600</v>
      </c>
      <c r="M260" s="100">
        <v>4600</v>
      </c>
      <c r="N260" s="136">
        <f>L260*M260/1000000</f>
        <v>16.559999999999999</v>
      </c>
      <c r="R260" s="86"/>
      <c r="AC260" s="98" t="s">
        <v>1415</v>
      </c>
    </row>
    <row r="261" spans="1:29" x14ac:dyDescent="0.4">
      <c r="A261" s="102" t="s">
        <v>29</v>
      </c>
      <c r="B261" s="85" t="s">
        <v>1267</v>
      </c>
      <c r="C261" s="84" t="s">
        <v>3870</v>
      </c>
      <c r="E261" s="145"/>
      <c r="I261" s="106" t="s">
        <v>1133</v>
      </c>
      <c r="L261" s="100">
        <v>4500</v>
      </c>
      <c r="M261" s="100">
        <v>3800</v>
      </c>
      <c r="N261" s="136">
        <f>L261*M261/1000000</f>
        <v>17.100000000000001</v>
      </c>
      <c r="R261" s="86"/>
      <c r="S261" s="86" t="s">
        <v>2766</v>
      </c>
      <c r="AC261" s="98" t="s">
        <v>2669</v>
      </c>
    </row>
    <row r="262" spans="1:29" x14ac:dyDescent="0.4">
      <c r="A262" s="102" t="s">
        <v>28</v>
      </c>
      <c r="B262" s="85" t="s">
        <v>579</v>
      </c>
      <c r="C262" s="84" t="s">
        <v>3871</v>
      </c>
      <c r="E262" s="145"/>
      <c r="I262" s="106" t="s">
        <v>3001</v>
      </c>
      <c r="R262" s="86"/>
      <c r="AC262" s="98" t="s">
        <v>3872</v>
      </c>
    </row>
    <row r="263" spans="1:29" x14ac:dyDescent="0.4">
      <c r="A263" s="102" t="s">
        <v>47</v>
      </c>
      <c r="B263" s="85" t="s">
        <v>1418</v>
      </c>
      <c r="C263" s="84" t="s">
        <v>1412</v>
      </c>
      <c r="E263" s="145"/>
      <c r="H263" s="86">
        <v>2</v>
      </c>
      <c r="I263" s="106" t="s">
        <v>2998</v>
      </c>
      <c r="R263" s="86"/>
      <c r="AC263" s="98" t="s">
        <v>1413</v>
      </c>
    </row>
    <row r="264" spans="1:29" x14ac:dyDescent="0.4">
      <c r="A264" s="102" t="s">
        <v>223</v>
      </c>
      <c r="B264" s="85" t="s">
        <v>678</v>
      </c>
      <c r="C264" s="84" t="s">
        <v>3145</v>
      </c>
      <c r="D264" s="143" t="s">
        <v>4380</v>
      </c>
      <c r="E264" s="145" t="s">
        <v>4381</v>
      </c>
      <c r="I264" s="106" t="s">
        <v>4027</v>
      </c>
      <c r="J264" s="86">
        <v>100</v>
      </c>
      <c r="L264" s="100">
        <v>3000</v>
      </c>
      <c r="M264" s="100">
        <v>3000</v>
      </c>
      <c r="N264" s="136">
        <f>L264*M264/1000000</f>
        <v>9</v>
      </c>
      <c r="P264" s="90" t="s">
        <v>1132</v>
      </c>
      <c r="Q264" s="86" t="s">
        <v>3066</v>
      </c>
      <c r="R264" s="86"/>
      <c r="S264" s="86" t="s">
        <v>2768</v>
      </c>
      <c r="Z264" s="87" t="s">
        <v>3051</v>
      </c>
      <c r="AC264" s="98" t="s">
        <v>3965</v>
      </c>
    </row>
    <row r="265" spans="1:29" x14ac:dyDescent="0.4">
      <c r="A265" s="102" t="s">
        <v>231</v>
      </c>
      <c r="B265" s="85" t="s">
        <v>2689</v>
      </c>
      <c r="C265" s="84" t="s">
        <v>3145</v>
      </c>
      <c r="D265" s="143" t="s">
        <v>4380</v>
      </c>
      <c r="E265" s="145" t="s">
        <v>4381</v>
      </c>
      <c r="I265" s="106" t="s">
        <v>4027</v>
      </c>
      <c r="J265" s="86">
        <v>100</v>
      </c>
      <c r="L265" s="100">
        <v>2700</v>
      </c>
      <c r="M265" s="100">
        <v>3350</v>
      </c>
      <c r="N265" s="136">
        <f>L265*M265/1000000</f>
        <v>9.0449999999999999</v>
      </c>
      <c r="P265" s="90" t="s">
        <v>1132</v>
      </c>
      <c r="Q265" s="86" t="s">
        <v>3066</v>
      </c>
      <c r="R265" s="86"/>
      <c r="AB265" s="86" t="s">
        <v>3047</v>
      </c>
      <c r="AC265" s="98" t="s">
        <v>3476</v>
      </c>
    </row>
    <row r="266" spans="1:29" x14ac:dyDescent="0.4">
      <c r="A266" s="102" t="s">
        <v>3431</v>
      </c>
      <c r="B266" s="85" t="s">
        <v>701</v>
      </c>
      <c r="C266" s="84" t="s">
        <v>3145</v>
      </c>
      <c r="D266" s="143" t="s">
        <v>4380</v>
      </c>
      <c r="E266" s="145" t="s">
        <v>4381</v>
      </c>
      <c r="I266" s="106" t="s">
        <v>2998</v>
      </c>
      <c r="J266" s="86">
        <v>100</v>
      </c>
      <c r="L266" s="100">
        <v>2400</v>
      </c>
      <c r="M266" s="100">
        <v>3175</v>
      </c>
      <c r="N266" s="136">
        <f>L266*M266/1000000</f>
        <v>7.62</v>
      </c>
      <c r="R266" s="86"/>
      <c r="AC266" s="98" t="s">
        <v>3433</v>
      </c>
    </row>
    <row r="267" spans="1:29" x14ac:dyDescent="0.4">
      <c r="A267" s="102" t="s">
        <v>3432</v>
      </c>
      <c r="B267" s="85" t="s">
        <v>701</v>
      </c>
      <c r="C267" s="84" t="s">
        <v>3145</v>
      </c>
      <c r="D267" s="143" t="s">
        <v>4380</v>
      </c>
      <c r="E267" s="145" t="s">
        <v>4381</v>
      </c>
      <c r="H267" s="86">
        <v>2</v>
      </c>
      <c r="I267" s="106" t="s">
        <v>2998</v>
      </c>
      <c r="J267" s="86">
        <v>100</v>
      </c>
      <c r="L267" s="100">
        <v>2170</v>
      </c>
      <c r="M267" s="100">
        <v>3050</v>
      </c>
      <c r="N267" s="136">
        <f>L267*M267/1000000</f>
        <v>6.6185</v>
      </c>
      <c r="R267" s="86"/>
      <c r="AC267" s="98" t="s">
        <v>3434</v>
      </c>
    </row>
    <row r="268" spans="1:29" x14ac:dyDescent="0.4">
      <c r="A268" s="102" t="s">
        <v>1156</v>
      </c>
      <c r="B268" s="85" t="s">
        <v>734</v>
      </c>
      <c r="C268" s="84" t="s">
        <v>3145</v>
      </c>
      <c r="D268" s="143" t="s">
        <v>4380</v>
      </c>
      <c r="E268" s="145" t="s">
        <v>4381</v>
      </c>
      <c r="I268" s="106" t="s">
        <v>2998</v>
      </c>
      <c r="K268" s="88">
        <v>2930</v>
      </c>
      <c r="O268" s="88">
        <v>4100</v>
      </c>
      <c r="R268" s="86"/>
      <c r="AC268" s="98" t="s">
        <v>2588</v>
      </c>
    </row>
    <row r="269" spans="1:29" x14ac:dyDescent="0.4">
      <c r="A269" s="102" t="s">
        <v>312</v>
      </c>
      <c r="B269" s="85" t="s">
        <v>752</v>
      </c>
      <c r="C269" s="84" t="s">
        <v>3145</v>
      </c>
      <c r="D269" s="143" t="s">
        <v>4380</v>
      </c>
      <c r="E269" s="145" t="s">
        <v>4381</v>
      </c>
      <c r="I269" s="106" t="s">
        <v>1131</v>
      </c>
      <c r="J269" s="86">
        <v>150</v>
      </c>
      <c r="L269" s="100">
        <v>5650</v>
      </c>
      <c r="M269" s="100">
        <v>5400</v>
      </c>
      <c r="N269" s="136">
        <f>L269*M269/1000000</f>
        <v>30.51</v>
      </c>
      <c r="P269" s="90" t="s">
        <v>1132</v>
      </c>
      <c r="Q269" s="86" t="s">
        <v>3053</v>
      </c>
      <c r="R269" s="86"/>
      <c r="S269" s="86" t="s">
        <v>2766</v>
      </c>
      <c r="T269" s="91">
        <v>1.5</v>
      </c>
      <c r="V269" s="93">
        <v>1</v>
      </c>
      <c r="Z269" s="87" t="s">
        <v>3051</v>
      </c>
      <c r="AB269" s="86" t="s">
        <v>2769</v>
      </c>
      <c r="AC269" s="98" t="s">
        <v>3521</v>
      </c>
    </row>
    <row r="270" spans="1:29" x14ac:dyDescent="0.4">
      <c r="A270" s="102" t="s">
        <v>320</v>
      </c>
      <c r="B270" s="85" t="s">
        <v>757</v>
      </c>
      <c r="C270" s="84" t="s">
        <v>3145</v>
      </c>
      <c r="D270" s="143" t="s">
        <v>4380</v>
      </c>
      <c r="E270" s="145" t="s">
        <v>4381</v>
      </c>
      <c r="I270" s="106" t="s">
        <v>4027</v>
      </c>
      <c r="J270" s="86">
        <v>125</v>
      </c>
      <c r="L270" s="100">
        <v>3000</v>
      </c>
      <c r="M270" s="100">
        <v>2500</v>
      </c>
      <c r="N270" s="136">
        <f>L270*M270/1000000</f>
        <v>7.5</v>
      </c>
      <c r="P270" s="90" t="s">
        <v>1132</v>
      </c>
      <c r="Q270" s="86" t="s">
        <v>3193</v>
      </c>
      <c r="R270" s="86"/>
      <c r="S270" s="86" t="s">
        <v>2766</v>
      </c>
      <c r="T270" s="91">
        <v>0.75</v>
      </c>
      <c r="V270" s="93">
        <v>0.5</v>
      </c>
      <c r="Z270" s="87" t="s">
        <v>3051</v>
      </c>
      <c r="AB270" s="86" t="s">
        <v>2769</v>
      </c>
      <c r="AC270" s="98" t="s">
        <v>3192</v>
      </c>
    </row>
    <row r="271" spans="1:29" x14ac:dyDescent="0.4">
      <c r="A271" s="102" t="s">
        <v>329</v>
      </c>
      <c r="B271" s="85" t="s">
        <v>762</v>
      </c>
      <c r="C271" s="84" t="s">
        <v>3145</v>
      </c>
      <c r="D271" s="143" t="s">
        <v>4380</v>
      </c>
      <c r="E271" s="145" t="s">
        <v>4381</v>
      </c>
      <c r="I271" s="106" t="s">
        <v>4027</v>
      </c>
      <c r="J271" s="86">
        <v>125</v>
      </c>
      <c r="L271" s="100">
        <v>3350</v>
      </c>
      <c r="M271" s="100">
        <v>3780</v>
      </c>
      <c r="N271" s="136">
        <f>L271*M271/1000000</f>
        <v>12.663</v>
      </c>
      <c r="P271" s="90" t="s">
        <v>1132</v>
      </c>
      <c r="Q271" s="86" t="s">
        <v>3062</v>
      </c>
      <c r="R271" s="86"/>
      <c r="S271" s="86" t="s">
        <v>2768</v>
      </c>
      <c r="T271" s="91">
        <v>0.75</v>
      </c>
      <c r="V271" s="93">
        <v>1</v>
      </c>
      <c r="Z271" s="87" t="s">
        <v>3051</v>
      </c>
      <c r="AB271" s="86" t="s">
        <v>2769</v>
      </c>
      <c r="AC271" s="98" t="s">
        <v>3190</v>
      </c>
    </row>
    <row r="272" spans="1:29" x14ac:dyDescent="0.4">
      <c r="A272" s="102" t="s">
        <v>354</v>
      </c>
      <c r="B272" s="85" t="s">
        <v>776</v>
      </c>
      <c r="C272" s="84" t="s">
        <v>3145</v>
      </c>
      <c r="D272" s="143" t="s">
        <v>4380</v>
      </c>
      <c r="E272" s="145" t="s">
        <v>4381</v>
      </c>
      <c r="I272" s="106" t="s">
        <v>2765</v>
      </c>
      <c r="J272" s="86">
        <v>125</v>
      </c>
      <c r="L272" s="100">
        <v>2350</v>
      </c>
      <c r="M272" s="100">
        <v>3500</v>
      </c>
      <c r="N272" s="136">
        <f>L272*M272/1000000</f>
        <v>8.2249999999999996</v>
      </c>
      <c r="O272" s="88">
        <v>4600</v>
      </c>
      <c r="P272" s="90" t="s">
        <v>1132</v>
      </c>
      <c r="Q272" s="86" t="s">
        <v>3053</v>
      </c>
      <c r="R272" s="86"/>
      <c r="S272" s="86" t="s">
        <v>2766</v>
      </c>
      <c r="T272" s="91">
        <v>1.5</v>
      </c>
      <c r="U272" s="92">
        <v>15</v>
      </c>
      <c r="AA272" s="99" t="s">
        <v>3052</v>
      </c>
      <c r="AB272" s="86" t="s">
        <v>2769</v>
      </c>
      <c r="AC272" s="98" t="s">
        <v>3021</v>
      </c>
    </row>
    <row r="273" spans="1:29" x14ac:dyDescent="0.4">
      <c r="A273" s="102" t="s">
        <v>1289</v>
      </c>
      <c r="B273" s="85" t="s">
        <v>1291</v>
      </c>
      <c r="C273" s="84" t="s">
        <v>1296</v>
      </c>
      <c r="E273" s="145"/>
      <c r="I273" s="106" t="s">
        <v>1133</v>
      </c>
      <c r="L273" s="100">
        <v>5000</v>
      </c>
      <c r="M273" s="100">
        <v>5000</v>
      </c>
      <c r="N273" s="136">
        <f>L273*M273/1000000</f>
        <v>25</v>
      </c>
      <c r="R273" s="86"/>
      <c r="AC273" s="98" t="s">
        <v>1297</v>
      </c>
    </row>
    <row r="274" spans="1:29" x14ac:dyDescent="0.4">
      <c r="A274" s="102" t="s">
        <v>3705</v>
      </c>
      <c r="B274" s="85" t="s">
        <v>664</v>
      </c>
      <c r="C274" s="84" t="s">
        <v>3704</v>
      </c>
      <c r="E274" s="145"/>
      <c r="I274" s="106" t="s">
        <v>2998</v>
      </c>
      <c r="R274" s="86"/>
      <c r="AC274" s="98" t="s">
        <v>2004</v>
      </c>
    </row>
    <row r="275" spans="1:29" x14ac:dyDescent="0.4">
      <c r="A275" s="102" t="s">
        <v>124</v>
      </c>
      <c r="B275" s="85" t="s">
        <v>631</v>
      </c>
      <c r="C275" s="84" t="s">
        <v>1757</v>
      </c>
      <c r="E275" s="145"/>
      <c r="I275" s="106" t="s">
        <v>3001</v>
      </c>
      <c r="R275" s="86"/>
      <c r="AC275" s="98" t="s">
        <v>1756</v>
      </c>
    </row>
    <row r="276" spans="1:29" x14ac:dyDescent="0.4">
      <c r="A276" s="102" t="s">
        <v>305</v>
      </c>
      <c r="B276" s="85" t="s">
        <v>726</v>
      </c>
      <c r="C276" s="84" t="s">
        <v>2888</v>
      </c>
      <c r="D276" s="143" t="s">
        <v>4295</v>
      </c>
      <c r="E276" s="145"/>
      <c r="I276" s="106" t="s">
        <v>4027</v>
      </c>
      <c r="J276" s="86">
        <v>125</v>
      </c>
      <c r="L276" s="100">
        <v>4450</v>
      </c>
      <c r="M276" s="100">
        <v>3600</v>
      </c>
      <c r="N276" s="136">
        <f t="shared" ref="N276:N309" si="13">L276*M276/1000000</f>
        <v>16.02</v>
      </c>
      <c r="P276" s="90" t="s">
        <v>1132</v>
      </c>
      <c r="Q276" s="86" t="s">
        <v>3053</v>
      </c>
      <c r="R276" s="86" t="s">
        <v>3077</v>
      </c>
      <c r="S276" s="86" t="s">
        <v>2768</v>
      </c>
      <c r="T276" s="91">
        <v>0.75</v>
      </c>
      <c r="Z276" s="87" t="s">
        <v>3051</v>
      </c>
      <c r="AC276" s="98" t="s">
        <v>3282</v>
      </c>
    </row>
    <row r="277" spans="1:29" x14ac:dyDescent="0.4">
      <c r="A277" s="102" t="s">
        <v>505</v>
      </c>
      <c r="B277" s="85" t="s">
        <v>2755</v>
      </c>
      <c r="C277" s="84" t="s">
        <v>2888</v>
      </c>
      <c r="D277" s="143" t="s">
        <v>4295</v>
      </c>
      <c r="E277" s="145"/>
      <c r="I277" s="106" t="s">
        <v>4027</v>
      </c>
      <c r="J277" s="86">
        <v>150</v>
      </c>
      <c r="L277" s="100">
        <v>3680</v>
      </c>
      <c r="M277" s="100">
        <v>4500</v>
      </c>
      <c r="N277" s="136">
        <f t="shared" si="13"/>
        <v>16.559999999999999</v>
      </c>
      <c r="P277" s="90" t="s">
        <v>1132</v>
      </c>
      <c r="Q277" s="86" t="s">
        <v>3053</v>
      </c>
      <c r="R277" s="86"/>
      <c r="S277" s="86" t="s">
        <v>2768</v>
      </c>
      <c r="T277" s="91">
        <v>0.75</v>
      </c>
      <c r="U277" s="92">
        <v>15</v>
      </c>
      <c r="V277" s="93">
        <v>2</v>
      </c>
      <c r="W277" s="86" t="s">
        <v>3050</v>
      </c>
      <c r="AB277" s="86" t="s">
        <v>2769</v>
      </c>
      <c r="AC277" s="98" t="s">
        <v>2798</v>
      </c>
    </row>
    <row r="278" spans="1:29" x14ac:dyDescent="0.4">
      <c r="A278" s="83" t="s">
        <v>4028</v>
      </c>
      <c r="B278" s="64" t="s">
        <v>4029</v>
      </c>
      <c r="C278" s="84" t="s">
        <v>2888</v>
      </c>
      <c r="D278" s="143" t="s">
        <v>4295</v>
      </c>
      <c r="E278" s="145"/>
      <c r="H278" s="86">
        <v>1</v>
      </c>
      <c r="I278" s="106" t="s">
        <v>4027</v>
      </c>
      <c r="J278" s="86">
        <v>125</v>
      </c>
      <c r="L278" s="89">
        <v>1800</v>
      </c>
      <c r="M278" s="89">
        <v>2800</v>
      </c>
      <c r="N278" s="136">
        <f t="shared" si="13"/>
        <v>5.04</v>
      </c>
      <c r="P278" s="90" t="s">
        <v>1132</v>
      </c>
      <c r="Q278" s="86" t="s">
        <v>3053</v>
      </c>
      <c r="R278" s="86" t="s">
        <v>4030</v>
      </c>
      <c r="S278" s="86" t="s">
        <v>2766</v>
      </c>
      <c r="T278" s="91">
        <v>0.75</v>
      </c>
      <c r="U278" s="92">
        <v>10</v>
      </c>
      <c r="V278" s="93">
        <v>1</v>
      </c>
      <c r="W278" s="94" t="s">
        <v>3050</v>
      </c>
      <c r="X278" s="101" t="s">
        <v>4037</v>
      </c>
      <c r="AB278" s="86" t="s">
        <v>2769</v>
      </c>
    </row>
    <row r="279" spans="1:29" x14ac:dyDescent="0.4">
      <c r="A279" s="83" t="s">
        <v>4200</v>
      </c>
      <c r="B279" s="64" t="s">
        <v>4202</v>
      </c>
      <c r="C279" s="84" t="s">
        <v>4203</v>
      </c>
      <c r="D279" s="143" t="s">
        <v>4292</v>
      </c>
      <c r="H279" s="86">
        <v>2</v>
      </c>
      <c r="I279" s="106" t="s">
        <v>4027</v>
      </c>
      <c r="J279" s="86">
        <v>125</v>
      </c>
      <c r="L279" s="89">
        <v>2450</v>
      </c>
      <c r="M279" s="89">
        <v>3100</v>
      </c>
      <c r="N279" s="136">
        <f t="shared" si="13"/>
        <v>7.5949999999999998</v>
      </c>
      <c r="P279" s="63" t="s">
        <v>3177</v>
      </c>
      <c r="Q279" s="86" t="s">
        <v>3053</v>
      </c>
      <c r="R279" s="86" t="s">
        <v>4030</v>
      </c>
      <c r="S279" s="86" t="s">
        <v>2768</v>
      </c>
      <c r="T279" s="91">
        <v>0.75</v>
      </c>
      <c r="U279" s="92">
        <f>IF(T279="NA","-",IF(T279&gt;=1.5,15,IF(T279=0.75,10,"")))</f>
        <v>10</v>
      </c>
      <c r="V279" s="93">
        <v>1</v>
      </c>
      <c r="W279" s="94" t="s">
        <v>4065</v>
      </c>
      <c r="X279" s="86" t="s">
        <v>4037</v>
      </c>
      <c r="AB279" s="86" t="s">
        <v>2769</v>
      </c>
      <c r="AC279" s="98" t="s">
        <v>4204</v>
      </c>
    </row>
    <row r="280" spans="1:29" x14ac:dyDescent="0.4">
      <c r="A280" s="83" t="s">
        <v>4199</v>
      </c>
      <c r="B280" s="64" t="s">
        <v>4202</v>
      </c>
      <c r="C280" s="84" t="s">
        <v>4203</v>
      </c>
      <c r="D280" s="143" t="s">
        <v>4292</v>
      </c>
      <c r="H280" s="86">
        <v>1</v>
      </c>
      <c r="I280" s="106" t="s">
        <v>4027</v>
      </c>
      <c r="J280" s="86">
        <v>125</v>
      </c>
      <c r="L280" s="89">
        <v>2050</v>
      </c>
      <c r="M280" s="89">
        <v>3100</v>
      </c>
      <c r="N280" s="136">
        <f t="shared" si="13"/>
        <v>6.3550000000000004</v>
      </c>
      <c r="P280" s="63" t="s">
        <v>3177</v>
      </c>
      <c r="Q280" s="86" t="s">
        <v>3053</v>
      </c>
      <c r="R280" s="86" t="s">
        <v>4030</v>
      </c>
      <c r="S280" s="86" t="s">
        <v>2768</v>
      </c>
      <c r="T280" s="91">
        <v>0.75</v>
      </c>
      <c r="U280" s="92">
        <f>IF(T280="NA","-",IF(T280&gt;=1.5,15,IF(T280=0.75,10,"")))</f>
        <v>10</v>
      </c>
      <c r="V280" s="93">
        <v>1</v>
      </c>
      <c r="W280" s="94" t="s">
        <v>4065</v>
      </c>
      <c r="X280" s="86" t="s">
        <v>4037</v>
      </c>
      <c r="AB280" s="86" t="s">
        <v>2769</v>
      </c>
      <c r="AC280" s="98" t="s">
        <v>4204</v>
      </c>
    </row>
    <row r="281" spans="1:29" x14ac:dyDescent="0.4">
      <c r="A281" s="83" t="s">
        <v>4201</v>
      </c>
      <c r="B281" s="64" t="s">
        <v>4202</v>
      </c>
      <c r="C281" s="84" t="s">
        <v>4203</v>
      </c>
      <c r="D281" s="143" t="s">
        <v>4292</v>
      </c>
      <c r="H281" s="86">
        <v>1</v>
      </c>
      <c r="I281" s="106" t="s">
        <v>4027</v>
      </c>
      <c r="J281" s="86">
        <v>125</v>
      </c>
      <c r="L281" s="89">
        <v>1850</v>
      </c>
      <c r="M281" s="89">
        <v>2900</v>
      </c>
      <c r="N281" s="136">
        <f t="shared" si="13"/>
        <v>5.3650000000000002</v>
      </c>
      <c r="P281" s="63" t="s">
        <v>3177</v>
      </c>
      <c r="Q281" s="86" t="s">
        <v>3053</v>
      </c>
      <c r="R281" s="86" t="s">
        <v>4030</v>
      </c>
      <c r="S281" s="86" t="s">
        <v>2766</v>
      </c>
      <c r="T281" s="91">
        <v>0.75</v>
      </c>
      <c r="U281" s="92">
        <f>IF(T281="NA","-",IF(T281&gt;=1.5,15,IF(T281=0.75,10,"")))</f>
        <v>10</v>
      </c>
      <c r="V281" s="93">
        <v>1</v>
      </c>
      <c r="W281" s="94" t="s">
        <v>4065</v>
      </c>
      <c r="X281" s="86" t="s">
        <v>4037</v>
      </c>
      <c r="AB281" s="86" t="s">
        <v>2769</v>
      </c>
      <c r="AC281" s="98" t="s">
        <v>4204</v>
      </c>
    </row>
    <row r="282" spans="1:29" x14ac:dyDescent="0.4">
      <c r="A282" s="102" t="s">
        <v>3221</v>
      </c>
      <c r="B282" s="85" t="s">
        <v>746</v>
      </c>
      <c r="C282" s="84" t="s">
        <v>4055</v>
      </c>
      <c r="D282" s="143" t="s">
        <v>4058</v>
      </c>
      <c r="E282" s="145">
        <v>419786921</v>
      </c>
      <c r="F282" s="143" t="s">
        <v>4057</v>
      </c>
      <c r="G282" s="143" t="s">
        <v>4056</v>
      </c>
      <c r="I282" s="106" t="s">
        <v>4027</v>
      </c>
      <c r="J282" s="86">
        <v>125</v>
      </c>
      <c r="L282" s="100">
        <v>2400</v>
      </c>
      <c r="N282" s="136">
        <f t="shared" si="13"/>
        <v>0</v>
      </c>
      <c r="O282" s="88">
        <v>3550</v>
      </c>
      <c r="P282" s="90" t="s">
        <v>1132</v>
      </c>
      <c r="Q282" s="86" t="s">
        <v>3053</v>
      </c>
      <c r="R282" s="86" t="s">
        <v>3077</v>
      </c>
      <c r="S282" s="86" t="s">
        <v>2766</v>
      </c>
      <c r="T282" s="91">
        <v>0.75</v>
      </c>
      <c r="Z282" s="87" t="s">
        <v>3051</v>
      </c>
      <c r="AC282" s="98" t="s">
        <v>3269</v>
      </c>
    </row>
    <row r="283" spans="1:29" x14ac:dyDescent="0.4">
      <c r="A283" s="102" t="s">
        <v>3222</v>
      </c>
      <c r="B283" s="85" t="s">
        <v>746</v>
      </c>
      <c r="C283" s="84" t="s">
        <v>4055</v>
      </c>
      <c r="D283" s="143" t="s">
        <v>4058</v>
      </c>
      <c r="E283" s="145">
        <v>419786920</v>
      </c>
      <c r="F283" s="143" t="s">
        <v>4057</v>
      </c>
      <c r="G283" s="143" t="s">
        <v>4056</v>
      </c>
      <c r="I283" s="106" t="s">
        <v>4027</v>
      </c>
      <c r="J283" s="86">
        <v>125</v>
      </c>
      <c r="L283" s="100">
        <v>3100</v>
      </c>
      <c r="M283" s="100">
        <v>3700</v>
      </c>
      <c r="N283" s="136">
        <f t="shared" si="13"/>
        <v>11.47</v>
      </c>
      <c r="P283" s="90" t="s">
        <v>1132</v>
      </c>
      <c r="Q283" s="86" t="s">
        <v>3053</v>
      </c>
      <c r="R283" s="86" t="s">
        <v>3077</v>
      </c>
      <c r="S283" s="86" t="s">
        <v>2766</v>
      </c>
      <c r="T283" s="91">
        <v>0.75</v>
      </c>
      <c r="Z283" s="87" t="s">
        <v>3051</v>
      </c>
      <c r="AC283" s="98" t="s">
        <v>3270</v>
      </c>
    </row>
    <row r="284" spans="1:29" x14ac:dyDescent="0.4">
      <c r="A284" s="83" t="s">
        <v>4016</v>
      </c>
      <c r="B284" s="64" t="s">
        <v>4017</v>
      </c>
      <c r="C284" s="84" t="s">
        <v>4055</v>
      </c>
      <c r="D284" s="143" t="s">
        <v>4058</v>
      </c>
      <c r="E284" s="145"/>
      <c r="H284" s="86">
        <v>1</v>
      </c>
      <c r="I284" s="106" t="s">
        <v>4027</v>
      </c>
      <c r="J284" s="86">
        <v>125</v>
      </c>
      <c r="L284" s="100">
        <v>3100</v>
      </c>
      <c r="M284" s="100">
        <v>4175</v>
      </c>
      <c r="N284" s="136">
        <f t="shared" si="13"/>
        <v>12.942500000000001</v>
      </c>
      <c r="P284" s="90" t="s">
        <v>1132</v>
      </c>
      <c r="Q284" s="86" t="s">
        <v>3053</v>
      </c>
      <c r="R284" s="86" t="s">
        <v>3054</v>
      </c>
      <c r="S284" s="86" t="s">
        <v>2766</v>
      </c>
      <c r="T284" s="91">
        <v>0.75</v>
      </c>
      <c r="U284" s="92">
        <v>10</v>
      </c>
      <c r="V284" s="93">
        <v>2</v>
      </c>
      <c r="W284" s="94" t="s">
        <v>3050</v>
      </c>
      <c r="Z284" s="99" t="s">
        <v>3051</v>
      </c>
      <c r="AB284" s="86" t="s">
        <v>2769</v>
      </c>
    </row>
    <row r="285" spans="1:29" x14ac:dyDescent="0.4">
      <c r="A285" s="83" t="s">
        <v>4052</v>
      </c>
      <c r="B285" s="64" t="s">
        <v>4054</v>
      </c>
      <c r="C285" s="84" t="s">
        <v>4055</v>
      </c>
      <c r="D285" s="143" t="s">
        <v>4058</v>
      </c>
      <c r="E285" s="145">
        <v>419786922</v>
      </c>
      <c r="F285" s="143" t="s">
        <v>4057</v>
      </c>
      <c r="G285" s="143" t="s">
        <v>4056</v>
      </c>
      <c r="H285" s="86">
        <v>1</v>
      </c>
      <c r="I285" s="106" t="s">
        <v>4027</v>
      </c>
      <c r="J285" s="86">
        <v>125</v>
      </c>
      <c r="L285" s="89">
        <v>2400</v>
      </c>
      <c r="M285" s="89">
        <v>3150</v>
      </c>
      <c r="N285" s="136">
        <f t="shared" si="13"/>
        <v>7.56</v>
      </c>
      <c r="P285" s="90" t="s">
        <v>1132</v>
      </c>
      <c r="Q285" s="86" t="s">
        <v>3053</v>
      </c>
      <c r="R285" s="86" t="s">
        <v>4030</v>
      </c>
      <c r="S285" s="86" t="s">
        <v>2766</v>
      </c>
      <c r="T285" s="91">
        <v>0.75</v>
      </c>
      <c r="U285" s="92">
        <f>IF(T285="NA","-",IF(T285&gt;=1.5,15,IF(T285=0.75,10,"")))</f>
        <v>10</v>
      </c>
      <c r="V285" s="93">
        <v>1</v>
      </c>
      <c r="W285" s="94" t="s">
        <v>4065</v>
      </c>
      <c r="X285" s="86" t="s">
        <v>4037</v>
      </c>
      <c r="AB285" s="86" t="s">
        <v>2769</v>
      </c>
    </row>
    <row r="286" spans="1:29" x14ac:dyDescent="0.4">
      <c r="A286" s="83" t="s">
        <v>4053</v>
      </c>
      <c r="B286" s="64" t="s">
        <v>4054</v>
      </c>
      <c r="C286" s="84" t="s">
        <v>4055</v>
      </c>
      <c r="D286" s="143" t="s">
        <v>4058</v>
      </c>
      <c r="E286" s="145">
        <v>419786922</v>
      </c>
      <c r="F286" s="143" t="s">
        <v>4057</v>
      </c>
      <c r="G286" s="143" t="s">
        <v>4056</v>
      </c>
      <c r="H286" s="86">
        <v>1</v>
      </c>
      <c r="I286" s="106" t="s">
        <v>4027</v>
      </c>
      <c r="J286" s="86">
        <v>125</v>
      </c>
      <c r="L286" s="89">
        <v>3000</v>
      </c>
      <c r="M286" s="89">
        <v>3200</v>
      </c>
      <c r="N286" s="136">
        <f t="shared" si="13"/>
        <v>9.6</v>
      </c>
      <c r="P286" s="90" t="s">
        <v>1132</v>
      </c>
      <c r="Q286" s="86" t="s">
        <v>3053</v>
      </c>
      <c r="R286" s="86" t="s">
        <v>4030</v>
      </c>
      <c r="S286" s="86" t="s">
        <v>2768</v>
      </c>
      <c r="T286" s="91">
        <v>0.75</v>
      </c>
      <c r="U286" s="92">
        <f>IF(T286="NA","-",IF(T286&gt;=1.5,15,IF(T286=0.75,10,"")))</f>
        <v>10</v>
      </c>
      <c r="V286" s="93">
        <v>6</v>
      </c>
      <c r="W286" s="94" t="s">
        <v>4064</v>
      </c>
      <c r="X286" s="86" t="s">
        <v>4037</v>
      </c>
      <c r="AB286" s="86" t="s">
        <v>2769</v>
      </c>
    </row>
    <row r="287" spans="1:29" x14ac:dyDescent="0.4">
      <c r="A287" s="83" t="s">
        <v>4132</v>
      </c>
      <c r="B287" s="64" t="s">
        <v>4133</v>
      </c>
      <c r="C287" s="84" t="s">
        <v>4135</v>
      </c>
      <c r="D287" s="143" t="s">
        <v>4058</v>
      </c>
      <c r="E287" s="145">
        <v>419786922</v>
      </c>
      <c r="F287" s="143" t="s">
        <v>4057</v>
      </c>
      <c r="G287" s="143" t="s">
        <v>4056</v>
      </c>
      <c r="H287" s="86">
        <v>1</v>
      </c>
      <c r="I287" s="106" t="s">
        <v>4027</v>
      </c>
      <c r="J287" s="86">
        <v>125</v>
      </c>
      <c r="L287" s="89">
        <v>3050</v>
      </c>
      <c r="M287" s="89">
        <v>3600</v>
      </c>
      <c r="N287" s="136">
        <f t="shared" si="13"/>
        <v>10.98</v>
      </c>
      <c r="P287" s="90" t="s">
        <v>1132</v>
      </c>
      <c r="Q287" s="86" t="s">
        <v>3053</v>
      </c>
      <c r="R287" s="86" t="s">
        <v>4030</v>
      </c>
      <c r="S287" s="86" t="s">
        <v>2766</v>
      </c>
      <c r="T287" s="91">
        <v>0.75</v>
      </c>
      <c r="U287" s="92">
        <f>IF(T287="NA","-",IF(T287&gt;=1.5,15,IF(T287=0.75,10,"")))</f>
        <v>10</v>
      </c>
      <c r="V287" s="93">
        <v>1</v>
      </c>
      <c r="W287" s="94" t="s">
        <v>4173</v>
      </c>
      <c r="X287" s="86" t="s">
        <v>4037</v>
      </c>
      <c r="AB287" s="86" t="s">
        <v>2769</v>
      </c>
      <c r="AC287" s="98" t="s">
        <v>4136</v>
      </c>
    </row>
    <row r="288" spans="1:29" x14ac:dyDescent="0.4">
      <c r="A288" s="83" t="s">
        <v>4131</v>
      </c>
      <c r="B288" s="64" t="s">
        <v>4133</v>
      </c>
      <c r="C288" s="84" t="s">
        <v>4134</v>
      </c>
      <c r="D288" s="143" t="s">
        <v>4058</v>
      </c>
      <c r="E288" s="145">
        <v>419786922</v>
      </c>
      <c r="F288" s="143" t="s">
        <v>4057</v>
      </c>
      <c r="G288" s="143" t="s">
        <v>4056</v>
      </c>
      <c r="H288" s="86">
        <v>1</v>
      </c>
      <c r="I288" s="106" t="s">
        <v>4027</v>
      </c>
      <c r="J288" s="86">
        <v>125</v>
      </c>
      <c r="L288" s="89">
        <v>3050</v>
      </c>
      <c r="M288" s="89">
        <v>3600</v>
      </c>
      <c r="N288" s="136">
        <f t="shared" si="13"/>
        <v>10.98</v>
      </c>
      <c r="P288" s="90" t="s">
        <v>1132</v>
      </c>
      <c r="Q288" s="86" t="s">
        <v>3053</v>
      </c>
      <c r="R288" s="86" t="s">
        <v>4030</v>
      </c>
      <c r="S288" s="86" t="s">
        <v>2768</v>
      </c>
      <c r="T288" s="91">
        <v>0.75</v>
      </c>
      <c r="U288" s="92">
        <f>IF(T288="NA","-",IF(T288&gt;=1.5,15,IF(T288=0.75,10,"")))</f>
        <v>10</v>
      </c>
      <c r="V288" s="93">
        <v>1</v>
      </c>
      <c r="W288" s="94" t="s">
        <v>4174</v>
      </c>
      <c r="X288" s="86" t="s">
        <v>4037</v>
      </c>
      <c r="AB288" s="86" t="s">
        <v>2769</v>
      </c>
    </row>
    <row r="289" spans="1:29" x14ac:dyDescent="0.4">
      <c r="A289" s="102" t="s">
        <v>1308</v>
      </c>
      <c r="B289" s="85" t="s">
        <v>582</v>
      </c>
      <c r="C289" s="84" t="s">
        <v>4306</v>
      </c>
      <c r="E289" s="145"/>
      <c r="I289" s="106" t="s">
        <v>4027</v>
      </c>
      <c r="L289" s="100">
        <v>2100</v>
      </c>
      <c r="M289" s="100">
        <v>2250</v>
      </c>
      <c r="N289" s="136">
        <f t="shared" si="13"/>
        <v>4.7249999999999996</v>
      </c>
      <c r="R289" s="86"/>
      <c r="S289" s="86" t="s">
        <v>2768</v>
      </c>
      <c r="AC289" s="98" t="s">
        <v>3663</v>
      </c>
    </row>
    <row r="290" spans="1:29" x14ac:dyDescent="0.4">
      <c r="A290" s="102" t="s">
        <v>1309</v>
      </c>
      <c r="B290" s="85" t="s">
        <v>582</v>
      </c>
      <c r="C290" s="84" t="s">
        <v>4306</v>
      </c>
      <c r="E290" s="145"/>
      <c r="I290" s="106" t="s">
        <v>4027</v>
      </c>
      <c r="L290" s="100">
        <v>2450</v>
      </c>
      <c r="M290" s="100">
        <v>2250</v>
      </c>
      <c r="N290" s="136">
        <f t="shared" si="13"/>
        <v>5.5125000000000002</v>
      </c>
      <c r="R290" s="86"/>
      <c r="S290" s="86" t="s">
        <v>2768</v>
      </c>
      <c r="AC290" s="98" t="s">
        <v>3662</v>
      </c>
    </row>
    <row r="291" spans="1:29" x14ac:dyDescent="0.4">
      <c r="A291" s="102" t="s">
        <v>1335</v>
      </c>
      <c r="B291" s="85" t="s">
        <v>1334</v>
      </c>
      <c r="C291" s="84" t="s">
        <v>4306</v>
      </c>
      <c r="E291" s="145"/>
      <c r="H291" s="86">
        <v>2</v>
      </c>
      <c r="I291" s="106" t="s">
        <v>4027</v>
      </c>
      <c r="L291" s="100">
        <v>1700</v>
      </c>
      <c r="M291" s="100">
        <v>2200</v>
      </c>
      <c r="N291" s="136">
        <f t="shared" si="13"/>
        <v>3.74</v>
      </c>
      <c r="Q291" s="86" t="s">
        <v>3840</v>
      </c>
      <c r="R291" s="86" t="s">
        <v>3855</v>
      </c>
      <c r="S291" s="86" t="s">
        <v>2768</v>
      </c>
      <c r="AC291" s="98" t="s">
        <v>3659</v>
      </c>
    </row>
    <row r="292" spans="1:29" x14ac:dyDescent="0.4">
      <c r="A292" s="102" t="s">
        <v>1337</v>
      </c>
      <c r="B292" s="85" t="s">
        <v>1334</v>
      </c>
      <c r="C292" s="84" t="s">
        <v>4306</v>
      </c>
      <c r="E292" s="145"/>
      <c r="I292" s="106" t="s">
        <v>4027</v>
      </c>
      <c r="L292" s="100">
        <v>1700</v>
      </c>
      <c r="M292" s="100">
        <v>2200</v>
      </c>
      <c r="N292" s="136">
        <f t="shared" si="13"/>
        <v>3.74</v>
      </c>
      <c r="Q292" s="86" t="s">
        <v>3840</v>
      </c>
      <c r="R292" s="86" t="s">
        <v>3855</v>
      </c>
      <c r="S292" s="86" t="s">
        <v>2766</v>
      </c>
      <c r="AC292" s="98" t="s">
        <v>3658</v>
      </c>
    </row>
    <row r="293" spans="1:29" x14ac:dyDescent="0.4">
      <c r="A293" s="102" t="s">
        <v>3850</v>
      </c>
      <c r="B293" s="85" t="s">
        <v>3851</v>
      </c>
      <c r="C293" s="84" t="s">
        <v>4307</v>
      </c>
      <c r="E293" s="145"/>
      <c r="H293" s="86">
        <v>6</v>
      </c>
      <c r="I293" s="106" t="s">
        <v>4027</v>
      </c>
      <c r="N293" s="136">
        <f t="shared" si="13"/>
        <v>0</v>
      </c>
      <c r="R293" s="86"/>
      <c r="AC293" s="98" t="s">
        <v>3852</v>
      </c>
    </row>
    <row r="294" spans="1:29" x14ac:dyDescent="0.4">
      <c r="A294" s="102" t="s">
        <v>74</v>
      </c>
      <c r="B294" s="85" t="s">
        <v>598</v>
      </c>
      <c r="C294" s="84" t="s">
        <v>1477</v>
      </c>
      <c r="E294" s="145"/>
      <c r="I294" s="106" t="s">
        <v>4027</v>
      </c>
      <c r="L294" s="100">
        <v>2150</v>
      </c>
      <c r="M294" s="100">
        <v>2500</v>
      </c>
      <c r="N294" s="136">
        <f t="shared" si="13"/>
        <v>5.375</v>
      </c>
      <c r="P294" s="90" t="s">
        <v>3375</v>
      </c>
      <c r="Q294" s="86" t="s">
        <v>3063</v>
      </c>
      <c r="R294" s="86"/>
      <c r="S294" s="86" t="s">
        <v>2768</v>
      </c>
      <c r="AC294" s="98" t="s">
        <v>3621</v>
      </c>
    </row>
    <row r="295" spans="1:29" x14ac:dyDescent="0.4">
      <c r="A295" s="102" t="s">
        <v>3790</v>
      </c>
      <c r="B295" s="85" t="s">
        <v>645</v>
      </c>
      <c r="C295" s="84" t="s">
        <v>1879</v>
      </c>
      <c r="E295" s="145"/>
      <c r="H295" s="86">
        <v>2</v>
      </c>
      <c r="I295" s="106" t="s">
        <v>4027</v>
      </c>
      <c r="J295" s="86">
        <v>100</v>
      </c>
      <c r="L295" s="100">
        <v>2300</v>
      </c>
      <c r="M295" s="100">
        <v>2450</v>
      </c>
      <c r="N295" s="136">
        <f t="shared" si="13"/>
        <v>5.6349999999999998</v>
      </c>
      <c r="P295" s="63" t="s">
        <v>3177</v>
      </c>
      <c r="Q295" s="86" t="s">
        <v>3059</v>
      </c>
      <c r="R295" s="86"/>
      <c r="S295" s="86" t="s">
        <v>2766</v>
      </c>
      <c r="T295" s="91">
        <v>0.75</v>
      </c>
      <c r="Z295" s="87" t="s">
        <v>3051</v>
      </c>
      <c r="AC295" s="98" t="s">
        <v>3792</v>
      </c>
    </row>
    <row r="296" spans="1:29" x14ac:dyDescent="0.4">
      <c r="A296" s="102" t="s">
        <v>3791</v>
      </c>
      <c r="B296" s="85" t="s">
        <v>645</v>
      </c>
      <c r="C296" s="84" t="s">
        <v>1879</v>
      </c>
      <c r="E296" s="145"/>
      <c r="I296" s="106" t="s">
        <v>4027</v>
      </c>
      <c r="J296" s="86">
        <v>100</v>
      </c>
      <c r="L296" s="100">
        <v>2000</v>
      </c>
      <c r="M296" s="100">
        <v>2450</v>
      </c>
      <c r="N296" s="136">
        <f t="shared" si="13"/>
        <v>4.9000000000000004</v>
      </c>
      <c r="P296" s="63" t="s">
        <v>3177</v>
      </c>
      <c r="Q296" s="86" t="s">
        <v>3059</v>
      </c>
      <c r="R296" s="86"/>
      <c r="S296" s="86" t="s">
        <v>2768</v>
      </c>
      <c r="T296" s="91">
        <v>0.75</v>
      </c>
      <c r="Z296" s="87" t="s">
        <v>3051</v>
      </c>
      <c r="AC296" s="98" t="s">
        <v>3488</v>
      </c>
    </row>
    <row r="297" spans="1:29" x14ac:dyDescent="0.4">
      <c r="A297" s="102" t="s">
        <v>3753</v>
      </c>
      <c r="B297" s="85" t="s">
        <v>3750</v>
      </c>
      <c r="C297" s="84" t="s">
        <v>1879</v>
      </c>
      <c r="E297" s="145"/>
      <c r="I297" s="106" t="s">
        <v>4027</v>
      </c>
      <c r="J297" s="86">
        <v>100</v>
      </c>
      <c r="L297" s="100">
        <v>2400</v>
      </c>
      <c r="M297" s="100">
        <v>2850</v>
      </c>
      <c r="N297" s="136">
        <f t="shared" si="13"/>
        <v>6.84</v>
      </c>
      <c r="P297" s="63" t="s">
        <v>3177</v>
      </c>
      <c r="Q297" s="86" t="s">
        <v>3417</v>
      </c>
      <c r="R297" s="86"/>
      <c r="S297" s="86" t="s">
        <v>2766</v>
      </c>
      <c r="T297" s="91">
        <v>0.75</v>
      </c>
      <c r="AA297" s="116" t="s">
        <v>3052</v>
      </c>
      <c r="AC297" s="98" t="s">
        <v>3755</v>
      </c>
    </row>
    <row r="298" spans="1:29" x14ac:dyDescent="0.4">
      <c r="A298" s="102" t="s">
        <v>97</v>
      </c>
      <c r="B298" s="85" t="s">
        <v>1634</v>
      </c>
      <c r="C298" s="84" t="s">
        <v>1639</v>
      </c>
      <c r="D298" s="143" t="s">
        <v>4296</v>
      </c>
      <c r="E298" s="145"/>
      <c r="I298" s="106" t="s">
        <v>4027</v>
      </c>
      <c r="L298" s="100">
        <v>2100</v>
      </c>
      <c r="M298" s="100">
        <v>3900</v>
      </c>
      <c r="N298" s="136">
        <f t="shared" si="13"/>
        <v>8.19</v>
      </c>
      <c r="Q298" s="86" t="s">
        <v>3823</v>
      </c>
      <c r="R298" s="86"/>
      <c r="S298" s="86" t="s">
        <v>2766</v>
      </c>
      <c r="AC298" s="98" t="s">
        <v>3584</v>
      </c>
    </row>
    <row r="299" spans="1:29" x14ac:dyDescent="0.4">
      <c r="A299" s="102" t="s">
        <v>1642</v>
      </c>
      <c r="B299" s="85" t="s">
        <v>619</v>
      </c>
      <c r="C299" s="84" t="s">
        <v>1639</v>
      </c>
      <c r="D299" s="143" t="s">
        <v>4296</v>
      </c>
      <c r="E299" s="145"/>
      <c r="H299" s="86">
        <v>4</v>
      </c>
      <c r="I299" s="106" t="s">
        <v>4027</v>
      </c>
      <c r="J299" s="86">
        <v>100</v>
      </c>
      <c r="L299" s="100">
        <v>1600</v>
      </c>
      <c r="M299" s="100">
        <v>2500</v>
      </c>
      <c r="N299" s="136">
        <f t="shared" si="13"/>
        <v>4</v>
      </c>
      <c r="R299" s="86"/>
      <c r="S299" s="86" t="s">
        <v>2768</v>
      </c>
      <c r="AC299" s="98" t="s">
        <v>3583</v>
      </c>
    </row>
    <row r="300" spans="1:29" x14ac:dyDescent="0.4">
      <c r="A300" s="102" t="s">
        <v>1643</v>
      </c>
      <c r="B300" s="85" t="s">
        <v>619</v>
      </c>
      <c r="C300" s="84" t="s">
        <v>1639</v>
      </c>
      <c r="D300" s="143" t="s">
        <v>4296</v>
      </c>
      <c r="E300" s="145"/>
      <c r="H300" s="86">
        <v>2</v>
      </c>
      <c r="I300" s="106" t="s">
        <v>4027</v>
      </c>
      <c r="L300" s="100">
        <v>1600</v>
      </c>
      <c r="M300" s="100">
        <v>2500</v>
      </c>
      <c r="N300" s="136">
        <f t="shared" si="13"/>
        <v>4</v>
      </c>
      <c r="R300" s="86"/>
      <c r="S300" s="86" t="s">
        <v>2766</v>
      </c>
      <c r="AC300" s="98" t="s">
        <v>3582</v>
      </c>
    </row>
    <row r="301" spans="1:29" x14ac:dyDescent="0.4">
      <c r="A301" s="102" t="s">
        <v>1644</v>
      </c>
      <c r="B301" s="85" t="s">
        <v>619</v>
      </c>
      <c r="C301" s="84" t="s">
        <v>1639</v>
      </c>
      <c r="D301" s="143" t="s">
        <v>4296</v>
      </c>
      <c r="E301" s="145"/>
      <c r="H301" s="86">
        <v>2</v>
      </c>
      <c r="I301" s="106" t="s">
        <v>4027</v>
      </c>
      <c r="L301" s="100">
        <v>1600</v>
      </c>
      <c r="M301" s="100">
        <v>3750</v>
      </c>
      <c r="N301" s="136">
        <f t="shared" si="13"/>
        <v>6</v>
      </c>
      <c r="R301" s="86"/>
      <c r="S301" s="86" t="s">
        <v>2768</v>
      </c>
      <c r="AC301" s="98" t="s">
        <v>3581</v>
      </c>
    </row>
    <row r="302" spans="1:29" x14ac:dyDescent="0.4">
      <c r="A302" s="102" t="s">
        <v>1645</v>
      </c>
      <c r="B302" s="85" t="s">
        <v>619</v>
      </c>
      <c r="C302" s="84" t="s">
        <v>1639</v>
      </c>
      <c r="D302" s="143" t="s">
        <v>4296</v>
      </c>
      <c r="E302" s="145"/>
      <c r="H302" s="86">
        <v>2</v>
      </c>
      <c r="I302" s="106" t="s">
        <v>4027</v>
      </c>
      <c r="L302" s="100">
        <v>1600</v>
      </c>
      <c r="M302" s="100">
        <v>3750</v>
      </c>
      <c r="N302" s="136">
        <f t="shared" si="13"/>
        <v>6</v>
      </c>
      <c r="R302" s="86"/>
      <c r="S302" s="86" t="s">
        <v>2766</v>
      </c>
      <c r="AC302" s="98" t="s">
        <v>3580</v>
      </c>
    </row>
    <row r="303" spans="1:29" x14ac:dyDescent="0.4">
      <c r="A303" s="102" t="s">
        <v>3762</v>
      </c>
      <c r="B303" s="85" t="s">
        <v>3761</v>
      </c>
      <c r="C303" s="84" t="s">
        <v>1639</v>
      </c>
      <c r="D303" s="143" t="s">
        <v>4296</v>
      </c>
      <c r="E303" s="145"/>
      <c r="I303" s="106" t="s">
        <v>4027</v>
      </c>
      <c r="J303" s="86">
        <v>100</v>
      </c>
      <c r="L303" s="108">
        <v>3000</v>
      </c>
      <c r="M303" s="108">
        <v>4150</v>
      </c>
      <c r="N303" s="136">
        <f t="shared" si="13"/>
        <v>12.45</v>
      </c>
      <c r="P303" s="63" t="s">
        <v>3177</v>
      </c>
      <c r="Q303" s="86" t="s">
        <v>3250</v>
      </c>
      <c r="R303" s="86"/>
      <c r="S303" s="86" t="s">
        <v>2768</v>
      </c>
      <c r="T303" s="91">
        <v>0.75</v>
      </c>
      <c r="W303" s="94" t="s">
        <v>3049</v>
      </c>
      <c r="Z303" s="87" t="s">
        <v>3051</v>
      </c>
      <c r="AB303" s="86" t="s">
        <v>3047</v>
      </c>
      <c r="AC303" s="98" t="s">
        <v>3986</v>
      </c>
    </row>
    <row r="304" spans="1:29" x14ac:dyDescent="0.4">
      <c r="A304" s="102" t="s">
        <v>3735</v>
      </c>
      <c r="B304" s="85" t="s">
        <v>657</v>
      </c>
      <c r="C304" s="84" t="s">
        <v>1639</v>
      </c>
      <c r="D304" s="143" t="s">
        <v>4296</v>
      </c>
      <c r="E304" s="145"/>
      <c r="H304" s="86">
        <v>3</v>
      </c>
      <c r="I304" s="106" t="s">
        <v>4027</v>
      </c>
      <c r="J304" s="86">
        <v>125</v>
      </c>
      <c r="K304" s="88">
        <v>5215</v>
      </c>
      <c r="M304" s="100">
        <v>5000</v>
      </c>
      <c r="N304" s="136">
        <f t="shared" si="13"/>
        <v>0</v>
      </c>
      <c r="P304" s="90" t="s">
        <v>1132</v>
      </c>
      <c r="Q304" s="86" t="s">
        <v>3053</v>
      </c>
      <c r="R304" s="86"/>
      <c r="S304" s="86" t="s">
        <v>2766</v>
      </c>
      <c r="T304" s="91">
        <v>1.5</v>
      </c>
      <c r="Z304" s="87" t="s">
        <v>3051</v>
      </c>
      <c r="AB304" s="86" t="s">
        <v>2769</v>
      </c>
      <c r="AC304" s="98" t="s">
        <v>3984</v>
      </c>
    </row>
    <row r="305" spans="1:29" x14ac:dyDescent="0.4">
      <c r="A305" s="102" t="s">
        <v>3517</v>
      </c>
      <c r="B305" s="85" t="s">
        <v>685</v>
      </c>
      <c r="C305" s="84" t="s">
        <v>1639</v>
      </c>
      <c r="D305" s="143" t="s">
        <v>4296</v>
      </c>
      <c r="E305" s="145"/>
      <c r="I305" s="106" t="s">
        <v>1131</v>
      </c>
      <c r="J305" s="86">
        <v>125</v>
      </c>
      <c r="L305" s="89">
        <v>5270</v>
      </c>
      <c r="M305" s="89">
        <v>6500</v>
      </c>
      <c r="N305" s="136">
        <f t="shared" si="13"/>
        <v>34.255000000000003</v>
      </c>
      <c r="P305" s="90" t="s">
        <v>1132</v>
      </c>
      <c r="Q305" s="86" t="s">
        <v>3250</v>
      </c>
      <c r="R305" s="86" t="s">
        <v>3054</v>
      </c>
      <c r="S305" s="86" t="s">
        <v>2768</v>
      </c>
      <c r="T305" s="91">
        <v>2.2000000000000002</v>
      </c>
      <c r="Z305" s="87" t="s">
        <v>3051</v>
      </c>
      <c r="AC305" s="98" t="s">
        <v>3526</v>
      </c>
    </row>
    <row r="306" spans="1:29" x14ac:dyDescent="0.4">
      <c r="A306" s="102" t="s">
        <v>3518</v>
      </c>
      <c r="B306" s="85" t="s">
        <v>685</v>
      </c>
      <c r="C306" s="84" t="s">
        <v>1639</v>
      </c>
      <c r="D306" s="143" t="s">
        <v>4296</v>
      </c>
      <c r="E306" s="145"/>
      <c r="I306" s="106" t="s">
        <v>1131</v>
      </c>
      <c r="J306" s="86">
        <v>125</v>
      </c>
      <c r="L306" s="89">
        <v>4000</v>
      </c>
      <c r="M306" s="89">
        <v>6500</v>
      </c>
      <c r="N306" s="136">
        <f t="shared" si="13"/>
        <v>26</v>
      </c>
      <c r="P306" s="90" t="s">
        <v>1132</v>
      </c>
      <c r="Q306" s="86" t="s">
        <v>3250</v>
      </c>
      <c r="R306" s="86" t="s">
        <v>3054</v>
      </c>
      <c r="S306" s="86" t="s">
        <v>2768</v>
      </c>
      <c r="T306" s="91">
        <v>1.5</v>
      </c>
      <c r="Z306" s="87" t="s">
        <v>3051</v>
      </c>
      <c r="AC306" s="98" t="s">
        <v>3527</v>
      </c>
    </row>
    <row r="307" spans="1:29" x14ac:dyDescent="0.4">
      <c r="A307" s="102" t="s">
        <v>3519</v>
      </c>
      <c r="B307" s="85" t="s">
        <v>685</v>
      </c>
      <c r="C307" s="84" t="s">
        <v>1639</v>
      </c>
      <c r="D307" s="143" t="s">
        <v>4296</v>
      </c>
      <c r="E307" s="145"/>
      <c r="I307" s="106" t="s">
        <v>1131</v>
      </c>
      <c r="J307" s="86">
        <v>125</v>
      </c>
      <c r="L307" s="89">
        <v>4000</v>
      </c>
      <c r="M307" s="89">
        <v>6500</v>
      </c>
      <c r="N307" s="136">
        <f t="shared" si="13"/>
        <v>26</v>
      </c>
      <c r="P307" s="90" t="s">
        <v>1132</v>
      </c>
      <c r="Q307" s="86" t="s">
        <v>3250</v>
      </c>
      <c r="R307" s="86" t="s">
        <v>3054</v>
      </c>
      <c r="S307" s="86" t="s">
        <v>2766</v>
      </c>
      <c r="T307" s="91">
        <v>1.5</v>
      </c>
      <c r="Z307" s="87" t="s">
        <v>3051</v>
      </c>
      <c r="AC307" s="98" t="s">
        <v>3528</v>
      </c>
    </row>
    <row r="308" spans="1:29" x14ac:dyDescent="0.4">
      <c r="A308" s="102" t="s">
        <v>1154</v>
      </c>
      <c r="B308" s="85" t="s">
        <v>732</v>
      </c>
      <c r="C308" s="84" t="s">
        <v>1639</v>
      </c>
      <c r="D308" s="143" t="s">
        <v>4296</v>
      </c>
      <c r="E308" s="145"/>
      <c r="I308" s="106" t="s">
        <v>4027</v>
      </c>
      <c r="J308" s="86">
        <v>125</v>
      </c>
      <c r="L308" s="100">
        <v>4000</v>
      </c>
      <c r="M308" s="100">
        <v>4300</v>
      </c>
      <c r="N308" s="136">
        <f t="shared" si="13"/>
        <v>17.2</v>
      </c>
      <c r="P308" s="90" t="s">
        <v>1132</v>
      </c>
      <c r="Q308" s="86" t="s">
        <v>3250</v>
      </c>
      <c r="R308" s="86" t="s">
        <v>3054</v>
      </c>
      <c r="S308" s="86" t="s">
        <v>2766</v>
      </c>
      <c r="T308" s="91">
        <v>0.75</v>
      </c>
      <c r="V308" s="93">
        <v>1</v>
      </c>
      <c r="Z308" s="87" t="s">
        <v>3051</v>
      </c>
      <c r="AC308" s="98" t="s">
        <v>3277</v>
      </c>
    </row>
    <row r="309" spans="1:29" x14ac:dyDescent="0.4">
      <c r="A309" s="102" t="s">
        <v>1170</v>
      </c>
      <c r="B309" s="85" t="s">
        <v>2709</v>
      </c>
      <c r="C309" s="84" t="s">
        <v>1639</v>
      </c>
      <c r="D309" s="143" t="s">
        <v>4296</v>
      </c>
      <c r="E309" s="145"/>
      <c r="I309" s="106" t="s">
        <v>1131</v>
      </c>
      <c r="J309" s="86">
        <v>150</v>
      </c>
      <c r="L309" s="108">
        <v>3000</v>
      </c>
      <c r="M309" s="108">
        <v>6600</v>
      </c>
      <c r="N309" s="136">
        <f t="shared" si="13"/>
        <v>19.8</v>
      </c>
      <c r="O309" s="88">
        <v>7050</v>
      </c>
      <c r="P309" s="90" t="s">
        <v>1132</v>
      </c>
      <c r="Q309" s="86" t="s">
        <v>3250</v>
      </c>
      <c r="R309" s="86"/>
      <c r="AC309" s="98" t="s">
        <v>3549</v>
      </c>
    </row>
    <row r="310" spans="1:29" x14ac:dyDescent="0.4">
      <c r="A310" s="102" t="s">
        <v>318</v>
      </c>
      <c r="B310" s="85" t="s">
        <v>756</v>
      </c>
      <c r="C310" s="84" t="s">
        <v>2654</v>
      </c>
      <c r="D310" s="143" t="s">
        <v>4296</v>
      </c>
      <c r="E310" s="145"/>
      <c r="I310" s="106" t="s">
        <v>3028</v>
      </c>
      <c r="R310" s="86"/>
      <c r="U310" s="91" t="s">
        <v>3194</v>
      </c>
      <c r="AC310" s="98" t="s">
        <v>2653</v>
      </c>
    </row>
    <row r="311" spans="1:29" x14ac:dyDescent="0.4">
      <c r="A311" s="102" t="s">
        <v>2859</v>
      </c>
      <c r="B311" s="85" t="s">
        <v>2748</v>
      </c>
      <c r="C311" s="84" t="s">
        <v>1639</v>
      </c>
      <c r="D311" s="143" t="s">
        <v>4296</v>
      </c>
      <c r="E311" s="145"/>
      <c r="I311" s="106" t="s">
        <v>4027</v>
      </c>
      <c r="J311" s="86">
        <v>125</v>
      </c>
      <c r="L311" s="100">
        <v>2100</v>
      </c>
      <c r="M311" s="100">
        <v>2650</v>
      </c>
      <c r="N311" s="136">
        <f t="shared" ref="N311:N349" si="14">L311*M311/1000000</f>
        <v>5.5650000000000004</v>
      </c>
      <c r="P311" s="90" t="s">
        <v>1132</v>
      </c>
      <c r="Q311" s="86" t="s">
        <v>3064</v>
      </c>
      <c r="R311" s="86" t="s">
        <v>3054</v>
      </c>
      <c r="S311" s="86" t="s">
        <v>2768</v>
      </c>
      <c r="T311" s="91">
        <v>0.75</v>
      </c>
      <c r="U311" s="92">
        <v>10</v>
      </c>
      <c r="V311" s="93">
        <v>0.5</v>
      </c>
      <c r="W311" s="94" t="s">
        <v>3050</v>
      </c>
      <c r="AB311" s="86" t="s">
        <v>2769</v>
      </c>
      <c r="AC311" s="98" t="s">
        <v>2860</v>
      </c>
    </row>
    <row r="312" spans="1:29" x14ac:dyDescent="0.4">
      <c r="A312" s="102" t="s">
        <v>2861</v>
      </c>
      <c r="B312" s="85" t="s">
        <v>2748</v>
      </c>
      <c r="C312" s="84" t="s">
        <v>1639</v>
      </c>
      <c r="D312" s="143" t="s">
        <v>4296</v>
      </c>
      <c r="E312" s="145"/>
      <c r="I312" s="106" t="s">
        <v>4027</v>
      </c>
      <c r="J312" s="86">
        <v>125</v>
      </c>
      <c r="L312" s="100">
        <v>2100</v>
      </c>
      <c r="M312" s="100">
        <v>2650</v>
      </c>
      <c r="N312" s="136">
        <f t="shared" si="14"/>
        <v>5.5650000000000004</v>
      </c>
      <c r="P312" s="90" t="s">
        <v>1132</v>
      </c>
      <c r="Q312" s="86" t="s">
        <v>3064</v>
      </c>
      <c r="R312" s="86" t="s">
        <v>3054</v>
      </c>
      <c r="S312" s="86" t="s">
        <v>2766</v>
      </c>
      <c r="T312" s="91">
        <v>0.75</v>
      </c>
      <c r="U312" s="92">
        <v>10</v>
      </c>
      <c r="V312" s="93">
        <v>0.5</v>
      </c>
      <c r="W312" s="94" t="s">
        <v>3050</v>
      </c>
      <c r="AB312" s="86" t="s">
        <v>2769</v>
      </c>
      <c r="AC312" s="98" t="s">
        <v>2862</v>
      </c>
    </row>
    <row r="313" spans="1:29" x14ac:dyDescent="0.4">
      <c r="A313" s="102" t="s">
        <v>3149</v>
      </c>
      <c r="B313" s="85" t="s">
        <v>774</v>
      </c>
      <c r="C313" s="84" t="s">
        <v>2198</v>
      </c>
      <c r="D313" s="143" t="s">
        <v>4296</v>
      </c>
      <c r="E313" s="145"/>
      <c r="I313" s="106" t="s">
        <v>1131</v>
      </c>
      <c r="J313" s="86">
        <v>150</v>
      </c>
      <c r="L313" s="100">
        <v>3600</v>
      </c>
      <c r="M313" s="100">
        <v>5050</v>
      </c>
      <c r="N313" s="136">
        <f t="shared" si="14"/>
        <v>18.18</v>
      </c>
      <c r="P313" s="90" t="s">
        <v>1132</v>
      </c>
      <c r="Q313" s="86" t="s">
        <v>3056</v>
      </c>
      <c r="R313" s="86"/>
      <c r="S313" s="86" t="s">
        <v>2768</v>
      </c>
      <c r="T313" s="91">
        <v>1.5</v>
      </c>
      <c r="U313" s="92">
        <v>15</v>
      </c>
      <c r="V313" s="93">
        <v>0.5</v>
      </c>
      <c r="Z313" s="87" t="s">
        <v>3051</v>
      </c>
      <c r="AB313" s="86" t="s">
        <v>2769</v>
      </c>
      <c r="AC313" s="98" t="s">
        <v>3152</v>
      </c>
    </row>
    <row r="314" spans="1:29" x14ac:dyDescent="0.4">
      <c r="A314" s="102" t="s">
        <v>3150</v>
      </c>
      <c r="B314" s="85" t="s">
        <v>774</v>
      </c>
      <c r="C314" s="84" t="s">
        <v>2198</v>
      </c>
      <c r="D314" s="143" t="s">
        <v>4296</v>
      </c>
      <c r="E314" s="145"/>
      <c r="I314" s="106" t="s">
        <v>1131</v>
      </c>
      <c r="J314" s="86">
        <v>150</v>
      </c>
      <c r="L314" s="100">
        <v>3600</v>
      </c>
      <c r="M314" s="100">
        <v>5050</v>
      </c>
      <c r="N314" s="136">
        <f t="shared" si="14"/>
        <v>18.18</v>
      </c>
      <c r="P314" s="90" t="s">
        <v>1132</v>
      </c>
      <c r="Q314" s="86" t="s">
        <v>3056</v>
      </c>
      <c r="R314" s="86"/>
      <c r="S314" s="86" t="s">
        <v>2766</v>
      </c>
      <c r="T314" s="91">
        <v>1.5</v>
      </c>
      <c r="U314" s="92">
        <v>15</v>
      </c>
      <c r="V314" s="93">
        <v>0.5</v>
      </c>
      <c r="Z314" s="87" t="s">
        <v>3051</v>
      </c>
      <c r="AB314" s="86" t="s">
        <v>2769</v>
      </c>
      <c r="AC314" s="98" t="s">
        <v>3153</v>
      </c>
    </row>
    <row r="315" spans="1:29" x14ac:dyDescent="0.4">
      <c r="A315" s="102" t="s">
        <v>3151</v>
      </c>
      <c r="B315" s="85" t="s">
        <v>774</v>
      </c>
      <c r="C315" s="84" t="s">
        <v>2198</v>
      </c>
      <c r="D315" s="143" t="s">
        <v>4296</v>
      </c>
      <c r="E315" s="145"/>
      <c r="I315" s="106" t="s">
        <v>4027</v>
      </c>
      <c r="J315" s="86">
        <v>125</v>
      </c>
      <c r="L315" s="100">
        <v>1500</v>
      </c>
      <c r="M315" s="100">
        <v>2150</v>
      </c>
      <c r="N315" s="136">
        <f t="shared" si="14"/>
        <v>3.2250000000000001</v>
      </c>
      <c r="P315" s="90" t="s">
        <v>1132</v>
      </c>
      <c r="Q315" s="86" t="s">
        <v>3056</v>
      </c>
      <c r="R315" s="86"/>
      <c r="S315" s="86" t="s">
        <v>2768</v>
      </c>
      <c r="T315" s="91">
        <v>0.75</v>
      </c>
      <c r="U315" s="92">
        <v>10</v>
      </c>
      <c r="V315" s="93">
        <v>5</v>
      </c>
      <c r="Z315" s="87" t="s">
        <v>3051</v>
      </c>
      <c r="AB315" s="86" t="s">
        <v>2769</v>
      </c>
      <c r="AC315" s="98" t="s">
        <v>3159</v>
      </c>
    </row>
    <row r="316" spans="1:29" x14ac:dyDescent="0.4">
      <c r="A316" s="102" t="s">
        <v>3156</v>
      </c>
      <c r="B316" s="85" t="s">
        <v>774</v>
      </c>
      <c r="C316" s="84" t="s">
        <v>2198</v>
      </c>
      <c r="D316" s="143" t="s">
        <v>4296</v>
      </c>
      <c r="E316" s="145"/>
      <c r="I316" s="106" t="s">
        <v>4027</v>
      </c>
      <c r="J316" s="86">
        <v>125</v>
      </c>
      <c r="L316" s="100">
        <v>1500</v>
      </c>
      <c r="M316" s="100">
        <v>2150</v>
      </c>
      <c r="N316" s="136">
        <f t="shared" si="14"/>
        <v>3.2250000000000001</v>
      </c>
      <c r="P316" s="90" t="s">
        <v>1132</v>
      </c>
      <c r="Q316" s="86" t="s">
        <v>3056</v>
      </c>
      <c r="R316" s="86"/>
      <c r="S316" s="86" t="s">
        <v>2766</v>
      </c>
      <c r="T316" s="91">
        <v>0.75</v>
      </c>
      <c r="U316" s="92">
        <v>10</v>
      </c>
      <c r="V316" s="93">
        <v>6.5</v>
      </c>
      <c r="Z316" s="87" t="s">
        <v>3051</v>
      </c>
      <c r="AB316" s="86" t="s">
        <v>2769</v>
      </c>
      <c r="AC316" s="98" t="s">
        <v>3157</v>
      </c>
    </row>
    <row r="317" spans="1:29" x14ac:dyDescent="0.4">
      <c r="A317" s="102" t="s">
        <v>3154</v>
      </c>
      <c r="B317" s="85" t="s">
        <v>774</v>
      </c>
      <c r="C317" s="84" t="s">
        <v>2198</v>
      </c>
      <c r="D317" s="143" t="s">
        <v>4296</v>
      </c>
      <c r="E317" s="145"/>
      <c r="I317" s="106" t="s">
        <v>4027</v>
      </c>
      <c r="J317" s="86">
        <v>125</v>
      </c>
      <c r="L317" s="100">
        <v>1800</v>
      </c>
      <c r="M317" s="100">
        <v>3850</v>
      </c>
      <c r="N317" s="136">
        <f t="shared" si="14"/>
        <v>6.93</v>
      </c>
      <c r="P317" s="90" t="s">
        <v>1132</v>
      </c>
      <c r="Q317" s="86" t="s">
        <v>3056</v>
      </c>
      <c r="R317" s="86"/>
      <c r="S317" s="86" t="s">
        <v>1439</v>
      </c>
      <c r="T317" s="91">
        <v>0.75</v>
      </c>
      <c r="U317" s="92">
        <v>10</v>
      </c>
      <c r="V317" s="93">
        <v>3</v>
      </c>
      <c r="Z317" s="87" t="s">
        <v>3051</v>
      </c>
      <c r="AB317" s="86" t="s">
        <v>2769</v>
      </c>
      <c r="AC317" s="98" t="s">
        <v>3158</v>
      </c>
    </row>
    <row r="318" spans="1:29" x14ac:dyDescent="0.4">
      <c r="A318" s="102" t="s">
        <v>3155</v>
      </c>
      <c r="B318" s="85" t="s">
        <v>774</v>
      </c>
      <c r="C318" s="84" t="s">
        <v>2198</v>
      </c>
      <c r="D318" s="143" t="s">
        <v>4296</v>
      </c>
      <c r="E318" s="145"/>
      <c r="I318" s="106" t="s">
        <v>4027</v>
      </c>
      <c r="J318" s="86">
        <v>125</v>
      </c>
      <c r="L318" s="100">
        <v>2400</v>
      </c>
      <c r="M318" s="107">
        <v>5350</v>
      </c>
      <c r="N318" s="136">
        <f t="shared" si="14"/>
        <v>12.84</v>
      </c>
      <c r="P318" s="90" t="s">
        <v>1132</v>
      </c>
      <c r="Q318" s="86" t="s">
        <v>3056</v>
      </c>
      <c r="R318" s="86"/>
      <c r="S318" s="86" t="s">
        <v>2768</v>
      </c>
      <c r="T318" s="91">
        <v>0.75</v>
      </c>
      <c r="U318" s="92">
        <v>10</v>
      </c>
      <c r="V318" s="93">
        <v>1</v>
      </c>
      <c r="Z318" s="87" t="s">
        <v>3051</v>
      </c>
      <c r="AB318" s="86" t="s">
        <v>2769</v>
      </c>
      <c r="AC318" s="98" t="s">
        <v>3160</v>
      </c>
    </row>
    <row r="319" spans="1:29" x14ac:dyDescent="0.4">
      <c r="A319" s="102" t="s">
        <v>4024</v>
      </c>
      <c r="B319" s="85" t="s">
        <v>774</v>
      </c>
      <c r="C319" s="84" t="s">
        <v>2198</v>
      </c>
      <c r="D319" s="143" t="s">
        <v>4296</v>
      </c>
      <c r="E319" s="145"/>
      <c r="H319" s="86">
        <v>2</v>
      </c>
      <c r="I319" s="106" t="s">
        <v>4027</v>
      </c>
      <c r="J319" s="86">
        <v>125</v>
      </c>
      <c r="L319" s="100">
        <v>3000</v>
      </c>
      <c r="M319" s="100">
        <v>3850</v>
      </c>
      <c r="N319" s="136">
        <f t="shared" si="14"/>
        <v>11.55</v>
      </c>
      <c r="P319" s="90" t="s">
        <v>1132</v>
      </c>
      <c r="Q319" s="86" t="s">
        <v>3056</v>
      </c>
      <c r="R319" s="86"/>
      <c r="S319" s="86" t="s">
        <v>2766</v>
      </c>
      <c r="T319" s="91">
        <v>0.75</v>
      </c>
      <c r="U319" s="92">
        <v>10</v>
      </c>
      <c r="V319" s="93">
        <v>1.5</v>
      </c>
      <c r="Z319" s="87" t="s">
        <v>3051</v>
      </c>
      <c r="AB319" s="86" t="s">
        <v>2769</v>
      </c>
      <c r="AC319" s="98" t="s">
        <v>3161</v>
      </c>
    </row>
    <row r="320" spans="1:29" x14ac:dyDescent="0.4">
      <c r="A320" s="102" t="s">
        <v>3123</v>
      </c>
      <c r="B320" s="85" t="s">
        <v>2723</v>
      </c>
      <c r="C320" s="84" t="s">
        <v>2198</v>
      </c>
      <c r="D320" s="143" t="s">
        <v>4296</v>
      </c>
      <c r="E320" s="145"/>
      <c r="I320" s="106" t="s">
        <v>4027</v>
      </c>
      <c r="J320" s="86">
        <v>125</v>
      </c>
      <c r="L320" s="100">
        <v>3000</v>
      </c>
      <c r="M320" s="100">
        <v>4150</v>
      </c>
      <c r="N320" s="136">
        <f t="shared" si="14"/>
        <v>12.45</v>
      </c>
      <c r="P320" s="90" t="s">
        <v>1132</v>
      </c>
      <c r="Q320" s="86" t="s">
        <v>3058</v>
      </c>
      <c r="R320" s="86"/>
      <c r="S320" s="86" t="s">
        <v>2768</v>
      </c>
      <c r="T320" s="91">
        <v>0.75</v>
      </c>
      <c r="V320" s="93">
        <v>1</v>
      </c>
      <c r="Z320" s="87" t="s">
        <v>3051</v>
      </c>
      <c r="AB320" s="86" t="s">
        <v>2769</v>
      </c>
      <c r="AC320" s="98" t="s">
        <v>3124</v>
      </c>
    </row>
    <row r="321" spans="1:29" x14ac:dyDescent="0.4">
      <c r="A321" s="102" t="s">
        <v>3125</v>
      </c>
      <c r="B321" s="85" t="s">
        <v>2723</v>
      </c>
      <c r="C321" s="84" t="s">
        <v>2198</v>
      </c>
      <c r="D321" s="143" t="s">
        <v>4296</v>
      </c>
      <c r="E321" s="145"/>
      <c r="I321" s="106" t="s">
        <v>4027</v>
      </c>
      <c r="J321" s="86">
        <v>125</v>
      </c>
      <c r="L321" s="100">
        <v>3000</v>
      </c>
      <c r="M321" s="100">
        <v>4150</v>
      </c>
      <c r="N321" s="136">
        <f t="shared" si="14"/>
        <v>12.45</v>
      </c>
      <c r="P321" s="90" t="s">
        <v>1132</v>
      </c>
      <c r="Q321" s="86" t="s">
        <v>3058</v>
      </c>
      <c r="R321" s="86"/>
      <c r="S321" s="86" t="s">
        <v>2766</v>
      </c>
      <c r="T321" s="91">
        <v>0.75</v>
      </c>
      <c r="V321" s="93">
        <v>1</v>
      </c>
      <c r="Z321" s="87" t="s">
        <v>3051</v>
      </c>
      <c r="AB321" s="86" t="s">
        <v>2769</v>
      </c>
      <c r="AC321" s="98" t="s">
        <v>3126</v>
      </c>
    </row>
    <row r="322" spans="1:29" x14ac:dyDescent="0.4">
      <c r="A322" s="102" t="s">
        <v>383</v>
      </c>
      <c r="B322" s="85" t="s">
        <v>790</v>
      </c>
      <c r="C322" s="84" t="s">
        <v>2198</v>
      </c>
      <c r="D322" s="143" t="s">
        <v>4296</v>
      </c>
      <c r="E322" s="145"/>
      <c r="I322" s="106" t="s">
        <v>4027</v>
      </c>
      <c r="J322" s="86">
        <v>125</v>
      </c>
      <c r="L322" s="100">
        <v>2400</v>
      </c>
      <c r="M322" s="100">
        <v>3850</v>
      </c>
      <c r="N322" s="136">
        <f t="shared" si="14"/>
        <v>9.24</v>
      </c>
      <c r="P322" s="90" t="s">
        <v>1132</v>
      </c>
      <c r="Q322" s="86" t="s">
        <v>3066</v>
      </c>
      <c r="R322" s="86"/>
      <c r="S322" s="86" t="s">
        <v>2766</v>
      </c>
      <c r="T322" s="91">
        <v>0.75</v>
      </c>
      <c r="U322" s="92">
        <v>10</v>
      </c>
      <c r="V322" s="93">
        <v>1</v>
      </c>
      <c r="Z322" s="99" t="s">
        <v>3051</v>
      </c>
      <c r="AC322" s="98" t="s">
        <v>3005</v>
      </c>
    </row>
    <row r="323" spans="1:29" x14ac:dyDescent="0.4">
      <c r="A323" s="102" t="s">
        <v>425</v>
      </c>
      <c r="B323" s="85" t="s">
        <v>812</v>
      </c>
      <c r="C323" s="84" t="s">
        <v>2198</v>
      </c>
      <c r="D323" s="143" t="s">
        <v>4296</v>
      </c>
      <c r="E323" s="145"/>
      <c r="I323" s="106" t="s">
        <v>4027</v>
      </c>
      <c r="J323" s="86">
        <v>125</v>
      </c>
      <c r="L323" s="100">
        <v>3500</v>
      </c>
      <c r="M323" s="100">
        <v>3700</v>
      </c>
      <c r="N323" s="136">
        <f t="shared" si="14"/>
        <v>12.95</v>
      </c>
      <c r="P323" s="63" t="s">
        <v>3177</v>
      </c>
      <c r="Q323" s="86" t="s">
        <v>3053</v>
      </c>
      <c r="R323" s="86"/>
      <c r="S323" s="86" t="s">
        <v>2768</v>
      </c>
      <c r="T323" s="91">
        <v>0.75</v>
      </c>
      <c r="U323" s="92">
        <v>10</v>
      </c>
      <c r="V323" s="93">
        <v>1</v>
      </c>
      <c r="Z323" s="99" t="s">
        <v>3051</v>
      </c>
      <c r="AB323" s="86" t="s">
        <v>2769</v>
      </c>
      <c r="AC323" s="98" t="s">
        <v>2937</v>
      </c>
    </row>
    <row r="324" spans="1:29" x14ac:dyDescent="0.4">
      <c r="A324" s="102" t="s">
        <v>2919</v>
      </c>
      <c r="B324" s="85" t="s">
        <v>817</v>
      </c>
      <c r="C324" s="84" t="s">
        <v>2198</v>
      </c>
      <c r="D324" s="143" t="s">
        <v>4296</v>
      </c>
      <c r="E324" s="145"/>
      <c r="I324" s="106" t="s">
        <v>4027</v>
      </c>
      <c r="J324" s="86">
        <v>125</v>
      </c>
      <c r="L324" s="100">
        <v>3500</v>
      </c>
      <c r="M324" s="100">
        <v>4200</v>
      </c>
      <c r="N324" s="136">
        <f t="shared" si="14"/>
        <v>14.7</v>
      </c>
      <c r="P324" s="90" t="s">
        <v>1132</v>
      </c>
      <c r="Q324" s="86" t="s">
        <v>3053</v>
      </c>
      <c r="R324" s="86"/>
      <c r="S324" s="86" t="s">
        <v>2768</v>
      </c>
      <c r="T324" s="91">
        <v>0.75</v>
      </c>
      <c r="U324" s="92">
        <v>10</v>
      </c>
      <c r="V324" s="93">
        <v>1</v>
      </c>
      <c r="Z324" s="99" t="s">
        <v>3075</v>
      </c>
      <c r="AB324" s="86" t="s">
        <v>2769</v>
      </c>
      <c r="AC324" s="98" t="s">
        <v>2920</v>
      </c>
    </row>
    <row r="325" spans="1:29" x14ac:dyDescent="0.4">
      <c r="A325" s="102" t="s">
        <v>2923</v>
      </c>
      <c r="B325" s="85" t="s">
        <v>817</v>
      </c>
      <c r="C325" s="84" t="s">
        <v>2198</v>
      </c>
      <c r="D325" s="143" t="s">
        <v>4296</v>
      </c>
      <c r="E325" s="145"/>
      <c r="I325" s="106" t="s">
        <v>4027</v>
      </c>
      <c r="J325" s="86">
        <v>125</v>
      </c>
      <c r="L325" s="100">
        <v>3500</v>
      </c>
      <c r="M325" s="100">
        <v>4200</v>
      </c>
      <c r="N325" s="136">
        <f t="shared" si="14"/>
        <v>14.7</v>
      </c>
      <c r="P325" s="90" t="s">
        <v>1132</v>
      </c>
      <c r="Q325" s="86" t="s">
        <v>3053</v>
      </c>
      <c r="R325" s="86"/>
      <c r="S325" s="86" t="s">
        <v>2766</v>
      </c>
      <c r="T325" s="91">
        <v>0.75</v>
      </c>
      <c r="U325" s="92">
        <v>10</v>
      </c>
      <c r="V325" s="93">
        <v>1</v>
      </c>
      <c r="Z325" s="99" t="s">
        <v>3075</v>
      </c>
      <c r="AB325" s="86" t="s">
        <v>2769</v>
      </c>
      <c r="AC325" s="98" t="s">
        <v>2921</v>
      </c>
    </row>
    <row r="326" spans="1:29" x14ac:dyDescent="0.4">
      <c r="A326" s="102" t="s">
        <v>2924</v>
      </c>
      <c r="B326" s="85" t="s">
        <v>817</v>
      </c>
      <c r="C326" s="84" t="s">
        <v>2198</v>
      </c>
      <c r="D326" s="143" t="s">
        <v>4296</v>
      </c>
      <c r="E326" s="145"/>
      <c r="I326" s="106" t="s">
        <v>4027</v>
      </c>
      <c r="J326" s="86">
        <v>125</v>
      </c>
      <c r="L326" s="100">
        <v>3000</v>
      </c>
      <c r="M326" s="100">
        <v>4200</v>
      </c>
      <c r="N326" s="136">
        <f t="shared" si="14"/>
        <v>12.6</v>
      </c>
      <c r="P326" s="90" t="s">
        <v>1132</v>
      </c>
      <c r="Q326" s="86" t="s">
        <v>3053</v>
      </c>
      <c r="R326" s="86"/>
      <c r="S326" s="86" t="s">
        <v>2766</v>
      </c>
      <c r="T326" s="91">
        <v>0.75</v>
      </c>
      <c r="U326" s="92">
        <v>10</v>
      </c>
      <c r="V326" s="93">
        <v>1</v>
      </c>
      <c r="Z326" s="99" t="s">
        <v>3075</v>
      </c>
      <c r="AB326" s="86" t="s">
        <v>2769</v>
      </c>
      <c r="AC326" s="98" t="s">
        <v>2922</v>
      </c>
    </row>
    <row r="327" spans="1:29" x14ac:dyDescent="0.4">
      <c r="A327" s="102" t="s">
        <v>4025</v>
      </c>
      <c r="B327" s="64" t="s">
        <v>4026</v>
      </c>
      <c r="C327" s="84" t="s">
        <v>2198</v>
      </c>
      <c r="D327" s="143" t="s">
        <v>4296</v>
      </c>
      <c r="E327" s="145"/>
      <c r="H327" s="86">
        <v>1</v>
      </c>
      <c r="I327" s="106" t="s">
        <v>1131</v>
      </c>
      <c r="J327" s="86">
        <v>125</v>
      </c>
      <c r="L327" s="100">
        <v>2400</v>
      </c>
      <c r="M327" s="103">
        <v>6500</v>
      </c>
      <c r="N327" s="136">
        <f t="shared" si="14"/>
        <v>15.6</v>
      </c>
      <c r="P327" s="90" t="s">
        <v>1132</v>
      </c>
      <c r="Q327" s="86" t="s">
        <v>3056</v>
      </c>
      <c r="R327" s="86" t="s">
        <v>3054</v>
      </c>
      <c r="S327" s="86" t="s">
        <v>2768</v>
      </c>
      <c r="T327" s="91">
        <v>1.5</v>
      </c>
      <c r="U327" s="92">
        <v>15</v>
      </c>
      <c r="V327" s="93">
        <v>1</v>
      </c>
      <c r="W327" s="94" t="s">
        <v>3049</v>
      </c>
      <c r="X327" s="86" t="s">
        <v>4038</v>
      </c>
      <c r="Z327" s="87" t="s">
        <v>3051</v>
      </c>
      <c r="AB327" s="86" t="s">
        <v>2769</v>
      </c>
      <c r="AC327" s="98" t="s">
        <v>4032</v>
      </c>
    </row>
    <row r="328" spans="1:29" x14ac:dyDescent="0.4">
      <c r="A328" s="102" t="s">
        <v>1581</v>
      </c>
      <c r="B328" s="85" t="s">
        <v>614</v>
      </c>
      <c r="C328" s="84" t="s">
        <v>1580</v>
      </c>
      <c r="D328" s="143" t="s">
        <v>4296</v>
      </c>
      <c r="E328" s="145"/>
      <c r="I328" s="106" t="s">
        <v>4027</v>
      </c>
      <c r="L328" s="100">
        <v>2100</v>
      </c>
      <c r="M328" s="100">
        <v>3310</v>
      </c>
      <c r="N328" s="136">
        <f t="shared" si="14"/>
        <v>6.9509999999999996</v>
      </c>
      <c r="R328" s="86"/>
      <c r="S328" s="86" t="s">
        <v>2768</v>
      </c>
      <c r="AC328" s="98" t="s">
        <v>3598</v>
      </c>
    </row>
    <row r="329" spans="1:29" x14ac:dyDescent="0.4">
      <c r="A329" s="102" t="s">
        <v>1582</v>
      </c>
      <c r="B329" s="85" t="s">
        <v>614</v>
      </c>
      <c r="C329" s="84" t="s">
        <v>1580</v>
      </c>
      <c r="D329" s="143" t="s">
        <v>4296</v>
      </c>
      <c r="E329" s="145"/>
      <c r="I329" s="106" t="s">
        <v>4027</v>
      </c>
      <c r="L329" s="100">
        <v>2100</v>
      </c>
      <c r="M329" s="100">
        <v>3310</v>
      </c>
      <c r="N329" s="136">
        <f t="shared" si="14"/>
        <v>6.9509999999999996</v>
      </c>
      <c r="R329" s="86"/>
      <c r="S329" s="86" t="s">
        <v>2766</v>
      </c>
      <c r="AC329" s="98" t="s">
        <v>3597</v>
      </c>
    </row>
    <row r="330" spans="1:29" x14ac:dyDescent="0.4">
      <c r="A330" s="102" t="s">
        <v>1583</v>
      </c>
      <c r="B330" s="85" t="s">
        <v>614</v>
      </c>
      <c r="C330" s="84" t="s">
        <v>1580</v>
      </c>
      <c r="D330" s="143" t="s">
        <v>4296</v>
      </c>
      <c r="E330" s="145"/>
      <c r="I330" s="106" t="s">
        <v>4027</v>
      </c>
      <c r="L330" s="100">
        <v>4600</v>
      </c>
      <c r="M330" s="100">
        <v>4590</v>
      </c>
      <c r="N330" s="136">
        <f t="shared" si="14"/>
        <v>21.114000000000001</v>
      </c>
      <c r="R330" s="86"/>
      <c r="S330" s="86" t="s">
        <v>2768</v>
      </c>
      <c r="AC330" s="98" t="s">
        <v>3596</v>
      </c>
    </row>
    <row r="331" spans="1:29" x14ac:dyDescent="0.4">
      <c r="A331" s="102" t="s">
        <v>1584</v>
      </c>
      <c r="B331" s="85" t="s">
        <v>614</v>
      </c>
      <c r="C331" s="84" t="s">
        <v>1580</v>
      </c>
      <c r="D331" s="143" t="s">
        <v>4296</v>
      </c>
      <c r="E331" s="145"/>
      <c r="I331" s="106" t="s">
        <v>4027</v>
      </c>
      <c r="L331" s="100">
        <v>4500</v>
      </c>
      <c r="M331" s="100">
        <v>4590</v>
      </c>
      <c r="N331" s="136">
        <f t="shared" si="14"/>
        <v>20.655000000000001</v>
      </c>
      <c r="R331" s="86"/>
      <c r="S331" s="86" t="s">
        <v>2766</v>
      </c>
      <c r="AC331" s="98" t="s">
        <v>3595</v>
      </c>
    </row>
    <row r="332" spans="1:29" x14ac:dyDescent="0.4">
      <c r="A332" s="102" t="s">
        <v>1585</v>
      </c>
      <c r="B332" s="85" t="s">
        <v>614</v>
      </c>
      <c r="C332" s="84" t="s">
        <v>1580</v>
      </c>
      <c r="D332" s="143" t="s">
        <v>4296</v>
      </c>
      <c r="E332" s="145"/>
      <c r="I332" s="106" t="s">
        <v>1133</v>
      </c>
      <c r="L332" s="100">
        <v>5100</v>
      </c>
      <c r="N332" s="136">
        <f t="shared" si="14"/>
        <v>0</v>
      </c>
      <c r="O332" s="88">
        <v>5500</v>
      </c>
      <c r="R332" s="86"/>
      <c r="S332" s="86" t="s">
        <v>2766</v>
      </c>
      <c r="AC332" s="98" t="s">
        <v>1586</v>
      </c>
    </row>
    <row r="333" spans="1:29" x14ac:dyDescent="0.4">
      <c r="A333" s="102" t="s">
        <v>1147</v>
      </c>
      <c r="B333" s="85" t="s">
        <v>2704</v>
      </c>
      <c r="C333" s="84" t="s">
        <v>4238</v>
      </c>
      <c r="D333" s="143" t="s">
        <v>4123</v>
      </c>
      <c r="E333" s="145"/>
      <c r="I333" s="106" t="s">
        <v>4027</v>
      </c>
      <c r="J333" s="86">
        <v>100</v>
      </c>
      <c r="L333" s="100">
        <v>2500</v>
      </c>
      <c r="M333" s="100">
        <v>3150</v>
      </c>
      <c r="N333" s="136">
        <f t="shared" si="14"/>
        <v>7.875</v>
      </c>
      <c r="P333" s="90" t="s">
        <v>1132</v>
      </c>
      <c r="Q333" s="86" t="s">
        <v>3053</v>
      </c>
      <c r="R333" s="86" t="s">
        <v>3078</v>
      </c>
      <c r="S333" s="86" t="s">
        <v>2768</v>
      </c>
      <c r="T333" s="91">
        <v>0.75</v>
      </c>
      <c r="V333" s="93">
        <v>1</v>
      </c>
      <c r="Z333" s="87" t="s">
        <v>3051</v>
      </c>
      <c r="AB333" s="86" t="s">
        <v>2769</v>
      </c>
      <c r="AC333" s="98" t="s">
        <v>3281</v>
      </c>
    </row>
    <row r="334" spans="1:29" x14ac:dyDescent="0.4">
      <c r="A334" s="102" t="s">
        <v>377</v>
      </c>
      <c r="B334" s="85" t="s">
        <v>2725</v>
      </c>
      <c r="C334" s="84" t="s">
        <v>4238</v>
      </c>
      <c r="D334" s="143" t="s">
        <v>4123</v>
      </c>
      <c r="E334" s="145"/>
      <c r="I334" s="106" t="s">
        <v>4027</v>
      </c>
      <c r="J334" s="86">
        <v>125</v>
      </c>
      <c r="L334" s="100">
        <v>2450</v>
      </c>
      <c r="M334" s="100">
        <v>3200</v>
      </c>
      <c r="N334" s="136">
        <f t="shared" si="14"/>
        <v>7.84</v>
      </c>
      <c r="P334" s="90" t="s">
        <v>1132</v>
      </c>
      <c r="Q334" s="86" t="s">
        <v>3053</v>
      </c>
      <c r="R334" s="86"/>
      <c r="S334" s="86" t="s">
        <v>2768</v>
      </c>
      <c r="T334" s="91">
        <v>0.75</v>
      </c>
      <c r="U334" s="92">
        <v>10</v>
      </c>
      <c r="V334" s="93">
        <v>1</v>
      </c>
      <c r="Z334" s="87" t="s">
        <v>3051</v>
      </c>
      <c r="AB334" s="86" t="s">
        <v>2769</v>
      </c>
      <c r="AC334" s="98" t="s">
        <v>3010</v>
      </c>
    </row>
    <row r="335" spans="1:29" x14ac:dyDescent="0.4">
      <c r="A335" s="102" t="s">
        <v>379</v>
      </c>
      <c r="B335" s="85" t="s">
        <v>787</v>
      </c>
      <c r="C335" s="84" t="s">
        <v>4238</v>
      </c>
      <c r="D335" s="143" t="s">
        <v>4123</v>
      </c>
      <c r="E335" s="145"/>
      <c r="I335" s="106" t="s">
        <v>4027</v>
      </c>
      <c r="J335" s="86">
        <v>125</v>
      </c>
      <c r="L335" s="100">
        <v>2450</v>
      </c>
      <c r="M335" s="100">
        <v>3200</v>
      </c>
      <c r="N335" s="136">
        <f t="shared" si="14"/>
        <v>7.84</v>
      </c>
      <c r="P335" s="90" t="s">
        <v>1132</v>
      </c>
      <c r="Q335" s="86" t="s">
        <v>3053</v>
      </c>
      <c r="R335" s="86"/>
      <c r="S335" s="86" t="s">
        <v>2768</v>
      </c>
      <c r="T335" s="91">
        <v>0.75</v>
      </c>
      <c r="U335" s="92">
        <v>10</v>
      </c>
      <c r="V335" s="93">
        <v>1</v>
      </c>
      <c r="Z335" s="99" t="s">
        <v>3051</v>
      </c>
      <c r="AB335" s="86" t="s">
        <v>2769</v>
      </c>
      <c r="AC335" s="98" t="s">
        <v>3008</v>
      </c>
    </row>
    <row r="336" spans="1:29" x14ac:dyDescent="0.4">
      <c r="A336" s="102" t="s">
        <v>390</v>
      </c>
      <c r="B336" s="85" t="s">
        <v>793</v>
      </c>
      <c r="C336" s="84" t="s">
        <v>4238</v>
      </c>
      <c r="D336" s="143" t="s">
        <v>4123</v>
      </c>
      <c r="E336" s="145"/>
      <c r="I336" s="106" t="s">
        <v>4027</v>
      </c>
      <c r="J336" s="86">
        <v>125</v>
      </c>
      <c r="L336" s="100">
        <v>2450</v>
      </c>
      <c r="M336" s="100">
        <v>3200</v>
      </c>
      <c r="N336" s="136">
        <f t="shared" si="14"/>
        <v>7.84</v>
      </c>
      <c r="P336" s="90" t="s">
        <v>1132</v>
      </c>
      <c r="Q336" s="86" t="s">
        <v>3053</v>
      </c>
      <c r="R336" s="86"/>
      <c r="S336" s="86" t="s">
        <v>2768</v>
      </c>
      <c r="T336" s="91">
        <v>0.75</v>
      </c>
      <c r="U336" s="92">
        <v>10</v>
      </c>
      <c r="V336" s="93">
        <v>1.5</v>
      </c>
      <c r="W336" s="94" t="s">
        <v>3049</v>
      </c>
      <c r="Z336" s="99" t="s">
        <v>3051</v>
      </c>
      <c r="AB336" s="86" t="s">
        <v>2769</v>
      </c>
      <c r="AC336" s="98" t="s">
        <v>3928</v>
      </c>
    </row>
    <row r="337" spans="1:29" x14ac:dyDescent="0.4">
      <c r="A337" s="102" t="s">
        <v>2794</v>
      </c>
      <c r="B337" s="85" t="s">
        <v>2755</v>
      </c>
      <c r="C337" s="84" t="s">
        <v>4238</v>
      </c>
      <c r="D337" s="143" t="s">
        <v>4123</v>
      </c>
      <c r="E337" s="145"/>
      <c r="I337" s="106" t="s">
        <v>4027</v>
      </c>
      <c r="J337" s="86">
        <v>125</v>
      </c>
      <c r="L337" s="100">
        <v>4080</v>
      </c>
      <c r="M337" s="100">
        <v>4300</v>
      </c>
      <c r="N337" s="136">
        <f t="shared" si="14"/>
        <v>17.544</v>
      </c>
      <c r="P337" s="90" t="s">
        <v>1132</v>
      </c>
      <c r="Q337" s="86" t="s">
        <v>3053</v>
      </c>
      <c r="R337" s="86"/>
      <c r="S337" s="86" t="s">
        <v>2768</v>
      </c>
      <c r="T337" s="91">
        <v>0.75</v>
      </c>
      <c r="U337" s="92">
        <v>15</v>
      </c>
      <c r="V337" s="93">
        <v>1.5</v>
      </c>
      <c r="W337" s="86" t="s">
        <v>3050</v>
      </c>
      <c r="AB337" s="86" t="s">
        <v>2769</v>
      </c>
      <c r="AC337" s="98" t="s">
        <v>2795</v>
      </c>
    </row>
    <row r="338" spans="1:29" x14ac:dyDescent="0.4">
      <c r="A338" s="102" t="s">
        <v>2797</v>
      </c>
      <c r="B338" s="85" t="s">
        <v>2755</v>
      </c>
      <c r="C338" s="84" t="s">
        <v>4238</v>
      </c>
      <c r="D338" s="143" t="s">
        <v>4123</v>
      </c>
      <c r="E338" s="145"/>
      <c r="I338" s="106" t="s">
        <v>4027</v>
      </c>
      <c r="J338" s="86">
        <v>125</v>
      </c>
      <c r="L338" s="100">
        <v>3900</v>
      </c>
      <c r="M338" s="100">
        <v>4300</v>
      </c>
      <c r="N338" s="136">
        <f t="shared" si="14"/>
        <v>16.77</v>
      </c>
      <c r="P338" s="90" t="s">
        <v>1132</v>
      </c>
      <c r="Q338" s="86" t="s">
        <v>3053</v>
      </c>
      <c r="R338" s="86"/>
      <c r="S338" s="86" t="s">
        <v>2768</v>
      </c>
      <c r="T338" s="91">
        <v>0.75</v>
      </c>
      <c r="U338" s="92">
        <v>15</v>
      </c>
      <c r="V338" s="93">
        <v>1.5</v>
      </c>
      <c r="W338" s="86" t="s">
        <v>3050</v>
      </c>
      <c r="AB338" s="86" t="s">
        <v>2769</v>
      </c>
      <c r="AC338" s="98" t="s">
        <v>2796</v>
      </c>
    </row>
    <row r="339" spans="1:29" x14ac:dyDescent="0.4">
      <c r="A339" s="83" t="s">
        <v>4178</v>
      </c>
      <c r="B339" s="64" t="s">
        <v>4167</v>
      </c>
      <c r="C339" s="84" t="s">
        <v>4240</v>
      </c>
      <c r="D339" s="143" t="s">
        <v>4123</v>
      </c>
      <c r="E339" s="143">
        <v>409516778</v>
      </c>
      <c r="F339" s="146" t="s">
        <v>4181</v>
      </c>
      <c r="G339" s="143" t="s">
        <v>4180</v>
      </c>
      <c r="H339" s="86">
        <v>1</v>
      </c>
      <c r="I339" s="106" t="s">
        <v>4027</v>
      </c>
      <c r="J339" s="86">
        <v>125</v>
      </c>
      <c r="L339" s="89">
        <v>2450</v>
      </c>
      <c r="M339" s="89">
        <v>3200</v>
      </c>
      <c r="N339" s="136">
        <f t="shared" si="14"/>
        <v>7.84</v>
      </c>
      <c r="P339" s="63" t="s">
        <v>3177</v>
      </c>
      <c r="Q339" s="86" t="s">
        <v>3053</v>
      </c>
      <c r="R339" s="86" t="s">
        <v>4182</v>
      </c>
      <c r="S339" s="86" t="s">
        <v>2766</v>
      </c>
      <c r="T339" s="91">
        <v>0.75</v>
      </c>
      <c r="U339" s="92">
        <f>IF(T339="NA","-",IF(T339&gt;=1.5,15,IF(T339=0.75,10,"")))</f>
        <v>10</v>
      </c>
      <c r="V339" s="93">
        <v>1</v>
      </c>
      <c r="W339" s="94" t="s">
        <v>4064</v>
      </c>
      <c r="X339" s="86" t="s">
        <v>4037</v>
      </c>
      <c r="AB339" s="86" t="s">
        <v>2769</v>
      </c>
      <c r="AC339" s="98" t="s">
        <v>4183</v>
      </c>
    </row>
    <row r="340" spans="1:29" x14ac:dyDescent="0.4">
      <c r="A340" s="83" t="s">
        <v>4179</v>
      </c>
      <c r="B340" s="64" t="s">
        <v>4167</v>
      </c>
      <c r="C340" s="84" t="s">
        <v>4240</v>
      </c>
      <c r="D340" s="143" t="s">
        <v>4123</v>
      </c>
      <c r="E340" s="143">
        <v>409516778</v>
      </c>
      <c r="F340" s="146" t="s">
        <v>4181</v>
      </c>
      <c r="G340" s="143" t="s">
        <v>4180</v>
      </c>
      <c r="H340" s="86">
        <v>1</v>
      </c>
      <c r="I340" s="106" t="s">
        <v>4027</v>
      </c>
      <c r="J340" s="86">
        <v>125</v>
      </c>
      <c r="L340" s="89">
        <v>2500</v>
      </c>
      <c r="M340" s="89">
        <v>3200</v>
      </c>
      <c r="N340" s="136">
        <f t="shared" si="14"/>
        <v>8</v>
      </c>
      <c r="P340" s="63" t="s">
        <v>3177</v>
      </c>
      <c r="Q340" s="86" t="s">
        <v>3053</v>
      </c>
      <c r="R340" s="86" t="s">
        <v>4182</v>
      </c>
      <c r="S340" s="86" t="s">
        <v>2768</v>
      </c>
      <c r="T340" s="91">
        <v>0.75</v>
      </c>
      <c r="U340" s="92">
        <f>IF(T340="NA","-",IF(T340&gt;=1.5,15,IF(T340=0.75,10,"")))</f>
        <v>10</v>
      </c>
      <c r="V340" s="93">
        <v>1</v>
      </c>
      <c r="W340" s="94" t="s">
        <v>4064</v>
      </c>
      <c r="X340" s="86" t="s">
        <v>4037</v>
      </c>
      <c r="AB340" s="86" t="s">
        <v>2769</v>
      </c>
    </row>
    <row r="341" spans="1:29" x14ac:dyDescent="0.4">
      <c r="A341" s="102" t="s">
        <v>3739</v>
      </c>
      <c r="B341" s="85" t="s">
        <v>1891</v>
      </c>
      <c r="C341" s="84" t="s">
        <v>3736</v>
      </c>
      <c r="E341" s="145"/>
      <c r="I341" s="106" t="s">
        <v>4027</v>
      </c>
      <c r="J341" s="86">
        <v>100</v>
      </c>
      <c r="L341" s="100">
        <v>2400</v>
      </c>
      <c r="M341" s="100">
        <v>3150</v>
      </c>
      <c r="N341" s="136">
        <f t="shared" si="14"/>
        <v>7.56</v>
      </c>
      <c r="P341" s="90" t="s">
        <v>1132</v>
      </c>
      <c r="Q341" s="86" t="s">
        <v>3737</v>
      </c>
      <c r="R341" s="86"/>
      <c r="S341" s="86" t="s">
        <v>2766</v>
      </c>
      <c r="T341" s="91">
        <v>0.75</v>
      </c>
      <c r="Z341" s="87" t="s">
        <v>3051</v>
      </c>
      <c r="AB341" s="86" t="s">
        <v>2769</v>
      </c>
      <c r="AC341" s="98" t="s">
        <v>3738</v>
      </c>
    </row>
    <row r="342" spans="1:29" x14ac:dyDescent="0.4">
      <c r="A342" s="102" t="s">
        <v>3740</v>
      </c>
      <c r="B342" s="85" t="s">
        <v>1891</v>
      </c>
      <c r="C342" s="84" t="s">
        <v>3736</v>
      </c>
      <c r="E342" s="145"/>
      <c r="I342" s="106" t="s">
        <v>4027</v>
      </c>
      <c r="J342" s="86">
        <v>100</v>
      </c>
      <c r="L342" s="100">
        <v>1500</v>
      </c>
      <c r="M342" s="118">
        <v>2800</v>
      </c>
      <c r="N342" s="136">
        <f t="shared" si="14"/>
        <v>4.2</v>
      </c>
      <c r="P342" s="63" t="s">
        <v>3741</v>
      </c>
      <c r="Q342" s="86" t="s">
        <v>3737</v>
      </c>
      <c r="R342" s="86"/>
      <c r="S342" s="86" t="s">
        <v>2766</v>
      </c>
      <c r="T342" s="91">
        <v>0.75</v>
      </c>
      <c r="Z342" s="87" t="s">
        <v>3051</v>
      </c>
      <c r="AB342" s="86" t="s">
        <v>2769</v>
      </c>
      <c r="AC342" s="98" t="s">
        <v>3742</v>
      </c>
    </row>
    <row r="343" spans="1:29" x14ac:dyDescent="0.4">
      <c r="A343" s="102" t="s">
        <v>3495</v>
      </c>
      <c r="B343" s="85" t="s">
        <v>696</v>
      </c>
      <c r="C343" s="84" t="s">
        <v>4370</v>
      </c>
      <c r="D343" s="143" t="s">
        <v>4371</v>
      </c>
      <c r="E343" s="145" t="s">
        <v>4372</v>
      </c>
      <c r="I343" s="106" t="s">
        <v>4027</v>
      </c>
      <c r="J343" s="86">
        <v>100</v>
      </c>
      <c r="L343" s="100">
        <v>2400</v>
      </c>
      <c r="M343" s="100">
        <v>3350</v>
      </c>
      <c r="N343" s="136">
        <f t="shared" si="14"/>
        <v>8.0399999999999991</v>
      </c>
      <c r="P343" s="90" t="s">
        <v>1132</v>
      </c>
      <c r="Q343" s="86" t="s">
        <v>3053</v>
      </c>
      <c r="R343" s="86"/>
      <c r="S343" s="86" t="s">
        <v>2766</v>
      </c>
      <c r="T343" s="91">
        <v>0.75</v>
      </c>
      <c r="Z343" s="87" t="s">
        <v>3051</v>
      </c>
      <c r="AB343" s="86" t="s">
        <v>2769</v>
      </c>
      <c r="AC343" s="98" t="s">
        <v>3720</v>
      </c>
    </row>
    <row r="344" spans="1:29" x14ac:dyDescent="0.4">
      <c r="A344" s="102" t="s">
        <v>3496</v>
      </c>
      <c r="B344" s="85" t="s">
        <v>696</v>
      </c>
      <c r="C344" s="84" t="s">
        <v>4370</v>
      </c>
      <c r="D344" s="143" t="s">
        <v>4371</v>
      </c>
      <c r="E344" s="145" t="s">
        <v>4372</v>
      </c>
      <c r="I344" s="106" t="s">
        <v>4027</v>
      </c>
      <c r="J344" s="86">
        <v>100</v>
      </c>
      <c r="L344" s="100">
        <v>3400</v>
      </c>
      <c r="M344" s="100">
        <v>3500</v>
      </c>
      <c r="N344" s="136">
        <f t="shared" si="14"/>
        <v>11.9</v>
      </c>
      <c r="P344" s="90" t="s">
        <v>1132</v>
      </c>
      <c r="Q344" s="86" t="s">
        <v>3053</v>
      </c>
      <c r="R344" s="86"/>
      <c r="S344" s="86" t="s">
        <v>2766</v>
      </c>
      <c r="T344" s="91">
        <v>0.75</v>
      </c>
      <c r="V344" s="93">
        <v>2</v>
      </c>
      <c r="Z344" s="87" t="s">
        <v>3051</v>
      </c>
      <c r="AB344" s="86" t="s">
        <v>2769</v>
      </c>
      <c r="AC344" s="98" t="s">
        <v>3721</v>
      </c>
    </row>
    <row r="345" spans="1:29" x14ac:dyDescent="0.4">
      <c r="A345" s="102" t="s">
        <v>3420</v>
      </c>
      <c r="B345" s="85" t="s">
        <v>704</v>
      </c>
      <c r="C345" s="84" t="s">
        <v>4370</v>
      </c>
      <c r="D345" s="143" t="s">
        <v>4371</v>
      </c>
      <c r="E345" s="145" t="s">
        <v>4372</v>
      </c>
      <c r="I345" s="106" t="s">
        <v>4027</v>
      </c>
      <c r="J345" s="86">
        <v>100</v>
      </c>
      <c r="L345" s="100">
        <v>2400</v>
      </c>
      <c r="M345" s="100">
        <v>3350</v>
      </c>
      <c r="N345" s="136">
        <f t="shared" si="14"/>
        <v>8.0399999999999991</v>
      </c>
      <c r="P345" s="90" t="s">
        <v>1132</v>
      </c>
      <c r="Q345" s="86" t="s">
        <v>3053</v>
      </c>
      <c r="R345" s="86" t="s">
        <v>3078</v>
      </c>
      <c r="S345" s="86" t="s">
        <v>2766</v>
      </c>
      <c r="T345" s="91">
        <v>0.75</v>
      </c>
      <c r="AA345" s="111" t="s">
        <v>3052</v>
      </c>
      <c r="AB345" s="86" t="s">
        <v>2769</v>
      </c>
      <c r="AC345" s="98" t="s">
        <v>3289</v>
      </c>
    </row>
    <row r="346" spans="1:29" x14ac:dyDescent="0.4">
      <c r="A346" s="102" t="s">
        <v>287</v>
      </c>
      <c r="B346" s="85" t="s">
        <v>3385</v>
      </c>
      <c r="C346" s="84" t="s">
        <v>4370</v>
      </c>
      <c r="D346" s="143" t="s">
        <v>4371</v>
      </c>
      <c r="E346" s="145" t="s">
        <v>4372</v>
      </c>
      <c r="I346" s="106" t="s">
        <v>4027</v>
      </c>
      <c r="J346" s="86">
        <v>100</v>
      </c>
      <c r="L346" s="100">
        <v>2550</v>
      </c>
      <c r="M346" s="100">
        <v>3500</v>
      </c>
      <c r="N346" s="136">
        <f t="shared" si="14"/>
        <v>8.9250000000000007</v>
      </c>
      <c r="P346" s="90" t="s">
        <v>1132</v>
      </c>
      <c r="Q346" s="86" t="s">
        <v>3053</v>
      </c>
      <c r="R346" s="86" t="s">
        <v>3078</v>
      </c>
      <c r="S346" s="86" t="s">
        <v>2768</v>
      </c>
      <c r="T346" s="91">
        <v>0.75</v>
      </c>
      <c r="V346" s="93">
        <v>3.5</v>
      </c>
      <c r="W346" s="94" t="s">
        <v>3049</v>
      </c>
      <c r="AA346" s="111" t="s">
        <v>3052</v>
      </c>
      <c r="AB346" s="86" t="s">
        <v>2769</v>
      </c>
      <c r="AC346" s="98" t="s">
        <v>3285</v>
      </c>
    </row>
    <row r="347" spans="1:29" x14ac:dyDescent="0.4">
      <c r="A347" s="102" t="s">
        <v>3195</v>
      </c>
      <c r="B347" s="85" t="s">
        <v>755</v>
      </c>
      <c r="C347" s="84" t="s">
        <v>4370</v>
      </c>
      <c r="D347" s="143" t="s">
        <v>4371</v>
      </c>
      <c r="E347" s="145" t="s">
        <v>4372</v>
      </c>
      <c r="I347" s="106" t="s">
        <v>4027</v>
      </c>
      <c r="J347" s="86">
        <v>125</v>
      </c>
      <c r="L347" s="100">
        <v>3150</v>
      </c>
      <c r="M347" s="100">
        <v>3700</v>
      </c>
      <c r="N347" s="136">
        <f t="shared" si="14"/>
        <v>11.654999999999999</v>
      </c>
      <c r="P347" s="90" t="s">
        <v>1132</v>
      </c>
      <c r="Q347" s="86" t="s">
        <v>3053</v>
      </c>
      <c r="R347" s="86"/>
      <c r="S347" s="86" t="s">
        <v>2766</v>
      </c>
      <c r="T347" s="91">
        <v>0.75</v>
      </c>
      <c r="V347" s="93">
        <v>1</v>
      </c>
      <c r="Z347" s="87" t="s">
        <v>3051</v>
      </c>
      <c r="AB347" s="86" t="s">
        <v>2769</v>
      </c>
      <c r="AC347" s="98" t="s">
        <v>3263</v>
      </c>
    </row>
    <row r="348" spans="1:29" x14ac:dyDescent="0.4">
      <c r="A348" s="102" t="s">
        <v>3196</v>
      </c>
      <c r="B348" s="85" t="s">
        <v>755</v>
      </c>
      <c r="C348" s="84" t="s">
        <v>4370</v>
      </c>
      <c r="D348" s="143" t="s">
        <v>4371</v>
      </c>
      <c r="E348" s="145" t="s">
        <v>4372</v>
      </c>
      <c r="I348" s="106" t="s">
        <v>4027</v>
      </c>
      <c r="J348" s="86">
        <v>125</v>
      </c>
      <c r="L348" s="100">
        <v>2850</v>
      </c>
      <c r="M348" s="100">
        <v>3200</v>
      </c>
      <c r="N348" s="136">
        <f t="shared" si="14"/>
        <v>9.1199999999999992</v>
      </c>
      <c r="P348" s="90" t="s">
        <v>1132</v>
      </c>
      <c r="Q348" s="86" t="s">
        <v>3053</v>
      </c>
      <c r="R348" s="86"/>
      <c r="S348" s="86" t="s">
        <v>2768</v>
      </c>
      <c r="T348" s="91">
        <v>0.75</v>
      </c>
      <c r="V348" s="93">
        <v>1</v>
      </c>
      <c r="Z348" s="87" t="s">
        <v>3051</v>
      </c>
      <c r="AB348" s="86" t="s">
        <v>2769</v>
      </c>
      <c r="AC348" s="98" t="s">
        <v>3264</v>
      </c>
    </row>
    <row r="349" spans="1:29" x14ac:dyDescent="0.4">
      <c r="A349" s="102" t="s">
        <v>363</v>
      </c>
      <c r="B349" s="85" t="s">
        <v>783</v>
      </c>
      <c r="C349" s="84" t="s">
        <v>4370</v>
      </c>
      <c r="D349" s="143" t="s">
        <v>4371</v>
      </c>
      <c r="E349" s="145" t="s">
        <v>4372</v>
      </c>
      <c r="I349" s="106" t="s">
        <v>4027</v>
      </c>
      <c r="J349" s="86">
        <v>125</v>
      </c>
      <c r="L349" s="100">
        <v>2700</v>
      </c>
      <c r="M349" s="100">
        <v>3700</v>
      </c>
      <c r="N349" s="136">
        <f t="shared" si="14"/>
        <v>9.99</v>
      </c>
      <c r="P349" s="90" t="s">
        <v>1132</v>
      </c>
      <c r="Q349" s="86" t="s">
        <v>3053</v>
      </c>
      <c r="R349" s="86"/>
      <c r="S349" s="86" t="s">
        <v>2768</v>
      </c>
      <c r="T349" s="91">
        <v>0.75</v>
      </c>
      <c r="U349" s="92">
        <v>10</v>
      </c>
      <c r="Z349" s="87" t="s">
        <v>3051</v>
      </c>
      <c r="AB349" s="86" t="s">
        <v>2769</v>
      </c>
      <c r="AC349" s="98" t="s">
        <v>3018</v>
      </c>
    </row>
    <row r="350" spans="1:29" x14ac:dyDescent="0.4">
      <c r="A350" s="102" t="s">
        <v>89</v>
      </c>
      <c r="B350" s="85" t="s">
        <v>1591</v>
      </c>
      <c r="C350" s="84" t="s">
        <v>877</v>
      </c>
      <c r="E350" s="145"/>
      <c r="I350" s="106" t="s">
        <v>3001</v>
      </c>
      <c r="R350" s="86"/>
      <c r="AC350" s="98" t="s">
        <v>1592</v>
      </c>
    </row>
    <row r="351" spans="1:29" x14ac:dyDescent="0.4">
      <c r="A351" s="102" t="s">
        <v>510</v>
      </c>
      <c r="B351" s="85" t="s">
        <v>855</v>
      </c>
      <c r="C351" s="84" t="s">
        <v>877</v>
      </c>
      <c r="E351" s="145"/>
      <c r="I351" s="106" t="s">
        <v>3001</v>
      </c>
      <c r="R351" s="86"/>
      <c r="AC351" s="98" t="s">
        <v>2057</v>
      </c>
    </row>
    <row r="352" spans="1:29" x14ac:dyDescent="0.4">
      <c r="A352" s="102" t="s">
        <v>23</v>
      </c>
      <c r="B352" s="85" t="s">
        <v>575</v>
      </c>
      <c r="C352" s="84" t="s">
        <v>3887</v>
      </c>
      <c r="D352" s="143" t="s">
        <v>4392</v>
      </c>
      <c r="E352" s="145" t="s">
        <v>4393</v>
      </c>
      <c r="H352" s="86">
        <v>8</v>
      </c>
      <c r="I352" s="106" t="s">
        <v>3001</v>
      </c>
      <c r="R352" s="86"/>
      <c r="AA352" s="99" t="s">
        <v>3886</v>
      </c>
      <c r="AC352" s="98" t="s">
        <v>3892</v>
      </c>
    </row>
    <row r="353" spans="1:29" x14ac:dyDescent="0.4">
      <c r="A353" s="102" t="s">
        <v>1383</v>
      </c>
      <c r="B353" s="85" t="s">
        <v>1379</v>
      </c>
      <c r="C353" s="84" t="s">
        <v>4390</v>
      </c>
      <c r="D353" s="143" t="s">
        <v>4336</v>
      </c>
      <c r="E353" s="145" t="s">
        <v>4386</v>
      </c>
      <c r="H353" s="86">
        <v>2</v>
      </c>
      <c r="I353" s="106" t="s">
        <v>1133</v>
      </c>
      <c r="L353" s="100">
        <v>7000</v>
      </c>
      <c r="M353" s="100">
        <v>4500</v>
      </c>
      <c r="N353" s="136">
        <f t="shared" ref="N353:N384" si="15">L353*M353/1000000</f>
        <v>31.5</v>
      </c>
      <c r="R353" s="86"/>
      <c r="AC353" s="98" t="s">
        <v>1385</v>
      </c>
    </row>
    <row r="354" spans="1:29" x14ac:dyDescent="0.4">
      <c r="A354" s="102" t="s">
        <v>1163</v>
      </c>
      <c r="B354" s="85" t="s">
        <v>2663</v>
      </c>
      <c r="C354" s="84" t="s">
        <v>4391</v>
      </c>
      <c r="D354" s="143" t="s">
        <v>4336</v>
      </c>
      <c r="E354" s="145" t="s">
        <v>4386</v>
      </c>
      <c r="I354" s="106" t="s">
        <v>2998</v>
      </c>
      <c r="L354" s="100">
        <v>7000</v>
      </c>
      <c r="M354" s="100">
        <v>4150</v>
      </c>
      <c r="N354" s="136">
        <f t="shared" si="15"/>
        <v>29.05</v>
      </c>
      <c r="O354" s="88">
        <v>5050</v>
      </c>
      <c r="R354" s="86"/>
      <c r="AC354" s="98" t="s">
        <v>2600</v>
      </c>
    </row>
    <row r="355" spans="1:29" x14ac:dyDescent="0.4">
      <c r="A355" s="102" t="s">
        <v>295</v>
      </c>
      <c r="B355" s="85" t="s">
        <v>3374</v>
      </c>
      <c r="C355" s="84" t="s">
        <v>4389</v>
      </c>
      <c r="D355" s="143" t="s">
        <v>4387</v>
      </c>
      <c r="E355" s="145" t="s">
        <v>4388</v>
      </c>
      <c r="I355" s="106" t="s">
        <v>1131</v>
      </c>
      <c r="J355" s="86">
        <v>125</v>
      </c>
      <c r="L355" s="100">
        <v>5300</v>
      </c>
      <c r="M355" s="100">
        <v>3500</v>
      </c>
      <c r="N355" s="136">
        <f t="shared" si="15"/>
        <v>18.55</v>
      </c>
      <c r="P355" s="90" t="s">
        <v>3375</v>
      </c>
      <c r="Q355" s="86" t="s">
        <v>1439</v>
      </c>
      <c r="R355" s="86" t="s">
        <v>3077</v>
      </c>
      <c r="T355" s="91">
        <v>1.5</v>
      </c>
      <c r="Z355" s="86" t="s">
        <v>3185</v>
      </c>
      <c r="AC355" s="98" t="s">
        <v>3522</v>
      </c>
    </row>
    <row r="356" spans="1:29" x14ac:dyDescent="0.4">
      <c r="A356" s="102" t="s">
        <v>160</v>
      </c>
      <c r="B356" s="85" t="s">
        <v>643</v>
      </c>
      <c r="C356" s="84" t="s">
        <v>1861</v>
      </c>
      <c r="E356" s="145"/>
      <c r="H356" s="86">
        <v>2</v>
      </c>
      <c r="I356" s="106" t="s">
        <v>4027</v>
      </c>
      <c r="J356" s="86">
        <v>100</v>
      </c>
      <c r="L356" s="100">
        <v>3000</v>
      </c>
      <c r="M356" s="100">
        <v>3100</v>
      </c>
      <c r="N356" s="136">
        <f t="shared" si="15"/>
        <v>9.3000000000000007</v>
      </c>
      <c r="Q356" s="86" t="s">
        <v>3795</v>
      </c>
      <c r="R356" s="86"/>
      <c r="S356" s="86" t="s">
        <v>2766</v>
      </c>
      <c r="AB356" s="86" t="s">
        <v>2769</v>
      </c>
      <c r="AC356" s="98" t="s">
        <v>3999</v>
      </c>
    </row>
    <row r="357" spans="1:29" x14ac:dyDescent="0.4">
      <c r="A357" s="102" t="s">
        <v>3347</v>
      </c>
      <c r="B357" s="85" t="s">
        <v>734</v>
      </c>
      <c r="C357" s="84" t="s">
        <v>4394</v>
      </c>
      <c r="D357" s="143" t="s">
        <v>4395</v>
      </c>
      <c r="E357" s="145" t="s">
        <v>4396</v>
      </c>
      <c r="I357" s="106" t="s">
        <v>4027</v>
      </c>
      <c r="J357" s="86">
        <v>125</v>
      </c>
      <c r="L357" s="100">
        <v>4040</v>
      </c>
      <c r="M357" s="100">
        <v>4150</v>
      </c>
      <c r="N357" s="136">
        <f t="shared" si="15"/>
        <v>16.765999999999998</v>
      </c>
      <c r="P357" s="63" t="s">
        <v>3177</v>
      </c>
      <c r="Q357" s="86" t="s">
        <v>3053</v>
      </c>
      <c r="R357" s="86" t="s">
        <v>3078</v>
      </c>
      <c r="S357" s="86" t="s">
        <v>2768</v>
      </c>
      <c r="T357" s="91">
        <v>1.5</v>
      </c>
      <c r="Z357" s="87" t="s">
        <v>3051</v>
      </c>
      <c r="AB357" s="86" t="s">
        <v>2769</v>
      </c>
      <c r="AC357" s="98" t="s">
        <v>3275</v>
      </c>
    </row>
    <row r="358" spans="1:29" x14ac:dyDescent="0.4">
      <c r="A358" s="102" t="s">
        <v>3348</v>
      </c>
      <c r="B358" s="85" t="s">
        <v>734</v>
      </c>
      <c r="C358" s="84" t="s">
        <v>4394</v>
      </c>
      <c r="D358" s="143" t="s">
        <v>4395</v>
      </c>
      <c r="E358" s="145" t="s">
        <v>4396</v>
      </c>
      <c r="I358" s="106" t="s">
        <v>4027</v>
      </c>
      <c r="J358" s="86">
        <v>125</v>
      </c>
      <c r="L358" s="100">
        <v>4040</v>
      </c>
      <c r="M358" s="100">
        <v>4150</v>
      </c>
      <c r="N358" s="136">
        <f t="shared" si="15"/>
        <v>16.765999999999998</v>
      </c>
      <c r="P358" s="63" t="s">
        <v>3177</v>
      </c>
      <c r="Q358" s="86" t="s">
        <v>3053</v>
      </c>
      <c r="R358" s="86" t="s">
        <v>3078</v>
      </c>
      <c r="S358" s="86" t="s">
        <v>2766</v>
      </c>
      <c r="T358" s="91">
        <v>1.5</v>
      </c>
      <c r="Z358" s="87" t="s">
        <v>3051</v>
      </c>
      <c r="AB358" s="86" t="s">
        <v>2769</v>
      </c>
      <c r="AC358" s="98" t="s">
        <v>3349</v>
      </c>
    </row>
    <row r="359" spans="1:29" x14ac:dyDescent="0.4">
      <c r="A359" s="102" t="s">
        <v>210</v>
      </c>
      <c r="B359" s="85" t="s">
        <v>670</v>
      </c>
      <c r="C359" s="84" t="s">
        <v>4394</v>
      </c>
      <c r="D359" s="143" t="s">
        <v>4395</v>
      </c>
      <c r="E359" s="145" t="s">
        <v>4396</v>
      </c>
      <c r="H359" s="86">
        <v>2</v>
      </c>
      <c r="I359" s="106" t="s">
        <v>4027</v>
      </c>
      <c r="J359" s="86">
        <v>100</v>
      </c>
      <c r="L359" s="100">
        <v>4100</v>
      </c>
      <c r="M359" s="100">
        <v>4150</v>
      </c>
      <c r="N359" s="136">
        <f t="shared" si="15"/>
        <v>17.015000000000001</v>
      </c>
      <c r="P359" s="63" t="s">
        <v>3177</v>
      </c>
      <c r="Q359" s="86" t="s">
        <v>3053</v>
      </c>
      <c r="R359" s="86"/>
      <c r="S359" s="86" t="s">
        <v>2768</v>
      </c>
      <c r="T359" s="91">
        <v>1.5</v>
      </c>
      <c r="Z359" s="87" t="s">
        <v>3051</v>
      </c>
      <c r="AB359" s="86" t="s">
        <v>2769</v>
      </c>
      <c r="AC359" s="98" t="s">
        <v>3969</v>
      </c>
    </row>
    <row r="360" spans="1:29" x14ac:dyDescent="0.4">
      <c r="A360" s="102" t="s">
        <v>2927</v>
      </c>
      <c r="B360" s="85" t="s">
        <v>2737</v>
      </c>
      <c r="C360" s="84" t="s">
        <v>4394</v>
      </c>
      <c r="D360" s="143" t="s">
        <v>4395</v>
      </c>
      <c r="E360" s="145" t="s">
        <v>4396</v>
      </c>
      <c r="I360" s="106" t="s">
        <v>4027</v>
      </c>
      <c r="J360" s="86">
        <v>100</v>
      </c>
      <c r="L360" s="100">
        <v>3590</v>
      </c>
      <c r="M360" s="107">
        <v>4150</v>
      </c>
      <c r="N360" s="136">
        <f t="shared" si="15"/>
        <v>14.8985</v>
      </c>
      <c r="P360" s="63" t="s">
        <v>3177</v>
      </c>
      <c r="Q360" s="86" t="s">
        <v>3053</v>
      </c>
      <c r="R360" s="86"/>
      <c r="S360" s="86" t="s">
        <v>2768</v>
      </c>
      <c r="T360" s="91">
        <v>1.5</v>
      </c>
      <c r="U360" s="92">
        <v>15</v>
      </c>
      <c r="V360" s="93">
        <v>1</v>
      </c>
      <c r="Z360" s="99" t="s">
        <v>3051</v>
      </c>
      <c r="AB360" s="86" t="s">
        <v>2769</v>
      </c>
      <c r="AC360" s="98" t="s">
        <v>3922</v>
      </c>
    </row>
    <row r="361" spans="1:29" x14ac:dyDescent="0.4">
      <c r="A361" s="102" t="s">
        <v>2928</v>
      </c>
      <c r="B361" s="85" t="s">
        <v>2737</v>
      </c>
      <c r="C361" s="84" t="s">
        <v>4394</v>
      </c>
      <c r="D361" s="143" t="s">
        <v>4395</v>
      </c>
      <c r="E361" s="145" t="s">
        <v>4396</v>
      </c>
      <c r="I361" s="106" t="s">
        <v>4027</v>
      </c>
      <c r="J361" s="86">
        <v>100</v>
      </c>
      <c r="L361" s="100">
        <v>4060</v>
      </c>
      <c r="M361" s="107">
        <v>4850</v>
      </c>
      <c r="N361" s="136">
        <f t="shared" si="15"/>
        <v>19.690999999999999</v>
      </c>
      <c r="Q361" s="86" t="s">
        <v>3053</v>
      </c>
      <c r="R361" s="86"/>
      <c r="S361" s="86" t="s">
        <v>2768</v>
      </c>
      <c r="V361" s="93">
        <v>1</v>
      </c>
      <c r="Z361" s="99" t="s">
        <v>3051</v>
      </c>
      <c r="AB361" s="86" t="s">
        <v>2769</v>
      </c>
      <c r="AC361" s="98" t="s">
        <v>2929</v>
      </c>
    </row>
    <row r="362" spans="1:29" x14ac:dyDescent="0.4">
      <c r="A362" s="102" t="s">
        <v>2930</v>
      </c>
      <c r="B362" s="85" t="s">
        <v>2737</v>
      </c>
      <c r="C362" s="84" t="s">
        <v>4394</v>
      </c>
      <c r="D362" s="143" t="s">
        <v>4395</v>
      </c>
      <c r="E362" s="145" t="s">
        <v>4396</v>
      </c>
      <c r="I362" s="106" t="s">
        <v>4027</v>
      </c>
      <c r="J362" s="86">
        <v>100</v>
      </c>
      <c r="L362" s="100">
        <v>4027</v>
      </c>
      <c r="M362" s="107">
        <v>4870</v>
      </c>
      <c r="N362" s="136">
        <f t="shared" si="15"/>
        <v>19.61149</v>
      </c>
      <c r="Q362" s="86" t="s">
        <v>3053</v>
      </c>
      <c r="R362" s="86"/>
      <c r="S362" s="86" t="s">
        <v>2766</v>
      </c>
      <c r="V362" s="93">
        <v>1</v>
      </c>
      <c r="Z362" s="99" t="s">
        <v>3051</v>
      </c>
      <c r="AB362" s="86" t="s">
        <v>2769</v>
      </c>
      <c r="AC362" s="98" t="s">
        <v>2931</v>
      </c>
    </row>
    <row r="363" spans="1:29" x14ac:dyDescent="0.4">
      <c r="A363" s="102" t="s">
        <v>2932</v>
      </c>
      <c r="B363" s="85" t="s">
        <v>2737</v>
      </c>
      <c r="C363" s="84" t="s">
        <v>4394</v>
      </c>
      <c r="D363" s="143" t="s">
        <v>4395</v>
      </c>
      <c r="E363" s="145" t="s">
        <v>4396</v>
      </c>
      <c r="I363" s="106" t="s">
        <v>4027</v>
      </c>
      <c r="J363" s="86">
        <v>100</v>
      </c>
      <c r="L363" s="100">
        <v>4027</v>
      </c>
      <c r="M363" s="107">
        <v>4190</v>
      </c>
      <c r="N363" s="136">
        <f t="shared" si="15"/>
        <v>16.87313</v>
      </c>
      <c r="Q363" s="86" t="s">
        <v>3053</v>
      </c>
      <c r="R363" s="86"/>
      <c r="S363" s="86" t="s">
        <v>2766</v>
      </c>
      <c r="V363" s="93">
        <v>1</v>
      </c>
      <c r="Z363" s="99" t="s">
        <v>3051</v>
      </c>
      <c r="AB363" s="86" t="s">
        <v>2769</v>
      </c>
      <c r="AC363" s="98" t="s">
        <v>2933</v>
      </c>
    </row>
    <row r="364" spans="1:29" x14ac:dyDescent="0.4">
      <c r="A364" s="102" t="s">
        <v>2934</v>
      </c>
      <c r="B364" s="85" t="s">
        <v>2737</v>
      </c>
      <c r="C364" s="84" t="s">
        <v>4394</v>
      </c>
      <c r="D364" s="143" t="s">
        <v>4395</v>
      </c>
      <c r="E364" s="145" t="s">
        <v>4396</v>
      </c>
      <c r="H364" s="86">
        <v>2</v>
      </c>
      <c r="I364" s="106" t="s">
        <v>4027</v>
      </c>
      <c r="J364" s="86">
        <v>100</v>
      </c>
      <c r="L364" s="100">
        <v>4100</v>
      </c>
      <c r="M364" s="100">
        <v>4150</v>
      </c>
      <c r="N364" s="136">
        <f t="shared" si="15"/>
        <v>17.015000000000001</v>
      </c>
      <c r="Q364" s="86" t="s">
        <v>3053</v>
      </c>
      <c r="R364" s="86"/>
      <c r="S364" s="86" t="s">
        <v>2768</v>
      </c>
      <c r="V364" s="93">
        <v>1</v>
      </c>
      <c r="Z364" s="99" t="s">
        <v>3051</v>
      </c>
      <c r="AB364" s="86" t="s">
        <v>2769</v>
      </c>
      <c r="AC364" s="98" t="s">
        <v>2935</v>
      </c>
    </row>
    <row r="365" spans="1:29" x14ac:dyDescent="0.4">
      <c r="A365" s="102" t="s">
        <v>441</v>
      </c>
      <c r="B365" s="85" t="s">
        <v>2738</v>
      </c>
      <c r="C365" s="84" t="s">
        <v>4394</v>
      </c>
      <c r="D365" s="143" t="s">
        <v>4395</v>
      </c>
      <c r="E365" s="145" t="s">
        <v>4396</v>
      </c>
      <c r="I365" s="106" t="s">
        <v>4027</v>
      </c>
      <c r="J365" s="86">
        <v>100</v>
      </c>
      <c r="L365" s="100">
        <v>2500</v>
      </c>
      <c r="M365" s="107">
        <v>4130</v>
      </c>
      <c r="N365" s="136">
        <f t="shared" si="15"/>
        <v>10.324999999999999</v>
      </c>
      <c r="P365" s="63" t="s">
        <v>3177</v>
      </c>
      <c r="Q365" s="86" t="s">
        <v>3053</v>
      </c>
      <c r="R365" s="86"/>
      <c r="S365" s="86" t="s">
        <v>2768</v>
      </c>
      <c r="T365" s="91">
        <v>1.5</v>
      </c>
      <c r="U365" s="92">
        <v>15</v>
      </c>
      <c r="W365" s="94" t="s">
        <v>3050</v>
      </c>
      <c r="Z365" s="99" t="s">
        <v>3051</v>
      </c>
      <c r="AB365" s="86" t="s">
        <v>2769</v>
      </c>
      <c r="AC365" s="98" t="s">
        <v>2898</v>
      </c>
    </row>
    <row r="366" spans="1:29" x14ac:dyDescent="0.4">
      <c r="A366" s="102" t="s">
        <v>3404</v>
      </c>
      <c r="B366" s="85" t="s">
        <v>2696</v>
      </c>
      <c r="C366" s="84" t="s">
        <v>4337</v>
      </c>
      <c r="D366" s="143" t="s">
        <v>4341</v>
      </c>
      <c r="E366" s="145"/>
      <c r="I366" s="106" t="s">
        <v>4027</v>
      </c>
      <c r="J366" s="86">
        <v>125</v>
      </c>
      <c r="L366" s="100">
        <v>3350</v>
      </c>
      <c r="M366" s="100">
        <v>2650</v>
      </c>
      <c r="N366" s="136">
        <f t="shared" si="15"/>
        <v>8.8774999999999995</v>
      </c>
      <c r="P366" s="63" t="s">
        <v>3177</v>
      </c>
      <c r="Q366" s="86" t="s">
        <v>3059</v>
      </c>
      <c r="R366" s="86" t="s">
        <v>3078</v>
      </c>
      <c r="S366" s="86" t="s">
        <v>2768</v>
      </c>
      <c r="T366" s="91">
        <v>0.75</v>
      </c>
      <c r="V366" s="93">
        <v>2</v>
      </c>
      <c r="W366" s="94" t="s">
        <v>3049</v>
      </c>
      <c r="Z366" s="87" t="s">
        <v>3051</v>
      </c>
      <c r="AB366" s="86" t="s">
        <v>2769</v>
      </c>
      <c r="AC366" s="98" t="s">
        <v>3403</v>
      </c>
    </row>
    <row r="367" spans="1:29" x14ac:dyDescent="0.4">
      <c r="A367" s="102" t="s">
        <v>3405</v>
      </c>
      <c r="B367" s="85" t="s">
        <v>2696</v>
      </c>
      <c r="C367" s="84" t="s">
        <v>4337</v>
      </c>
      <c r="D367" s="143" t="s">
        <v>4340</v>
      </c>
      <c r="E367" s="145"/>
      <c r="I367" s="106" t="s">
        <v>4027</v>
      </c>
      <c r="J367" s="86">
        <v>125</v>
      </c>
      <c r="L367" s="100">
        <v>4150</v>
      </c>
      <c r="M367" s="100">
        <v>3300</v>
      </c>
      <c r="N367" s="136">
        <f t="shared" si="15"/>
        <v>13.695</v>
      </c>
      <c r="P367" s="63" t="s">
        <v>3177</v>
      </c>
      <c r="Q367" s="86" t="s">
        <v>3059</v>
      </c>
      <c r="R367" s="86" t="s">
        <v>3078</v>
      </c>
      <c r="S367" s="86" t="s">
        <v>2768</v>
      </c>
      <c r="T367" s="91">
        <v>0.75</v>
      </c>
      <c r="V367" s="93">
        <v>10</v>
      </c>
      <c r="W367" s="94" t="s">
        <v>3049</v>
      </c>
      <c r="Z367" s="87" t="s">
        <v>3051</v>
      </c>
      <c r="AB367" s="86" t="s">
        <v>2769</v>
      </c>
      <c r="AC367" s="98" t="s">
        <v>3406</v>
      </c>
    </row>
    <row r="368" spans="1:29" x14ac:dyDescent="0.4">
      <c r="A368" s="102" t="s">
        <v>3407</v>
      </c>
      <c r="B368" s="85" t="s">
        <v>2696</v>
      </c>
      <c r="C368" s="84" t="s">
        <v>4337</v>
      </c>
      <c r="D368" s="143" t="s">
        <v>4339</v>
      </c>
      <c r="E368" s="145"/>
      <c r="I368" s="106" t="s">
        <v>4027</v>
      </c>
      <c r="J368" s="86">
        <v>125</v>
      </c>
      <c r="L368" s="100">
        <v>4150</v>
      </c>
      <c r="M368" s="100">
        <v>3300</v>
      </c>
      <c r="N368" s="136">
        <f t="shared" si="15"/>
        <v>13.695</v>
      </c>
      <c r="P368" s="63" t="s">
        <v>3177</v>
      </c>
      <c r="Q368" s="86" t="s">
        <v>3059</v>
      </c>
      <c r="R368" s="86" t="s">
        <v>3078</v>
      </c>
      <c r="S368" s="86" t="s">
        <v>2766</v>
      </c>
      <c r="T368" s="91">
        <v>0.75</v>
      </c>
      <c r="V368" s="93">
        <v>2</v>
      </c>
      <c r="W368" s="94" t="s">
        <v>3049</v>
      </c>
      <c r="Z368" s="87" t="s">
        <v>3051</v>
      </c>
      <c r="AB368" s="86" t="s">
        <v>2769</v>
      </c>
      <c r="AC368" s="98" t="s">
        <v>3408</v>
      </c>
    </row>
    <row r="369" spans="1:29" x14ac:dyDescent="0.4">
      <c r="A369" s="102" t="s">
        <v>360</v>
      </c>
      <c r="B369" s="85" t="s">
        <v>781</v>
      </c>
      <c r="C369" s="84" t="s">
        <v>4337</v>
      </c>
      <c r="D369" s="143" t="s">
        <v>4338</v>
      </c>
      <c r="E369" s="145"/>
      <c r="I369" s="106" t="s">
        <v>2765</v>
      </c>
      <c r="J369" s="86">
        <v>150</v>
      </c>
      <c r="L369" s="89">
        <v>4650</v>
      </c>
      <c r="M369" s="89">
        <v>6100</v>
      </c>
      <c r="N369" s="136">
        <f t="shared" si="15"/>
        <v>28.364999999999998</v>
      </c>
      <c r="O369" s="88">
        <v>6350</v>
      </c>
      <c r="P369" s="90" t="s">
        <v>1132</v>
      </c>
      <c r="Q369" s="86" t="s">
        <v>3053</v>
      </c>
      <c r="R369" s="86" t="s">
        <v>3078</v>
      </c>
      <c r="S369" s="86" t="s">
        <v>2768</v>
      </c>
      <c r="T369" s="91">
        <v>2.2000000000000002</v>
      </c>
      <c r="W369" s="94" t="s">
        <v>3049</v>
      </c>
      <c r="Z369" s="87" t="s">
        <v>3051</v>
      </c>
      <c r="AC369" s="98" t="s">
        <v>3941</v>
      </c>
    </row>
    <row r="370" spans="1:29" x14ac:dyDescent="0.4">
      <c r="A370" s="102" t="s">
        <v>3396</v>
      </c>
      <c r="B370" s="85" t="s">
        <v>711</v>
      </c>
      <c r="C370" s="84" t="s">
        <v>4239</v>
      </c>
      <c r="D370" s="143" t="s">
        <v>4342</v>
      </c>
      <c r="E370" s="145"/>
      <c r="I370" s="106" t="s">
        <v>1131</v>
      </c>
      <c r="J370" s="86">
        <v>125</v>
      </c>
      <c r="L370" s="100">
        <v>3200</v>
      </c>
      <c r="M370" s="100">
        <v>5900</v>
      </c>
      <c r="N370" s="136">
        <f t="shared" si="15"/>
        <v>18.88</v>
      </c>
      <c r="P370" s="63" t="s">
        <v>3177</v>
      </c>
      <c r="Q370" s="86" t="s">
        <v>3362</v>
      </c>
      <c r="R370" s="86" t="s">
        <v>3078</v>
      </c>
      <c r="S370" s="86" t="s">
        <v>2768</v>
      </c>
      <c r="T370" s="91">
        <v>1.5</v>
      </c>
      <c r="V370" s="93">
        <v>1.5</v>
      </c>
      <c r="W370" s="94" t="s">
        <v>3050</v>
      </c>
      <c r="Z370" s="87" t="s">
        <v>3051</v>
      </c>
      <c r="AB370" s="86" t="s">
        <v>2769</v>
      </c>
      <c r="AC370" s="98" t="s">
        <v>3287</v>
      </c>
    </row>
    <row r="371" spans="1:29" x14ac:dyDescent="0.4">
      <c r="A371" s="102" t="s">
        <v>3397</v>
      </c>
      <c r="B371" s="85" t="s">
        <v>711</v>
      </c>
      <c r="C371" s="84" t="s">
        <v>4239</v>
      </c>
      <c r="D371" s="143" t="s">
        <v>4342</v>
      </c>
      <c r="E371" s="145"/>
      <c r="I371" s="106" t="s">
        <v>1131</v>
      </c>
      <c r="J371" s="86">
        <v>125</v>
      </c>
      <c r="L371" s="100">
        <v>3200</v>
      </c>
      <c r="M371" s="100">
        <v>5900</v>
      </c>
      <c r="N371" s="136">
        <f t="shared" si="15"/>
        <v>18.88</v>
      </c>
      <c r="P371" s="63" t="s">
        <v>3177</v>
      </c>
      <c r="Q371" s="86" t="s">
        <v>3362</v>
      </c>
      <c r="R371" s="86" t="s">
        <v>3078</v>
      </c>
      <c r="S371" s="86" t="s">
        <v>2766</v>
      </c>
      <c r="T371" s="91">
        <v>1.5</v>
      </c>
      <c r="V371" s="93">
        <v>1.5</v>
      </c>
      <c r="W371" s="94" t="s">
        <v>3050</v>
      </c>
      <c r="Z371" s="87" t="s">
        <v>3051</v>
      </c>
      <c r="AB371" s="86" t="s">
        <v>2769</v>
      </c>
      <c r="AC371" s="98" t="s">
        <v>3287</v>
      </c>
    </row>
    <row r="372" spans="1:29" x14ac:dyDescent="0.4">
      <c r="A372" s="102" t="s">
        <v>3350</v>
      </c>
      <c r="B372" s="85" t="s">
        <v>729</v>
      </c>
      <c r="C372" s="84" t="s">
        <v>2872</v>
      </c>
      <c r="D372" s="143" t="s">
        <v>4343</v>
      </c>
      <c r="E372" s="145"/>
      <c r="I372" s="106" t="s">
        <v>4027</v>
      </c>
      <c r="J372" s="86">
        <v>125</v>
      </c>
      <c r="L372" s="100">
        <v>3500</v>
      </c>
      <c r="M372" s="100">
        <v>3200</v>
      </c>
      <c r="N372" s="136">
        <f t="shared" si="15"/>
        <v>11.2</v>
      </c>
      <c r="P372" s="90" t="s">
        <v>1132</v>
      </c>
      <c r="Q372" s="86" t="s">
        <v>3062</v>
      </c>
      <c r="R372" s="86" t="s">
        <v>3078</v>
      </c>
      <c r="S372" s="86" t="s">
        <v>2768</v>
      </c>
      <c r="T372" s="91">
        <v>0.75</v>
      </c>
      <c r="Z372" s="87" t="s">
        <v>3051</v>
      </c>
      <c r="AB372" s="86" t="s">
        <v>2769</v>
      </c>
      <c r="AC372" s="98" t="s">
        <v>3351</v>
      </c>
    </row>
    <row r="373" spans="1:29" x14ac:dyDescent="0.4">
      <c r="A373" s="102" t="s">
        <v>3352</v>
      </c>
      <c r="B373" s="85" t="s">
        <v>729</v>
      </c>
      <c r="C373" s="84" t="s">
        <v>2872</v>
      </c>
      <c r="D373" s="143" t="s">
        <v>4343</v>
      </c>
      <c r="E373" s="145"/>
      <c r="H373" s="86">
        <v>2</v>
      </c>
      <c r="I373" s="106" t="s">
        <v>4027</v>
      </c>
      <c r="J373" s="86">
        <v>125</v>
      </c>
      <c r="L373" s="100">
        <v>3500</v>
      </c>
      <c r="M373" s="100">
        <v>3200</v>
      </c>
      <c r="N373" s="136">
        <f t="shared" si="15"/>
        <v>11.2</v>
      </c>
      <c r="P373" s="90" t="s">
        <v>1132</v>
      </c>
      <c r="Q373" s="86" t="s">
        <v>3062</v>
      </c>
      <c r="R373" s="86" t="s">
        <v>3078</v>
      </c>
      <c r="S373" s="86" t="s">
        <v>2766</v>
      </c>
      <c r="T373" s="91">
        <v>0.75</v>
      </c>
      <c r="Z373" s="87" t="s">
        <v>3051</v>
      </c>
      <c r="AB373" s="86" t="s">
        <v>2769</v>
      </c>
      <c r="AC373" s="98" t="s">
        <v>3353</v>
      </c>
    </row>
    <row r="374" spans="1:29" x14ac:dyDescent="0.4">
      <c r="A374" s="102" t="s">
        <v>346</v>
      </c>
      <c r="B374" s="85" t="s">
        <v>2718</v>
      </c>
      <c r="C374" s="84" t="s">
        <v>2872</v>
      </c>
      <c r="D374" s="143" t="s">
        <v>4343</v>
      </c>
      <c r="E374" s="145"/>
      <c r="I374" s="106" t="s">
        <v>1131</v>
      </c>
      <c r="J374" s="86">
        <v>150</v>
      </c>
      <c r="L374" s="100">
        <v>3500</v>
      </c>
      <c r="M374" s="100">
        <v>4650</v>
      </c>
      <c r="N374" s="136">
        <f t="shared" si="15"/>
        <v>16.274999999999999</v>
      </c>
      <c r="P374" s="63" t="s">
        <v>3162</v>
      </c>
      <c r="Q374" s="86" t="s">
        <v>3062</v>
      </c>
      <c r="R374" s="86"/>
      <c r="S374" s="86" t="s">
        <v>2768</v>
      </c>
      <c r="T374" s="91">
        <v>1.5</v>
      </c>
      <c r="U374" s="92">
        <v>15</v>
      </c>
      <c r="V374" s="93">
        <v>1</v>
      </c>
      <c r="Z374" s="99" t="s">
        <v>3051</v>
      </c>
      <c r="AA374" s="99" t="s">
        <v>3052</v>
      </c>
      <c r="AB374" s="86" t="s">
        <v>2769</v>
      </c>
      <c r="AC374" s="98" t="s">
        <v>3086</v>
      </c>
    </row>
    <row r="375" spans="1:29" x14ac:dyDescent="0.4">
      <c r="A375" s="102" t="s">
        <v>3079</v>
      </c>
      <c r="B375" s="85" t="s">
        <v>792</v>
      </c>
      <c r="C375" s="84" t="s">
        <v>2872</v>
      </c>
      <c r="D375" s="143" t="s">
        <v>4343</v>
      </c>
      <c r="E375" s="145"/>
      <c r="H375" s="86">
        <v>2</v>
      </c>
      <c r="I375" s="106" t="s">
        <v>4027</v>
      </c>
      <c r="J375" s="86">
        <v>125</v>
      </c>
      <c r="L375" s="100">
        <v>3500</v>
      </c>
      <c r="M375" s="100">
        <v>3200</v>
      </c>
      <c r="N375" s="136">
        <f t="shared" si="15"/>
        <v>11.2</v>
      </c>
      <c r="P375" s="90" t="s">
        <v>1132</v>
      </c>
      <c r="Q375" s="86" t="s">
        <v>3062</v>
      </c>
      <c r="R375" s="86" t="s">
        <v>3078</v>
      </c>
      <c r="S375" s="86" t="s">
        <v>2768</v>
      </c>
      <c r="T375" s="91">
        <v>0.75</v>
      </c>
      <c r="U375" s="92">
        <v>10</v>
      </c>
      <c r="V375" s="93">
        <v>1</v>
      </c>
      <c r="W375" s="94" t="s">
        <v>3049</v>
      </c>
      <c r="Z375" s="99" t="s">
        <v>3051</v>
      </c>
      <c r="AA375" s="99" t="s">
        <v>3052</v>
      </c>
      <c r="AB375" s="86" t="s">
        <v>2769</v>
      </c>
      <c r="AC375" s="98" t="s">
        <v>3085</v>
      </c>
    </row>
    <row r="376" spans="1:29" x14ac:dyDescent="0.4">
      <c r="A376" s="102" t="s">
        <v>3080</v>
      </c>
      <c r="B376" s="85" t="s">
        <v>792</v>
      </c>
      <c r="C376" s="84" t="s">
        <v>2872</v>
      </c>
      <c r="D376" s="143" t="s">
        <v>4343</v>
      </c>
      <c r="E376" s="145"/>
      <c r="I376" s="106" t="s">
        <v>4027</v>
      </c>
      <c r="J376" s="86">
        <v>125</v>
      </c>
      <c r="L376" s="100">
        <v>3500</v>
      </c>
      <c r="M376" s="100">
        <v>3200</v>
      </c>
      <c r="N376" s="136">
        <f t="shared" si="15"/>
        <v>11.2</v>
      </c>
      <c r="P376" s="90" t="s">
        <v>1132</v>
      </c>
      <c r="Q376" s="86" t="s">
        <v>3062</v>
      </c>
      <c r="R376" s="86" t="s">
        <v>3078</v>
      </c>
      <c r="S376" s="86" t="s">
        <v>2766</v>
      </c>
      <c r="T376" s="91">
        <v>0.75</v>
      </c>
      <c r="U376" s="92">
        <v>10</v>
      </c>
      <c r="V376" s="93">
        <v>1</v>
      </c>
      <c r="W376" s="94" t="s">
        <v>3049</v>
      </c>
      <c r="Z376" s="99" t="s">
        <v>3051</v>
      </c>
      <c r="AA376" s="99" t="s">
        <v>3052</v>
      </c>
      <c r="AB376" s="86" t="s">
        <v>2769</v>
      </c>
      <c r="AC376" s="98" t="s">
        <v>3084</v>
      </c>
    </row>
    <row r="377" spans="1:29" x14ac:dyDescent="0.4">
      <c r="A377" s="102" t="s">
        <v>3081</v>
      </c>
      <c r="B377" s="85" t="s">
        <v>792</v>
      </c>
      <c r="C377" s="84" t="s">
        <v>2872</v>
      </c>
      <c r="D377" s="143" t="s">
        <v>4343</v>
      </c>
      <c r="E377" s="145"/>
      <c r="I377" s="106" t="s">
        <v>4027</v>
      </c>
      <c r="J377" s="86">
        <v>125</v>
      </c>
      <c r="L377" s="100">
        <v>3500</v>
      </c>
      <c r="M377" s="100">
        <v>3200</v>
      </c>
      <c r="N377" s="136">
        <f t="shared" si="15"/>
        <v>11.2</v>
      </c>
      <c r="P377" s="90" t="s">
        <v>1132</v>
      </c>
      <c r="Q377" s="86" t="s">
        <v>3062</v>
      </c>
      <c r="R377" s="86" t="s">
        <v>3078</v>
      </c>
      <c r="S377" s="86" t="s">
        <v>2766</v>
      </c>
      <c r="T377" s="91">
        <v>0.75</v>
      </c>
      <c r="U377" s="92">
        <v>10</v>
      </c>
      <c r="V377" s="93">
        <v>1</v>
      </c>
      <c r="W377" s="94" t="s">
        <v>3050</v>
      </c>
      <c r="Z377" s="99" t="s">
        <v>3051</v>
      </c>
      <c r="AA377" s="99" t="s">
        <v>3052</v>
      </c>
      <c r="AB377" s="86" t="s">
        <v>2769</v>
      </c>
      <c r="AC377" s="98" t="s">
        <v>3083</v>
      </c>
    </row>
    <row r="378" spans="1:29" x14ac:dyDescent="0.4">
      <c r="A378" s="102" t="s">
        <v>4106</v>
      </c>
      <c r="B378" s="85" t="s">
        <v>792</v>
      </c>
      <c r="C378" s="84" t="s">
        <v>2872</v>
      </c>
      <c r="D378" s="143" t="s">
        <v>4343</v>
      </c>
      <c r="E378" s="145"/>
      <c r="I378" s="106" t="s">
        <v>4027</v>
      </c>
      <c r="J378" s="86">
        <v>125</v>
      </c>
      <c r="L378" s="100">
        <v>3000</v>
      </c>
      <c r="M378" s="100">
        <v>3200</v>
      </c>
      <c r="N378" s="136">
        <f t="shared" si="15"/>
        <v>9.6</v>
      </c>
      <c r="P378" s="90" t="s">
        <v>1132</v>
      </c>
      <c r="Q378" s="86" t="s">
        <v>3062</v>
      </c>
      <c r="R378" s="86" t="s">
        <v>3078</v>
      </c>
      <c r="S378" s="86" t="s">
        <v>2766</v>
      </c>
      <c r="T378" s="91">
        <v>0.75</v>
      </c>
      <c r="U378" s="92">
        <v>10</v>
      </c>
      <c r="V378" s="93">
        <v>1</v>
      </c>
      <c r="W378" s="94" t="s">
        <v>3050</v>
      </c>
      <c r="Z378" s="99" t="s">
        <v>3051</v>
      </c>
      <c r="AA378" s="99" t="s">
        <v>3052</v>
      </c>
      <c r="AB378" s="86" t="s">
        <v>2769</v>
      </c>
      <c r="AC378" s="98" t="s">
        <v>3083</v>
      </c>
    </row>
    <row r="379" spans="1:29" x14ac:dyDescent="0.4">
      <c r="A379" s="102" t="s">
        <v>4107</v>
      </c>
      <c r="B379" s="85" t="s">
        <v>792</v>
      </c>
      <c r="C379" s="84" t="s">
        <v>2872</v>
      </c>
      <c r="D379" s="143" t="s">
        <v>4343</v>
      </c>
      <c r="E379" s="145"/>
      <c r="H379" s="86">
        <v>2</v>
      </c>
      <c r="I379" s="106" t="s">
        <v>1131</v>
      </c>
      <c r="J379" s="86">
        <v>150</v>
      </c>
      <c r="L379" s="100">
        <v>3590</v>
      </c>
      <c r="M379" s="100">
        <v>4900</v>
      </c>
      <c r="N379" s="136">
        <f t="shared" si="15"/>
        <v>17.591000000000001</v>
      </c>
      <c r="P379" s="63" t="s">
        <v>3162</v>
      </c>
      <c r="Q379" s="86" t="s">
        <v>3062</v>
      </c>
      <c r="R379" s="86" t="s">
        <v>3078</v>
      </c>
      <c r="S379" s="86" t="s">
        <v>2768</v>
      </c>
      <c r="T379" s="91">
        <v>1.5</v>
      </c>
      <c r="U379" s="92">
        <v>15</v>
      </c>
      <c r="V379" s="93">
        <v>1</v>
      </c>
      <c r="Z379" s="99" t="s">
        <v>3051</v>
      </c>
      <c r="AA379" s="99" t="s">
        <v>3052</v>
      </c>
      <c r="AB379" s="86" t="s">
        <v>2769</v>
      </c>
      <c r="AC379" s="98" t="s">
        <v>3082</v>
      </c>
    </row>
    <row r="380" spans="1:29" x14ac:dyDescent="0.4">
      <c r="A380" s="102" t="s">
        <v>454</v>
      </c>
      <c r="B380" s="85" t="s">
        <v>827</v>
      </c>
      <c r="C380" s="84" t="s">
        <v>2872</v>
      </c>
      <c r="D380" s="143" t="s">
        <v>4343</v>
      </c>
      <c r="E380" s="145"/>
      <c r="I380" s="106" t="s">
        <v>4027</v>
      </c>
      <c r="J380" s="86">
        <v>125</v>
      </c>
      <c r="L380" s="89">
        <v>3590</v>
      </c>
      <c r="M380" s="89">
        <v>4150</v>
      </c>
      <c r="N380" s="136">
        <f t="shared" si="15"/>
        <v>14.8985</v>
      </c>
      <c r="P380" s="90" t="s">
        <v>1132</v>
      </c>
      <c r="Q380" s="86" t="s">
        <v>3062</v>
      </c>
      <c r="R380" s="86"/>
      <c r="S380" s="86" t="s">
        <v>2766</v>
      </c>
      <c r="T380" s="91">
        <v>1.5</v>
      </c>
      <c r="U380" s="92">
        <v>15</v>
      </c>
      <c r="V380" s="93">
        <v>1</v>
      </c>
      <c r="W380" s="94" t="s">
        <v>3050</v>
      </c>
      <c r="AA380" s="99" t="s">
        <v>3052</v>
      </c>
      <c r="AB380" s="86" t="s">
        <v>2769</v>
      </c>
      <c r="AC380" s="98" t="s">
        <v>2880</v>
      </c>
    </row>
    <row r="381" spans="1:29" x14ac:dyDescent="0.4">
      <c r="A381" s="102" t="s">
        <v>459</v>
      </c>
      <c r="B381" s="85" t="s">
        <v>829</v>
      </c>
      <c r="C381" s="84" t="s">
        <v>2872</v>
      </c>
      <c r="D381" s="143" t="s">
        <v>4343</v>
      </c>
      <c r="E381" s="145"/>
      <c r="I381" s="106" t="s">
        <v>1131</v>
      </c>
      <c r="J381" s="86">
        <v>150</v>
      </c>
      <c r="L381" s="100">
        <v>3500</v>
      </c>
      <c r="M381" s="100">
        <v>5650</v>
      </c>
      <c r="N381" s="136">
        <f t="shared" si="15"/>
        <v>19.774999999999999</v>
      </c>
      <c r="P381" s="90" t="s">
        <v>1132</v>
      </c>
      <c r="Q381" s="86" t="s">
        <v>3062</v>
      </c>
      <c r="R381" s="86"/>
      <c r="S381" s="86" t="s">
        <v>2766</v>
      </c>
      <c r="T381" s="91">
        <v>1.5</v>
      </c>
      <c r="U381" s="92">
        <v>15</v>
      </c>
      <c r="V381" s="93">
        <v>1</v>
      </c>
      <c r="Z381" s="99" t="s">
        <v>3051</v>
      </c>
      <c r="AC381" s="98" t="s">
        <v>2873</v>
      </c>
    </row>
    <row r="382" spans="1:29" x14ac:dyDescent="0.4">
      <c r="A382" s="102" t="s">
        <v>41</v>
      </c>
      <c r="B382" s="85" t="s">
        <v>2676</v>
      </c>
      <c r="C382" s="84" t="s">
        <v>887</v>
      </c>
      <c r="E382" s="145"/>
      <c r="I382" s="106"/>
      <c r="L382" s="100">
        <v>2400</v>
      </c>
      <c r="M382" s="100">
        <v>3000</v>
      </c>
      <c r="N382" s="136">
        <f t="shared" si="15"/>
        <v>7.2</v>
      </c>
      <c r="Q382" s="86" t="s">
        <v>3053</v>
      </c>
      <c r="R382" s="86"/>
      <c r="S382" s="86" t="s">
        <v>2768</v>
      </c>
      <c r="AC382" s="98" t="s">
        <v>3650</v>
      </c>
    </row>
    <row r="383" spans="1:29" x14ac:dyDescent="0.4">
      <c r="A383" s="102" t="s">
        <v>178</v>
      </c>
      <c r="B383" s="85" t="s">
        <v>1888</v>
      </c>
      <c r="C383" s="84" t="s">
        <v>3773</v>
      </c>
      <c r="E383" s="145"/>
      <c r="I383" s="106" t="s">
        <v>4027</v>
      </c>
      <c r="J383" s="86">
        <v>100</v>
      </c>
      <c r="L383" s="100">
        <v>2400</v>
      </c>
      <c r="M383" s="100">
        <v>2600</v>
      </c>
      <c r="N383" s="136">
        <f t="shared" si="15"/>
        <v>6.24</v>
      </c>
      <c r="P383" s="63" t="s">
        <v>3177</v>
      </c>
      <c r="Q383" s="86" t="s">
        <v>3054</v>
      </c>
      <c r="R383" s="86" t="s">
        <v>3039</v>
      </c>
      <c r="T383" s="91">
        <v>0.75</v>
      </c>
      <c r="W383" s="94" t="s">
        <v>3049</v>
      </c>
      <c r="Z383" s="87" t="s">
        <v>3051</v>
      </c>
      <c r="AC383" s="98" t="s">
        <v>3989</v>
      </c>
    </row>
    <row r="384" spans="1:29" x14ac:dyDescent="0.4">
      <c r="A384" s="102" t="s">
        <v>1542</v>
      </c>
      <c r="B384" s="85" t="s">
        <v>610</v>
      </c>
      <c r="C384" s="84" t="s">
        <v>4270</v>
      </c>
      <c r="E384" s="145"/>
      <c r="I384" s="106" t="s">
        <v>4027</v>
      </c>
      <c r="L384" s="100">
        <v>2400</v>
      </c>
      <c r="M384" s="100">
        <v>4500</v>
      </c>
      <c r="N384" s="136">
        <f t="shared" si="15"/>
        <v>10.8</v>
      </c>
      <c r="R384" s="86"/>
      <c r="AC384" s="98" t="s">
        <v>3605</v>
      </c>
    </row>
    <row r="385" spans="1:29" x14ac:dyDescent="0.4">
      <c r="A385" s="102" t="s">
        <v>1546</v>
      </c>
      <c r="B385" s="85" t="s">
        <v>610</v>
      </c>
      <c r="C385" s="84" t="s">
        <v>4270</v>
      </c>
      <c r="E385" s="145"/>
      <c r="H385" s="86">
        <v>2</v>
      </c>
      <c r="I385" s="106" t="s">
        <v>1133</v>
      </c>
      <c r="L385" s="100">
        <v>6000</v>
      </c>
      <c r="M385" s="100">
        <v>4500</v>
      </c>
      <c r="N385" s="136">
        <f t="shared" ref="N385:N416" si="16">L385*M385/1000000</f>
        <v>27</v>
      </c>
      <c r="R385" s="86"/>
      <c r="AC385" s="98" t="s">
        <v>1543</v>
      </c>
    </row>
    <row r="386" spans="1:29" x14ac:dyDescent="0.4">
      <c r="A386" s="102" t="s">
        <v>1547</v>
      </c>
      <c r="B386" s="85" t="s">
        <v>610</v>
      </c>
      <c r="C386" s="84" t="s">
        <v>4270</v>
      </c>
      <c r="E386" s="145"/>
      <c r="H386" s="86">
        <v>2</v>
      </c>
      <c r="I386" s="106" t="s">
        <v>1133</v>
      </c>
      <c r="L386" s="100">
        <v>4000</v>
      </c>
      <c r="M386" s="100">
        <v>4500</v>
      </c>
      <c r="N386" s="136">
        <f t="shared" si="16"/>
        <v>18</v>
      </c>
      <c r="R386" s="86"/>
      <c r="AC386" s="98" t="s">
        <v>1544</v>
      </c>
    </row>
    <row r="387" spans="1:29" x14ac:dyDescent="0.4">
      <c r="A387" s="102" t="s">
        <v>1207</v>
      </c>
      <c r="B387" s="85" t="s">
        <v>570</v>
      </c>
      <c r="C387" s="84" t="s">
        <v>544</v>
      </c>
      <c r="E387" s="145"/>
      <c r="I387" s="106" t="s">
        <v>1133</v>
      </c>
      <c r="L387" s="100">
        <v>3500</v>
      </c>
      <c r="M387" s="100">
        <v>4000</v>
      </c>
      <c r="N387" s="136">
        <f t="shared" si="16"/>
        <v>14</v>
      </c>
      <c r="R387" s="86"/>
      <c r="S387" s="86" t="s">
        <v>2766</v>
      </c>
      <c r="AC387" s="98" t="s">
        <v>3898</v>
      </c>
    </row>
    <row r="388" spans="1:29" x14ac:dyDescent="0.4">
      <c r="A388" s="102" t="s">
        <v>1208</v>
      </c>
      <c r="B388" s="85" t="s">
        <v>570</v>
      </c>
      <c r="C388" s="84" t="s">
        <v>544</v>
      </c>
      <c r="E388" s="145"/>
      <c r="I388" s="106" t="s">
        <v>4027</v>
      </c>
      <c r="L388" s="100">
        <v>3000</v>
      </c>
      <c r="M388" s="100">
        <v>3000</v>
      </c>
      <c r="N388" s="136">
        <f t="shared" si="16"/>
        <v>9</v>
      </c>
      <c r="R388" s="86"/>
      <c r="S388" s="86" t="s">
        <v>2766</v>
      </c>
      <c r="AC388" s="98" t="s">
        <v>3676</v>
      </c>
    </row>
    <row r="389" spans="1:29" x14ac:dyDescent="0.4">
      <c r="A389" s="102" t="s">
        <v>1209</v>
      </c>
      <c r="B389" s="85" t="s">
        <v>570</v>
      </c>
      <c r="C389" s="84" t="s">
        <v>544</v>
      </c>
      <c r="E389" s="145"/>
      <c r="I389" s="106" t="s">
        <v>4027</v>
      </c>
      <c r="L389" s="100">
        <v>3500</v>
      </c>
      <c r="M389" s="100">
        <v>3500</v>
      </c>
      <c r="N389" s="136">
        <f t="shared" si="16"/>
        <v>12.25</v>
      </c>
      <c r="Q389" s="86" t="s">
        <v>3069</v>
      </c>
      <c r="R389" s="86"/>
      <c r="S389" s="86" t="s">
        <v>2768</v>
      </c>
      <c r="AC389" s="98" t="s">
        <v>3675</v>
      </c>
    </row>
    <row r="390" spans="1:29" x14ac:dyDescent="0.4">
      <c r="A390" s="102" t="s">
        <v>512</v>
      </c>
      <c r="B390" s="85" t="s">
        <v>857</v>
      </c>
      <c r="C390" s="84" t="s">
        <v>2885</v>
      </c>
      <c r="E390" s="145"/>
      <c r="I390" s="106" t="s">
        <v>4027</v>
      </c>
      <c r="J390" s="86">
        <v>125</v>
      </c>
      <c r="L390" s="100">
        <v>2000</v>
      </c>
      <c r="M390" s="100">
        <v>3500</v>
      </c>
      <c r="N390" s="136">
        <f t="shared" si="16"/>
        <v>7</v>
      </c>
      <c r="P390" s="90" t="s">
        <v>1132</v>
      </c>
      <c r="Q390" s="86" t="s">
        <v>3053</v>
      </c>
      <c r="R390" s="86"/>
      <c r="S390" s="86" t="s">
        <v>2766</v>
      </c>
      <c r="T390" s="91">
        <v>0.75</v>
      </c>
      <c r="U390" s="92">
        <v>10</v>
      </c>
      <c r="V390" s="93">
        <v>1</v>
      </c>
      <c r="Z390" s="99" t="s">
        <v>3051</v>
      </c>
      <c r="AB390" s="86" t="s">
        <v>2769</v>
      </c>
      <c r="AC390" s="98" t="s">
        <v>2053</v>
      </c>
    </row>
    <row r="391" spans="1:29" x14ac:dyDescent="0.4">
      <c r="A391" s="83" t="s">
        <v>4130</v>
      </c>
      <c r="B391" s="64" t="s">
        <v>4110</v>
      </c>
      <c r="C391" s="84" t="s">
        <v>4111</v>
      </c>
      <c r="D391" s="143" t="s">
        <v>4115</v>
      </c>
      <c r="E391" s="145" t="s">
        <v>4399</v>
      </c>
      <c r="F391" s="143" t="s">
        <v>4140</v>
      </c>
      <c r="G391" s="143" t="s">
        <v>4139</v>
      </c>
      <c r="H391" s="86">
        <v>1</v>
      </c>
      <c r="I391" s="106" t="s">
        <v>4027</v>
      </c>
      <c r="J391" s="86">
        <v>125</v>
      </c>
      <c r="L391" s="89">
        <v>3550</v>
      </c>
      <c r="M391" s="89">
        <v>3700</v>
      </c>
      <c r="N391" s="136">
        <f t="shared" si="16"/>
        <v>13.135</v>
      </c>
      <c r="P391" s="90" t="s">
        <v>1132</v>
      </c>
      <c r="Q391" s="86" t="s">
        <v>4112</v>
      </c>
      <c r="R391" s="86" t="s">
        <v>4030</v>
      </c>
      <c r="S391" s="86" t="s">
        <v>2766</v>
      </c>
      <c r="T391" s="91">
        <v>0.75</v>
      </c>
      <c r="U391" s="92">
        <f>IF(T391="NA","-",IF(T391&gt;=1.5,15,IF(T391=0.75,10,"")))</f>
        <v>10</v>
      </c>
      <c r="V391" s="93">
        <v>4.5</v>
      </c>
      <c r="W391" s="94" t="s">
        <v>4065</v>
      </c>
      <c r="X391" s="86" t="s">
        <v>4037</v>
      </c>
      <c r="Z391" s="87" t="s">
        <v>3051</v>
      </c>
      <c r="AB391" s="86" t="s">
        <v>2769</v>
      </c>
    </row>
    <row r="392" spans="1:29" x14ac:dyDescent="0.4">
      <c r="A392" s="83" t="s">
        <v>4142</v>
      </c>
      <c r="B392" s="64" t="s">
        <v>4141</v>
      </c>
      <c r="C392" s="84" t="s">
        <v>4111</v>
      </c>
      <c r="D392" s="143" t="s">
        <v>4115</v>
      </c>
      <c r="E392" s="145" t="s">
        <v>4399</v>
      </c>
      <c r="F392" s="143" t="s">
        <v>4140</v>
      </c>
      <c r="G392" s="143" t="s">
        <v>4139</v>
      </c>
      <c r="H392" s="86">
        <v>2</v>
      </c>
      <c r="I392" s="106" t="s">
        <v>4027</v>
      </c>
      <c r="J392" s="86">
        <v>125</v>
      </c>
      <c r="L392" s="89">
        <v>3000</v>
      </c>
      <c r="M392" s="89">
        <v>3200</v>
      </c>
      <c r="N392" s="136">
        <f t="shared" si="16"/>
        <v>9.6</v>
      </c>
      <c r="P392" s="90" t="s">
        <v>1132</v>
      </c>
      <c r="Q392" s="86" t="s">
        <v>3053</v>
      </c>
      <c r="R392" s="86" t="s">
        <v>4030</v>
      </c>
      <c r="S392" s="86" t="s">
        <v>2768</v>
      </c>
      <c r="T392" s="91">
        <v>0.75</v>
      </c>
      <c r="U392" s="92">
        <f>IF(T392="NA","-",IF(T392&gt;=1.5,15,IF(T392=0.75,10,"")))</f>
        <v>10</v>
      </c>
      <c r="V392" s="93">
        <v>1</v>
      </c>
      <c r="W392" s="94" t="s">
        <v>4065</v>
      </c>
      <c r="X392" s="86" t="s">
        <v>4037</v>
      </c>
      <c r="Z392" s="87" t="s">
        <v>3051</v>
      </c>
      <c r="AB392" s="86" t="s">
        <v>2769</v>
      </c>
      <c r="AC392" s="98" t="s">
        <v>4143</v>
      </c>
    </row>
    <row r="393" spans="1:29" x14ac:dyDescent="0.4">
      <c r="A393" s="83" t="s">
        <v>4144</v>
      </c>
      <c r="B393" s="64" t="s">
        <v>4141</v>
      </c>
      <c r="C393" s="84" t="s">
        <v>4111</v>
      </c>
      <c r="D393" s="143" t="s">
        <v>4115</v>
      </c>
      <c r="E393" s="145" t="s">
        <v>4399</v>
      </c>
      <c r="F393" s="143" t="s">
        <v>4140</v>
      </c>
      <c r="G393" s="143" t="s">
        <v>4139</v>
      </c>
      <c r="H393" s="86">
        <v>2</v>
      </c>
      <c r="I393" s="106" t="s">
        <v>4027</v>
      </c>
      <c r="J393" s="86">
        <v>125</v>
      </c>
      <c r="L393" s="89">
        <v>3000</v>
      </c>
      <c r="M393" s="89">
        <v>3200</v>
      </c>
      <c r="N393" s="136">
        <f t="shared" si="16"/>
        <v>9.6</v>
      </c>
      <c r="P393" s="90" t="s">
        <v>1132</v>
      </c>
      <c r="Q393" s="86" t="s">
        <v>3053</v>
      </c>
      <c r="R393" s="86" t="s">
        <v>4030</v>
      </c>
      <c r="S393" s="86" t="s">
        <v>2766</v>
      </c>
      <c r="T393" s="91">
        <v>0.75</v>
      </c>
      <c r="U393" s="92">
        <f>IF(T393="NA","-",IF(T393&gt;=1.5,15,IF(T393=0.75,10,"")))</f>
        <v>10</v>
      </c>
      <c r="V393" s="93">
        <v>1</v>
      </c>
      <c r="W393" s="94" t="s">
        <v>4065</v>
      </c>
      <c r="X393" s="86" t="s">
        <v>4037</v>
      </c>
      <c r="Z393" s="87" t="s">
        <v>3051</v>
      </c>
      <c r="AB393" s="86" t="s">
        <v>2769</v>
      </c>
      <c r="AC393" s="98" t="s">
        <v>4143</v>
      </c>
    </row>
    <row r="394" spans="1:29" x14ac:dyDescent="0.4">
      <c r="A394" s="102" t="s">
        <v>2827</v>
      </c>
      <c r="B394" s="85" t="s">
        <v>842</v>
      </c>
      <c r="C394" s="84" t="s">
        <v>2818</v>
      </c>
      <c r="D394" s="143" t="s">
        <v>4344</v>
      </c>
      <c r="E394" s="145"/>
      <c r="H394" s="86">
        <v>2</v>
      </c>
      <c r="I394" s="106" t="s">
        <v>4027</v>
      </c>
      <c r="J394" s="86">
        <v>125</v>
      </c>
      <c r="L394" s="100">
        <v>2500</v>
      </c>
      <c r="M394" s="100">
        <v>3200</v>
      </c>
      <c r="N394" s="136">
        <f t="shared" si="16"/>
        <v>8</v>
      </c>
      <c r="O394" s="88">
        <v>4200</v>
      </c>
      <c r="Q394" s="86" t="s">
        <v>3053</v>
      </c>
      <c r="R394" s="86"/>
      <c r="S394" s="86" t="s">
        <v>2766</v>
      </c>
      <c r="T394" s="91">
        <v>0.75</v>
      </c>
      <c r="U394" s="92">
        <v>15</v>
      </c>
      <c r="V394" s="93">
        <v>2</v>
      </c>
      <c r="AB394" s="86" t="s">
        <v>2769</v>
      </c>
      <c r="AC394" s="98" t="s">
        <v>2835</v>
      </c>
    </row>
    <row r="395" spans="1:29" x14ac:dyDescent="0.4">
      <c r="A395" s="102" t="s">
        <v>2828</v>
      </c>
      <c r="B395" s="85" t="s">
        <v>842</v>
      </c>
      <c r="C395" s="84" t="s">
        <v>2818</v>
      </c>
      <c r="D395" s="143" t="s">
        <v>4344</v>
      </c>
      <c r="E395" s="145"/>
      <c r="I395" s="106" t="s">
        <v>4027</v>
      </c>
      <c r="J395" s="86">
        <v>125</v>
      </c>
      <c r="L395" s="100">
        <v>2500</v>
      </c>
      <c r="M395" s="100">
        <v>3350</v>
      </c>
      <c r="N395" s="136">
        <f t="shared" si="16"/>
        <v>8.375</v>
      </c>
      <c r="Q395" s="86" t="s">
        <v>3053</v>
      </c>
      <c r="R395" s="86"/>
      <c r="S395" s="86" t="s">
        <v>2766</v>
      </c>
      <c r="T395" s="91">
        <v>0.75</v>
      </c>
      <c r="U395" s="92">
        <v>10</v>
      </c>
      <c r="V395" s="93">
        <v>2</v>
      </c>
      <c r="W395" s="94" t="s">
        <v>3050</v>
      </c>
      <c r="AB395" s="86" t="s">
        <v>2769</v>
      </c>
      <c r="AC395" s="98" t="s">
        <v>2829</v>
      </c>
    </row>
    <row r="396" spans="1:29" x14ac:dyDescent="0.4">
      <c r="A396" s="102" t="s">
        <v>498</v>
      </c>
      <c r="B396" s="85" t="s">
        <v>848</v>
      </c>
      <c r="C396" s="84" t="s">
        <v>2818</v>
      </c>
      <c r="D396" s="143" t="s">
        <v>4344</v>
      </c>
      <c r="E396" s="145"/>
      <c r="I396" s="106" t="s">
        <v>4027</v>
      </c>
      <c r="J396" s="86">
        <v>125</v>
      </c>
      <c r="L396" s="100">
        <v>2500</v>
      </c>
      <c r="M396" s="100">
        <v>3350</v>
      </c>
      <c r="N396" s="136">
        <f t="shared" si="16"/>
        <v>8.375</v>
      </c>
      <c r="P396" s="90" t="s">
        <v>1132</v>
      </c>
      <c r="Q396" s="86" t="s">
        <v>3053</v>
      </c>
      <c r="R396" s="86"/>
      <c r="S396" s="86" t="s">
        <v>2766</v>
      </c>
      <c r="T396" s="91">
        <v>0.75</v>
      </c>
      <c r="U396" s="92">
        <v>10</v>
      </c>
      <c r="W396" s="94" t="s">
        <v>3050</v>
      </c>
      <c r="AB396" s="86" t="s">
        <v>2769</v>
      </c>
      <c r="AC396" s="98" t="s">
        <v>2081</v>
      </c>
    </row>
    <row r="397" spans="1:29" x14ac:dyDescent="0.4">
      <c r="A397" s="102" t="s">
        <v>3165</v>
      </c>
      <c r="B397" s="85" t="s">
        <v>865</v>
      </c>
      <c r="C397" s="84" t="s">
        <v>2818</v>
      </c>
      <c r="D397" s="143" t="s">
        <v>4344</v>
      </c>
      <c r="E397" s="145"/>
      <c r="H397" s="86">
        <v>1</v>
      </c>
      <c r="I397" s="106" t="s">
        <v>2765</v>
      </c>
      <c r="J397" s="86">
        <v>125</v>
      </c>
      <c r="L397" s="100">
        <v>2500</v>
      </c>
      <c r="M397" s="100">
        <v>3200</v>
      </c>
      <c r="N397" s="136">
        <f t="shared" si="16"/>
        <v>8</v>
      </c>
      <c r="O397" s="88">
        <v>4200</v>
      </c>
      <c r="P397" s="90" t="s">
        <v>1132</v>
      </c>
      <c r="Q397" s="86" t="s">
        <v>3053</v>
      </c>
      <c r="R397" s="86"/>
      <c r="S397" s="86" t="s">
        <v>2768</v>
      </c>
      <c r="T397" s="91">
        <v>0.75</v>
      </c>
      <c r="U397" s="92">
        <v>15</v>
      </c>
      <c r="V397" s="93">
        <v>2</v>
      </c>
      <c r="W397" s="94" t="s">
        <v>3050</v>
      </c>
      <c r="AB397" s="86" t="s">
        <v>2769</v>
      </c>
      <c r="AC397" s="98" t="s">
        <v>2780</v>
      </c>
    </row>
    <row r="398" spans="1:29" x14ac:dyDescent="0.4">
      <c r="A398" s="102" t="s">
        <v>84</v>
      </c>
      <c r="B398" s="85" t="s">
        <v>604</v>
      </c>
      <c r="C398" s="84" t="s">
        <v>884</v>
      </c>
      <c r="D398" s="143" t="s">
        <v>4345</v>
      </c>
      <c r="E398" s="145"/>
      <c r="I398" s="106" t="s">
        <v>1133</v>
      </c>
      <c r="L398" s="100">
        <v>4450</v>
      </c>
      <c r="M398" s="100">
        <v>3400</v>
      </c>
      <c r="N398" s="136">
        <f t="shared" si="16"/>
        <v>15.13</v>
      </c>
      <c r="Q398" s="86" t="s">
        <v>3054</v>
      </c>
      <c r="R398" s="86"/>
      <c r="S398" s="86" t="s">
        <v>2766</v>
      </c>
      <c r="AC398" s="98" t="s">
        <v>1508</v>
      </c>
    </row>
    <row r="399" spans="1:29" x14ac:dyDescent="0.4">
      <c r="A399" s="102" t="s">
        <v>92</v>
      </c>
      <c r="B399" s="85" t="s">
        <v>617</v>
      </c>
      <c r="C399" s="84" t="s">
        <v>884</v>
      </c>
      <c r="D399" s="143" t="s">
        <v>4345</v>
      </c>
      <c r="E399" s="145"/>
      <c r="I399" s="106" t="s">
        <v>4027</v>
      </c>
      <c r="L399" s="100">
        <v>3500</v>
      </c>
      <c r="M399" s="100">
        <v>3500</v>
      </c>
      <c r="N399" s="136">
        <f t="shared" si="16"/>
        <v>12.25</v>
      </c>
      <c r="R399" s="86"/>
      <c r="AC399" s="98" t="s">
        <v>3587</v>
      </c>
    </row>
    <row r="400" spans="1:29" x14ac:dyDescent="0.4">
      <c r="A400" s="102" t="s">
        <v>100</v>
      </c>
      <c r="B400" s="85" t="s">
        <v>1653</v>
      </c>
      <c r="C400" s="84" t="s">
        <v>884</v>
      </c>
      <c r="D400" s="143" t="s">
        <v>4345</v>
      </c>
      <c r="E400" s="145"/>
      <c r="I400" s="106" t="s">
        <v>1133</v>
      </c>
      <c r="L400" s="100">
        <v>4000</v>
      </c>
      <c r="M400" s="100">
        <v>3800</v>
      </c>
      <c r="N400" s="136">
        <f t="shared" si="16"/>
        <v>15.2</v>
      </c>
      <c r="R400" s="86"/>
      <c r="AC400" s="98" t="s">
        <v>1652</v>
      </c>
    </row>
    <row r="401" spans="1:29" x14ac:dyDescent="0.4">
      <c r="A401" s="102" t="s">
        <v>106</v>
      </c>
      <c r="B401" s="85" t="s">
        <v>622</v>
      </c>
      <c r="C401" s="84" t="s">
        <v>884</v>
      </c>
      <c r="D401" s="143" t="s">
        <v>4345</v>
      </c>
      <c r="E401" s="145"/>
      <c r="I401" s="106" t="s">
        <v>4027</v>
      </c>
      <c r="L401" s="100">
        <v>2850</v>
      </c>
      <c r="M401" s="100">
        <v>3000</v>
      </c>
      <c r="N401" s="136">
        <f t="shared" si="16"/>
        <v>8.5500000000000007</v>
      </c>
      <c r="R401" s="86"/>
      <c r="AC401" s="98" t="s">
        <v>3575</v>
      </c>
    </row>
    <row r="402" spans="1:29" x14ac:dyDescent="0.4">
      <c r="A402" s="102" t="s">
        <v>3104</v>
      </c>
      <c r="B402" s="85" t="s">
        <v>2726</v>
      </c>
      <c r="C402" s="84" t="s">
        <v>884</v>
      </c>
      <c r="D402" s="143" t="s">
        <v>4345</v>
      </c>
      <c r="E402" s="145"/>
      <c r="I402" s="106" t="s">
        <v>1131</v>
      </c>
      <c r="J402" s="86">
        <v>150</v>
      </c>
      <c r="L402" s="100">
        <v>5800</v>
      </c>
      <c r="M402" s="100">
        <v>4800</v>
      </c>
      <c r="N402" s="136">
        <f t="shared" si="16"/>
        <v>27.84</v>
      </c>
      <c r="P402" s="90" t="s">
        <v>1132</v>
      </c>
      <c r="Q402" s="86" t="s">
        <v>3054</v>
      </c>
      <c r="R402" s="86"/>
      <c r="S402" s="90" t="s">
        <v>2766</v>
      </c>
      <c r="T402" s="91">
        <v>1.5</v>
      </c>
      <c r="U402" s="92">
        <v>15</v>
      </c>
      <c r="AA402" s="99" t="s">
        <v>3052</v>
      </c>
      <c r="AC402" s="98" t="s">
        <v>3719</v>
      </c>
    </row>
    <row r="403" spans="1:29" x14ac:dyDescent="0.4">
      <c r="A403" s="102" t="s">
        <v>3105</v>
      </c>
      <c r="B403" s="85" t="s">
        <v>2726</v>
      </c>
      <c r="C403" s="84" t="s">
        <v>884</v>
      </c>
      <c r="D403" s="143" t="s">
        <v>4345</v>
      </c>
      <c r="E403" s="145"/>
      <c r="I403" s="106" t="s">
        <v>4027</v>
      </c>
      <c r="J403" s="86">
        <v>125</v>
      </c>
      <c r="L403" s="100">
        <v>3550</v>
      </c>
      <c r="M403" s="100">
        <v>4100</v>
      </c>
      <c r="N403" s="136">
        <f t="shared" si="16"/>
        <v>14.555</v>
      </c>
      <c r="P403" s="90" t="s">
        <v>1132</v>
      </c>
      <c r="Q403" s="86" t="s">
        <v>3054</v>
      </c>
      <c r="R403" s="86"/>
      <c r="S403" s="86" t="s">
        <v>2766</v>
      </c>
      <c r="T403" s="91">
        <v>0.75</v>
      </c>
      <c r="U403" s="92">
        <v>10</v>
      </c>
      <c r="AA403" s="99" t="s">
        <v>3052</v>
      </c>
      <c r="AC403" s="98" t="s">
        <v>3719</v>
      </c>
    </row>
    <row r="404" spans="1:29" x14ac:dyDescent="0.4">
      <c r="A404" s="102" t="s">
        <v>2978</v>
      </c>
      <c r="B404" s="85" t="s">
        <v>800</v>
      </c>
      <c r="C404" s="84" t="s">
        <v>884</v>
      </c>
      <c r="D404" s="143" t="s">
        <v>4345</v>
      </c>
      <c r="E404" s="145"/>
      <c r="I404" s="106" t="s">
        <v>4027</v>
      </c>
      <c r="J404" s="86">
        <v>125</v>
      </c>
      <c r="L404" s="100">
        <v>3700</v>
      </c>
      <c r="M404" s="100">
        <v>4200</v>
      </c>
      <c r="N404" s="136">
        <f t="shared" si="16"/>
        <v>15.54</v>
      </c>
      <c r="P404" s="90" t="s">
        <v>1132</v>
      </c>
      <c r="Q404" s="86" t="s">
        <v>3054</v>
      </c>
      <c r="R404" s="86"/>
      <c r="S404" s="86" t="s">
        <v>2768</v>
      </c>
      <c r="T404" s="91">
        <v>0.75</v>
      </c>
      <c r="U404" s="92">
        <v>15</v>
      </c>
      <c r="AA404" s="99" t="s">
        <v>3052</v>
      </c>
      <c r="AB404" s="86" t="s">
        <v>2769</v>
      </c>
      <c r="AC404" s="98" t="s">
        <v>2981</v>
      </c>
    </row>
    <row r="405" spans="1:29" x14ac:dyDescent="0.4">
      <c r="A405" s="102" t="s">
        <v>2979</v>
      </c>
      <c r="B405" s="85" t="s">
        <v>800</v>
      </c>
      <c r="C405" s="84" t="s">
        <v>884</v>
      </c>
      <c r="D405" s="143" t="s">
        <v>4345</v>
      </c>
      <c r="E405" s="145"/>
      <c r="I405" s="106" t="s">
        <v>4027</v>
      </c>
      <c r="J405" s="86">
        <v>125</v>
      </c>
      <c r="L405" s="100">
        <v>6000</v>
      </c>
      <c r="M405" s="100">
        <v>4000</v>
      </c>
      <c r="N405" s="136">
        <f t="shared" si="16"/>
        <v>24</v>
      </c>
      <c r="P405" s="90" t="s">
        <v>1132</v>
      </c>
      <c r="Q405" s="86" t="s">
        <v>3054</v>
      </c>
      <c r="R405" s="86"/>
      <c r="S405" s="86" t="s">
        <v>2768</v>
      </c>
      <c r="T405" s="91">
        <v>1.5</v>
      </c>
      <c r="U405" s="92">
        <v>15</v>
      </c>
      <c r="AA405" s="99" t="s">
        <v>3052</v>
      </c>
      <c r="AB405" s="86" t="s">
        <v>2769</v>
      </c>
      <c r="AC405" s="98" t="s">
        <v>2980</v>
      </c>
    </row>
    <row r="406" spans="1:29" x14ac:dyDescent="0.4">
      <c r="A406" s="102" t="s">
        <v>483</v>
      </c>
      <c r="B406" s="85" t="s">
        <v>839</v>
      </c>
      <c r="C406" s="84" t="s">
        <v>884</v>
      </c>
      <c r="D406" s="143" t="s">
        <v>4345</v>
      </c>
      <c r="E406" s="145"/>
      <c r="I406" s="106" t="s">
        <v>4027</v>
      </c>
      <c r="J406" s="86">
        <v>125</v>
      </c>
      <c r="K406" s="88">
        <v>5250</v>
      </c>
      <c r="L406" s="100">
        <v>4850</v>
      </c>
      <c r="M406" s="100">
        <v>4100</v>
      </c>
      <c r="N406" s="136">
        <f t="shared" si="16"/>
        <v>19.885000000000002</v>
      </c>
      <c r="O406" s="88">
        <v>4500</v>
      </c>
      <c r="P406" s="90" t="s">
        <v>1132</v>
      </c>
      <c r="Q406" s="86" t="s">
        <v>3054</v>
      </c>
      <c r="R406" s="86"/>
      <c r="S406" s="86" t="s">
        <v>2768</v>
      </c>
      <c r="T406" s="91">
        <v>1.5</v>
      </c>
      <c r="U406" s="92">
        <v>15</v>
      </c>
      <c r="V406" s="93">
        <v>1</v>
      </c>
      <c r="Y406" s="99" t="s">
        <v>3046</v>
      </c>
      <c r="AB406" s="86" t="s">
        <v>2769</v>
      </c>
      <c r="AC406" s="98" t="s">
        <v>2841</v>
      </c>
    </row>
    <row r="407" spans="1:29" x14ac:dyDescent="0.4">
      <c r="A407" s="102" t="s">
        <v>238</v>
      </c>
      <c r="B407" s="85" t="s">
        <v>685</v>
      </c>
      <c r="C407" s="84" t="s">
        <v>3520</v>
      </c>
      <c r="D407" s="143" t="s">
        <v>4345</v>
      </c>
      <c r="E407" s="145"/>
      <c r="I407" s="106" t="s">
        <v>4027</v>
      </c>
      <c r="J407" s="86">
        <v>125</v>
      </c>
      <c r="L407" s="100">
        <v>3600</v>
      </c>
      <c r="M407" s="100">
        <v>4350</v>
      </c>
      <c r="N407" s="136">
        <f t="shared" si="16"/>
        <v>15.66</v>
      </c>
      <c r="P407" s="90" t="s">
        <v>1132</v>
      </c>
      <c r="Q407" s="86" t="s">
        <v>3054</v>
      </c>
      <c r="R407" s="86" t="s">
        <v>3054</v>
      </c>
      <c r="T407" s="91">
        <v>1.5</v>
      </c>
      <c r="AA407" s="116" t="s">
        <v>3052</v>
      </c>
      <c r="AC407" s="98" t="s">
        <v>3722</v>
      </c>
    </row>
    <row r="408" spans="1:29" x14ac:dyDescent="0.4">
      <c r="A408" s="102" t="s">
        <v>37</v>
      </c>
      <c r="B408" s="85" t="s">
        <v>1334</v>
      </c>
      <c r="C408" s="84" t="s">
        <v>1339</v>
      </c>
      <c r="D408" s="143" t="s">
        <v>4345</v>
      </c>
      <c r="E408" s="145"/>
      <c r="H408" s="86">
        <v>2</v>
      </c>
      <c r="I408" s="106" t="s">
        <v>1133</v>
      </c>
      <c r="L408" s="100">
        <v>4250</v>
      </c>
      <c r="M408" s="100">
        <v>3600</v>
      </c>
      <c r="N408" s="136">
        <f t="shared" si="16"/>
        <v>15.3</v>
      </c>
      <c r="R408" s="86"/>
      <c r="S408" s="86" t="s">
        <v>2766</v>
      </c>
      <c r="AC408" s="98" t="s">
        <v>1340</v>
      </c>
    </row>
    <row r="409" spans="1:29" x14ac:dyDescent="0.4">
      <c r="A409" s="102" t="s">
        <v>3756</v>
      </c>
      <c r="B409" s="85" t="s">
        <v>3757</v>
      </c>
      <c r="C409" s="84" t="s">
        <v>1339</v>
      </c>
      <c r="D409" s="143" t="s">
        <v>4345</v>
      </c>
      <c r="E409" s="145"/>
      <c r="I409" s="106" t="s">
        <v>1133</v>
      </c>
      <c r="L409" s="100">
        <v>4300</v>
      </c>
      <c r="M409" s="100">
        <v>3500</v>
      </c>
      <c r="N409" s="136">
        <f t="shared" si="16"/>
        <v>15.05</v>
      </c>
      <c r="Q409" s="86" t="s">
        <v>3054</v>
      </c>
      <c r="R409" s="86"/>
      <c r="S409" s="86" t="s">
        <v>2768</v>
      </c>
      <c r="AA409" s="116" t="s">
        <v>3052</v>
      </c>
      <c r="AC409" s="98" t="s">
        <v>3760</v>
      </c>
    </row>
    <row r="410" spans="1:29" ht="26.25" x14ac:dyDescent="0.4">
      <c r="A410" s="124" t="s">
        <v>3875</v>
      </c>
      <c r="B410" s="85" t="s">
        <v>578</v>
      </c>
      <c r="C410" s="84" t="s">
        <v>880</v>
      </c>
      <c r="E410" s="145"/>
      <c r="I410" s="106" t="s">
        <v>4027</v>
      </c>
      <c r="L410" s="100">
        <v>3650</v>
      </c>
      <c r="M410" s="100">
        <v>3180</v>
      </c>
      <c r="N410" s="136">
        <f t="shared" si="16"/>
        <v>11.606999999999999</v>
      </c>
      <c r="R410" s="86"/>
      <c r="S410" s="86" t="s">
        <v>2768</v>
      </c>
      <c r="AC410" s="98" t="s">
        <v>3873</v>
      </c>
    </row>
    <row r="411" spans="1:29" ht="26.25" x14ac:dyDescent="0.4">
      <c r="A411" s="124" t="s">
        <v>3876</v>
      </c>
      <c r="B411" s="85" t="s">
        <v>578</v>
      </c>
      <c r="C411" s="84" t="s">
        <v>880</v>
      </c>
      <c r="E411" s="145"/>
      <c r="I411" s="106" t="s">
        <v>4027</v>
      </c>
      <c r="L411" s="100">
        <v>3650</v>
      </c>
      <c r="M411" s="100">
        <v>3180</v>
      </c>
      <c r="N411" s="136">
        <f t="shared" si="16"/>
        <v>11.606999999999999</v>
      </c>
      <c r="R411" s="86"/>
      <c r="S411" s="86" t="s">
        <v>2766</v>
      </c>
      <c r="AC411" s="98" t="s">
        <v>3874</v>
      </c>
    </row>
    <row r="412" spans="1:29" x14ac:dyDescent="0.4">
      <c r="A412" s="102" t="s">
        <v>345</v>
      </c>
      <c r="B412" s="85" t="s">
        <v>2718</v>
      </c>
      <c r="C412" s="84" t="s">
        <v>2345</v>
      </c>
      <c r="E412" s="145"/>
      <c r="H412" s="86">
        <v>2</v>
      </c>
      <c r="I412" s="106" t="s">
        <v>4027</v>
      </c>
      <c r="J412" s="86">
        <v>125</v>
      </c>
      <c r="L412" s="100">
        <v>3000</v>
      </c>
      <c r="M412" s="100">
        <v>3500</v>
      </c>
      <c r="N412" s="136">
        <f t="shared" si="16"/>
        <v>10.5</v>
      </c>
      <c r="P412" s="90" t="s">
        <v>1132</v>
      </c>
      <c r="Q412" s="86" t="s">
        <v>3062</v>
      </c>
      <c r="R412" s="86"/>
      <c r="S412" s="86" t="s">
        <v>2766</v>
      </c>
      <c r="T412" s="91">
        <v>0.75</v>
      </c>
      <c r="U412" s="92">
        <v>10</v>
      </c>
      <c r="Z412" s="99" t="s">
        <v>3051</v>
      </c>
      <c r="AC412" s="98" t="s">
        <v>3943</v>
      </c>
    </row>
    <row r="413" spans="1:29" x14ac:dyDescent="0.4">
      <c r="A413" s="102" t="s">
        <v>1669</v>
      </c>
      <c r="B413" s="85" t="s">
        <v>623</v>
      </c>
      <c r="C413" s="84" t="s">
        <v>561</v>
      </c>
      <c r="E413" s="145"/>
      <c r="I413" s="106" t="s">
        <v>4027</v>
      </c>
      <c r="L413" s="100">
        <v>1300</v>
      </c>
      <c r="M413" s="100">
        <v>3200</v>
      </c>
      <c r="N413" s="136">
        <f t="shared" si="16"/>
        <v>4.16</v>
      </c>
      <c r="P413" s="63" t="s">
        <v>3177</v>
      </c>
      <c r="Q413" s="86" t="s">
        <v>3063</v>
      </c>
      <c r="R413" s="86"/>
      <c r="S413" s="86" t="s">
        <v>2768</v>
      </c>
      <c r="AC413" s="98" t="s">
        <v>3821</v>
      </c>
    </row>
    <row r="414" spans="1:29" x14ac:dyDescent="0.4">
      <c r="A414" s="102" t="s">
        <v>1670</v>
      </c>
      <c r="B414" s="85" t="s">
        <v>623</v>
      </c>
      <c r="C414" s="84" t="s">
        <v>561</v>
      </c>
      <c r="E414" s="145"/>
      <c r="I414" s="106" t="s">
        <v>4027</v>
      </c>
      <c r="L414" s="100">
        <v>1450</v>
      </c>
      <c r="M414" s="100">
        <v>3200</v>
      </c>
      <c r="N414" s="136">
        <f t="shared" si="16"/>
        <v>4.6399999999999997</v>
      </c>
      <c r="P414" s="63" t="s">
        <v>3177</v>
      </c>
      <c r="Q414" s="86" t="s">
        <v>3063</v>
      </c>
      <c r="R414" s="86"/>
      <c r="S414" s="86" t="s">
        <v>2768</v>
      </c>
      <c r="AC414" s="98" t="s">
        <v>3572</v>
      </c>
    </row>
    <row r="415" spans="1:29" x14ac:dyDescent="0.4">
      <c r="A415" s="102" t="s">
        <v>1671</v>
      </c>
      <c r="B415" s="85" t="s">
        <v>623</v>
      </c>
      <c r="C415" s="84" t="s">
        <v>561</v>
      </c>
      <c r="E415" s="145"/>
      <c r="I415" s="106" t="s">
        <v>4027</v>
      </c>
      <c r="L415" s="100">
        <v>1150</v>
      </c>
      <c r="M415" s="100">
        <v>3200</v>
      </c>
      <c r="N415" s="136">
        <f t="shared" si="16"/>
        <v>3.68</v>
      </c>
      <c r="P415" s="63" t="s">
        <v>3177</v>
      </c>
      <c r="Q415" s="86" t="s">
        <v>3063</v>
      </c>
      <c r="R415" s="86"/>
      <c r="S415" s="86" t="s">
        <v>2766</v>
      </c>
      <c r="AC415" s="98" t="s">
        <v>3571</v>
      </c>
    </row>
    <row r="416" spans="1:29" x14ac:dyDescent="0.4">
      <c r="A416" s="102" t="s">
        <v>80</v>
      </c>
      <c r="B416" s="85" t="s">
        <v>1490</v>
      </c>
      <c r="C416" s="84" t="s">
        <v>901</v>
      </c>
      <c r="E416" s="145"/>
      <c r="I416" s="106" t="s">
        <v>1133</v>
      </c>
      <c r="L416" s="100">
        <v>3000</v>
      </c>
      <c r="M416" s="100">
        <v>4300</v>
      </c>
      <c r="N416" s="136">
        <f t="shared" si="16"/>
        <v>12.9</v>
      </c>
      <c r="R416" s="86"/>
      <c r="S416" s="86" t="s">
        <v>2766</v>
      </c>
      <c r="AC416" s="98" t="s">
        <v>1493</v>
      </c>
    </row>
    <row r="417" spans="1:29" x14ac:dyDescent="0.4">
      <c r="A417" s="102" t="s">
        <v>31</v>
      </c>
      <c r="B417" s="85" t="s">
        <v>1266</v>
      </c>
      <c r="C417" s="84" t="s">
        <v>1262</v>
      </c>
      <c r="E417" s="145"/>
      <c r="I417" s="106" t="s">
        <v>4027</v>
      </c>
      <c r="L417" s="100">
        <v>1900</v>
      </c>
      <c r="M417" s="100">
        <v>3300</v>
      </c>
      <c r="N417" s="136">
        <f t="shared" ref="N417:N441" si="17">L417*M417/1000000</f>
        <v>6.27</v>
      </c>
      <c r="R417" s="86"/>
      <c r="S417" s="86" t="s">
        <v>2768</v>
      </c>
      <c r="AC417" s="98" t="s">
        <v>3669</v>
      </c>
    </row>
    <row r="418" spans="1:29" x14ac:dyDescent="0.4">
      <c r="A418" s="102" t="s">
        <v>1353</v>
      </c>
      <c r="B418" s="85" t="s">
        <v>1350</v>
      </c>
      <c r="C418" s="84" t="s">
        <v>1262</v>
      </c>
      <c r="E418" s="145"/>
      <c r="I418" s="106" t="s">
        <v>4027</v>
      </c>
      <c r="L418" s="100">
        <v>2400</v>
      </c>
      <c r="M418" s="100">
        <v>3500</v>
      </c>
      <c r="N418" s="136">
        <f t="shared" si="17"/>
        <v>8.4</v>
      </c>
      <c r="R418" s="86"/>
      <c r="S418" s="86" t="s">
        <v>2766</v>
      </c>
      <c r="AC418" s="98" t="s">
        <v>3656</v>
      </c>
    </row>
    <row r="419" spans="1:29" x14ac:dyDescent="0.4">
      <c r="A419" s="102" t="s">
        <v>219</v>
      </c>
      <c r="B419" s="85" t="s">
        <v>676</v>
      </c>
      <c r="C419" s="84" t="s">
        <v>3463</v>
      </c>
      <c r="E419" s="145"/>
      <c r="I419" s="106" t="s">
        <v>4027</v>
      </c>
      <c r="J419" s="86">
        <v>125</v>
      </c>
      <c r="L419" s="100">
        <v>3000</v>
      </c>
      <c r="M419" s="100">
        <v>4150</v>
      </c>
      <c r="N419" s="136">
        <f t="shared" si="17"/>
        <v>12.45</v>
      </c>
      <c r="P419" s="63" t="s">
        <v>3177</v>
      </c>
      <c r="Q419" s="86" t="s">
        <v>3053</v>
      </c>
      <c r="R419" s="86"/>
      <c r="S419" s="86" t="s">
        <v>2768</v>
      </c>
      <c r="T419" s="91">
        <v>0.75</v>
      </c>
      <c r="V419" s="93">
        <v>3</v>
      </c>
      <c r="Z419" s="87" t="s">
        <v>3051</v>
      </c>
      <c r="AC419" s="98" t="s">
        <v>3557</v>
      </c>
    </row>
    <row r="420" spans="1:29" x14ac:dyDescent="0.4">
      <c r="A420" s="102" t="s">
        <v>127</v>
      </c>
      <c r="B420" s="85" t="s">
        <v>3816</v>
      </c>
      <c r="C420" s="84" t="s">
        <v>4241</v>
      </c>
      <c r="E420" s="145"/>
      <c r="I420" s="106" t="s">
        <v>4027</v>
      </c>
      <c r="L420" s="100">
        <v>3000</v>
      </c>
      <c r="N420" s="136">
        <f t="shared" si="17"/>
        <v>0</v>
      </c>
      <c r="O420" s="88">
        <v>4150</v>
      </c>
      <c r="P420" s="63" t="s">
        <v>3177</v>
      </c>
      <c r="Q420" s="86" t="s">
        <v>3053</v>
      </c>
      <c r="R420" s="86"/>
      <c r="S420" s="86" t="s">
        <v>2768</v>
      </c>
      <c r="W420" s="94" t="s">
        <v>3049</v>
      </c>
      <c r="Z420" s="87" t="s">
        <v>3051</v>
      </c>
      <c r="AC420" s="98" t="s">
        <v>3314</v>
      </c>
    </row>
    <row r="421" spans="1:29" x14ac:dyDescent="0.4">
      <c r="A421" s="102" t="s">
        <v>128</v>
      </c>
      <c r="B421" s="85" t="s">
        <v>3816</v>
      </c>
      <c r="C421" s="84" t="s">
        <v>4241</v>
      </c>
      <c r="E421" s="145"/>
      <c r="H421" s="86">
        <v>2</v>
      </c>
      <c r="I421" s="106" t="s">
        <v>4027</v>
      </c>
      <c r="L421" s="100">
        <v>3000</v>
      </c>
      <c r="N421" s="136">
        <f t="shared" si="17"/>
        <v>0</v>
      </c>
      <c r="O421" s="88">
        <v>4150</v>
      </c>
      <c r="P421" s="63" t="s">
        <v>3177</v>
      </c>
      <c r="Q421" s="86" t="s">
        <v>3053</v>
      </c>
      <c r="R421" s="86"/>
      <c r="S421" s="86" t="s">
        <v>2766</v>
      </c>
      <c r="W421" s="94" t="s">
        <v>3050</v>
      </c>
      <c r="Z421" s="87" t="s">
        <v>3051</v>
      </c>
      <c r="AC421" s="98" t="s">
        <v>3313</v>
      </c>
    </row>
    <row r="422" spans="1:29" x14ac:dyDescent="0.4">
      <c r="A422" s="102" t="s">
        <v>293</v>
      </c>
      <c r="B422" s="85" t="s">
        <v>2700</v>
      </c>
      <c r="C422" s="84" t="s">
        <v>3377</v>
      </c>
      <c r="E422" s="145"/>
      <c r="I422" s="106" t="s">
        <v>4027</v>
      </c>
      <c r="J422" s="86">
        <v>125</v>
      </c>
      <c r="L422" s="100">
        <v>3565</v>
      </c>
      <c r="M422" s="100">
        <v>3410</v>
      </c>
      <c r="N422" s="136">
        <f t="shared" si="17"/>
        <v>12.156650000000001</v>
      </c>
      <c r="P422" s="63" t="s">
        <v>3177</v>
      </c>
      <c r="Q422" s="86" t="s">
        <v>3059</v>
      </c>
      <c r="R422" s="86" t="s">
        <v>3078</v>
      </c>
      <c r="S422" s="86" t="s">
        <v>2766</v>
      </c>
      <c r="T422" s="91">
        <v>0.75</v>
      </c>
      <c r="V422" s="93">
        <v>0.5</v>
      </c>
      <c r="W422" s="94" t="s">
        <v>3050</v>
      </c>
      <c r="AB422" s="86" t="s">
        <v>2769</v>
      </c>
      <c r="AC422" s="98" t="s">
        <v>3378</v>
      </c>
    </row>
    <row r="423" spans="1:29" x14ac:dyDescent="0.4">
      <c r="A423" s="102" t="s">
        <v>3516</v>
      </c>
      <c r="B423" s="85" t="s">
        <v>688</v>
      </c>
      <c r="C423" s="84" t="s">
        <v>3454</v>
      </c>
      <c r="E423" s="145"/>
      <c r="I423" s="106" t="s">
        <v>1131</v>
      </c>
      <c r="J423" s="86">
        <v>125</v>
      </c>
      <c r="L423" s="89">
        <v>4500</v>
      </c>
      <c r="M423" s="89">
        <v>5000</v>
      </c>
      <c r="N423" s="136">
        <f t="shared" si="17"/>
        <v>22.5</v>
      </c>
      <c r="P423" s="90" t="s">
        <v>1132</v>
      </c>
      <c r="Q423" s="86" t="s">
        <v>3053</v>
      </c>
      <c r="R423" s="86"/>
      <c r="S423" s="86" t="s">
        <v>2768</v>
      </c>
      <c r="T423" s="91">
        <v>1.5</v>
      </c>
      <c r="Z423" s="87" t="s">
        <v>3051</v>
      </c>
      <c r="AC423" s="98" t="s">
        <v>3963</v>
      </c>
    </row>
    <row r="424" spans="1:29" x14ac:dyDescent="0.4">
      <c r="A424" s="102" t="s">
        <v>1270</v>
      </c>
      <c r="B424" s="85" t="s">
        <v>1275</v>
      </c>
      <c r="C424" s="84" t="s">
        <v>4243</v>
      </c>
      <c r="E424" s="145"/>
      <c r="I424" s="106" t="s">
        <v>1133</v>
      </c>
      <c r="L424" s="100">
        <v>5000</v>
      </c>
      <c r="M424" s="100">
        <v>5770</v>
      </c>
      <c r="N424" s="136">
        <f t="shared" si="17"/>
        <v>28.85</v>
      </c>
      <c r="Q424" s="86" t="s">
        <v>3054</v>
      </c>
      <c r="R424" s="86" t="s">
        <v>3039</v>
      </c>
      <c r="S424" s="86" t="s">
        <v>2766</v>
      </c>
      <c r="AB424" s="86" t="s">
        <v>2769</v>
      </c>
      <c r="AC424" s="98" t="s">
        <v>3668</v>
      </c>
    </row>
    <row r="425" spans="1:29" x14ac:dyDescent="0.4">
      <c r="A425" s="102" t="s">
        <v>431</v>
      </c>
      <c r="B425" s="85" t="s">
        <v>817</v>
      </c>
      <c r="C425" s="84" t="s">
        <v>2200</v>
      </c>
      <c r="E425" s="145"/>
      <c r="I425" s="106" t="s">
        <v>4027</v>
      </c>
      <c r="J425" s="86">
        <v>125</v>
      </c>
      <c r="L425" s="100">
        <v>3000</v>
      </c>
      <c r="M425" s="100">
        <v>3750</v>
      </c>
      <c r="N425" s="136">
        <f t="shared" si="17"/>
        <v>11.25</v>
      </c>
      <c r="Q425" s="86" t="s">
        <v>3053</v>
      </c>
      <c r="R425" s="86"/>
      <c r="S425" s="86" t="s">
        <v>2768</v>
      </c>
      <c r="T425" s="91">
        <v>0.75</v>
      </c>
      <c r="U425" s="92">
        <v>10</v>
      </c>
      <c r="V425" s="93">
        <v>1.5</v>
      </c>
      <c r="AB425" s="86" t="s">
        <v>2769</v>
      </c>
      <c r="AC425" s="98" t="s">
        <v>2925</v>
      </c>
    </row>
    <row r="426" spans="1:29" x14ac:dyDescent="0.4">
      <c r="A426" s="102" t="s">
        <v>3257</v>
      </c>
      <c r="B426" s="85" t="s">
        <v>737</v>
      </c>
      <c r="C426" s="84" t="s">
        <v>4417</v>
      </c>
      <c r="D426" s="97" t="s">
        <v>4312</v>
      </c>
      <c r="E426" s="145"/>
      <c r="I426" s="106" t="s">
        <v>4027</v>
      </c>
      <c r="J426" s="86">
        <v>125</v>
      </c>
      <c r="L426" s="100">
        <v>3155</v>
      </c>
      <c r="M426" s="100">
        <v>3650</v>
      </c>
      <c r="N426" s="136">
        <f t="shared" si="17"/>
        <v>11.515750000000001</v>
      </c>
      <c r="P426" s="90" t="s">
        <v>1132</v>
      </c>
      <c r="Q426" s="86" t="s">
        <v>3053</v>
      </c>
      <c r="R426" s="86" t="s">
        <v>3077</v>
      </c>
      <c r="S426" s="86" t="s">
        <v>2768</v>
      </c>
      <c r="T426" s="91">
        <v>0.75</v>
      </c>
      <c r="V426" s="93">
        <v>5</v>
      </c>
      <c r="AB426" s="86" t="s">
        <v>2769</v>
      </c>
      <c r="AC426" s="98" t="s">
        <v>3256</v>
      </c>
    </row>
    <row r="427" spans="1:29" x14ac:dyDescent="0.4">
      <c r="A427" s="102" t="s">
        <v>3258</v>
      </c>
      <c r="B427" s="85" t="s">
        <v>737</v>
      </c>
      <c r="C427" s="84" t="s">
        <v>4417</v>
      </c>
      <c r="D427" s="97" t="s">
        <v>4312</v>
      </c>
      <c r="E427" s="145"/>
      <c r="I427" s="106" t="s">
        <v>4027</v>
      </c>
      <c r="J427" s="86">
        <v>125</v>
      </c>
      <c r="L427" s="100">
        <v>2450</v>
      </c>
      <c r="M427" s="100">
        <v>3300</v>
      </c>
      <c r="N427" s="136">
        <f t="shared" si="17"/>
        <v>8.0850000000000009</v>
      </c>
      <c r="P427" s="90" t="s">
        <v>1132</v>
      </c>
      <c r="Q427" s="86" t="s">
        <v>3053</v>
      </c>
      <c r="R427" s="86" t="s">
        <v>3077</v>
      </c>
      <c r="S427" s="86" t="s">
        <v>2768</v>
      </c>
      <c r="T427" s="91">
        <v>0.75</v>
      </c>
      <c r="V427" s="93">
        <v>0.5</v>
      </c>
      <c r="AB427" s="86" t="s">
        <v>2769</v>
      </c>
      <c r="AC427" s="98" t="s">
        <v>3259</v>
      </c>
    </row>
    <row r="428" spans="1:29" x14ac:dyDescent="0.4">
      <c r="A428" s="102" t="s">
        <v>2830</v>
      </c>
      <c r="B428" s="85" t="s">
        <v>2749</v>
      </c>
      <c r="C428" s="84" t="s">
        <v>4417</v>
      </c>
      <c r="D428" s="97" t="s">
        <v>4312</v>
      </c>
      <c r="E428" s="145"/>
      <c r="I428" s="106" t="s">
        <v>4027</v>
      </c>
      <c r="J428" s="86">
        <v>125</v>
      </c>
      <c r="L428" s="100">
        <v>4000</v>
      </c>
      <c r="M428" s="100">
        <v>4150</v>
      </c>
      <c r="N428" s="136">
        <f t="shared" si="17"/>
        <v>16.600000000000001</v>
      </c>
      <c r="P428" s="90" t="s">
        <v>1132</v>
      </c>
      <c r="Q428" s="86" t="s">
        <v>3053</v>
      </c>
      <c r="R428" s="86"/>
      <c r="S428" s="86" t="s">
        <v>2766</v>
      </c>
      <c r="T428" s="91">
        <v>0.75</v>
      </c>
      <c r="U428" s="92">
        <v>15</v>
      </c>
      <c r="V428" s="93">
        <v>1</v>
      </c>
      <c r="AB428" s="86" t="s">
        <v>2769</v>
      </c>
      <c r="AC428" s="98" t="s">
        <v>2101</v>
      </c>
    </row>
    <row r="429" spans="1:29" x14ac:dyDescent="0.4">
      <c r="A429" s="102" t="s">
        <v>2831</v>
      </c>
      <c r="B429" s="85" t="s">
        <v>2749</v>
      </c>
      <c r="C429" s="84" t="s">
        <v>4417</v>
      </c>
      <c r="D429" s="97" t="s">
        <v>4312</v>
      </c>
      <c r="E429" s="145"/>
      <c r="I429" s="106" t="s">
        <v>4027</v>
      </c>
      <c r="J429" s="86">
        <v>125</v>
      </c>
      <c r="L429" s="100">
        <v>2900</v>
      </c>
      <c r="M429" s="100">
        <v>4150</v>
      </c>
      <c r="N429" s="136">
        <f t="shared" si="17"/>
        <v>12.035</v>
      </c>
      <c r="P429" s="90" t="s">
        <v>1132</v>
      </c>
      <c r="Q429" s="86" t="s">
        <v>3053</v>
      </c>
      <c r="R429" s="86"/>
      <c r="S429" s="86" t="s">
        <v>2766</v>
      </c>
      <c r="T429" s="91">
        <v>0.75</v>
      </c>
      <c r="U429" s="92">
        <v>15</v>
      </c>
      <c r="V429" s="93">
        <v>1</v>
      </c>
      <c r="AB429" s="86" t="s">
        <v>2769</v>
      </c>
      <c r="AC429" s="98" t="s">
        <v>2832</v>
      </c>
    </row>
    <row r="430" spans="1:29" x14ac:dyDescent="0.4">
      <c r="A430" s="102" t="s">
        <v>2833</v>
      </c>
      <c r="B430" s="85" t="s">
        <v>2749</v>
      </c>
      <c r="C430" s="84" t="s">
        <v>4417</v>
      </c>
      <c r="D430" s="97" t="s">
        <v>4312</v>
      </c>
      <c r="E430" s="145"/>
      <c r="I430" s="106" t="s">
        <v>4027</v>
      </c>
      <c r="J430" s="86">
        <v>125</v>
      </c>
      <c r="L430" s="100">
        <v>2900</v>
      </c>
      <c r="M430" s="100">
        <v>4150</v>
      </c>
      <c r="N430" s="136">
        <f t="shared" si="17"/>
        <v>12.035</v>
      </c>
      <c r="P430" s="90" t="s">
        <v>1132</v>
      </c>
      <c r="Q430" s="86" t="s">
        <v>3053</v>
      </c>
      <c r="R430" s="86"/>
      <c r="S430" s="86" t="s">
        <v>2768</v>
      </c>
      <c r="T430" s="91">
        <v>0.75</v>
      </c>
      <c r="U430" s="92">
        <v>15</v>
      </c>
      <c r="V430" s="93">
        <v>1</v>
      </c>
      <c r="AB430" s="86" t="s">
        <v>2769</v>
      </c>
      <c r="AC430" s="98" t="s">
        <v>2834</v>
      </c>
    </row>
    <row r="431" spans="1:29" x14ac:dyDescent="0.4">
      <c r="A431" s="102" t="s">
        <v>2837</v>
      </c>
      <c r="B431" s="85" t="s">
        <v>2749</v>
      </c>
      <c r="C431" s="84" t="s">
        <v>4417</v>
      </c>
      <c r="D431" s="97" t="s">
        <v>4312</v>
      </c>
      <c r="E431" s="145"/>
      <c r="I431" s="106" t="s">
        <v>4027</v>
      </c>
      <c r="J431" s="86">
        <v>125</v>
      </c>
      <c r="L431" s="100">
        <v>3000</v>
      </c>
      <c r="M431" s="100">
        <v>3150</v>
      </c>
      <c r="N431" s="136">
        <f t="shared" si="17"/>
        <v>9.4499999999999993</v>
      </c>
      <c r="P431" s="90" t="s">
        <v>1132</v>
      </c>
      <c r="Q431" s="86" t="s">
        <v>3053</v>
      </c>
      <c r="R431" s="86"/>
      <c r="S431" s="86" t="s">
        <v>2766</v>
      </c>
      <c r="T431" s="91">
        <v>0.75</v>
      </c>
      <c r="U431" s="92">
        <v>15</v>
      </c>
      <c r="V431" s="93">
        <v>1</v>
      </c>
      <c r="AB431" s="86" t="s">
        <v>2769</v>
      </c>
      <c r="AC431" s="98" t="s">
        <v>2838</v>
      </c>
    </row>
    <row r="432" spans="1:29" x14ac:dyDescent="0.4">
      <c r="A432" s="102" t="s">
        <v>1742</v>
      </c>
      <c r="B432" s="85" t="s">
        <v>630</v>
      </c>
      <c r="C432" s="84" t="s">
        <v>4417</v>
      </c>
      <c r="D432" s="97" t="s">
        <v>4312</v>
      </c>
      <c r="E432" s="145"/>
      <c r="H432" s="86">
        <v>2</v>
      </c>
      <c r="I432" s="106" t="s">
        <v>4027</v>
      </c>
      <c r="L432" s="100">
        <v>3100</v>
      </c>
      <c r="M432" s="100">
        <v>4150</v>
      </c>
      <c r="N432" s="136">
        <f t="shared" si="17"/>
        <v>12.865</v>
      </c>
      <c r="P432" s="63" t="s">
        <v>3177</v>
      </c>
      <c r="R432" s="86"/>
      <c r="S432" s="86" t="s">
        <v>2768</v>
      </c>
      <c r="AC432" s="98" t="s">
        <v>3324</v>
      </c>
    </row>
    <row r="433" spans="1:29" x14ac:dyDescent="0.4">
      <c r="A433" s="102" t="s">
        <v>1743</v>
      </c>
      <c r="B433" s="85" t="s">
        <v>630</v>
      </c>
      <c r="C433" s="84" t="s">
        <v>4417</v>
      </c>
      <c r="D433" s="97" t="s">
        <v>4312</v>
      </c>
      <c r="E433" s="145"/>
      <c r="I433" s="106" t="s">
        <v>4027</v>
      </c>
      <c r="L433" s="100">
        <v>3100</v>
      </c>
      <c r="M433" s="100">
        <v>4150</v>
      </c>
      <c r="N433" s="136">
        <f t="shared" si="17"/>
        <v>12.865</v>
      </c>
      <c r="P433" s="63" t="s">
        <v>3177</v>
      </c>
      <c r="R433" s="86"/>
      <c r="S433" s="86" t="s">
        <v>2766</v>
      </c>
      <c r="AC433" s="98" t="s">
        <v>3323</v>
      </c>
    </row>
    <row r="434" spans="1:29" x14ac:dyDescent="0.4">
      <c r="A434" s="102" t="s">
        <v>1744</v>
      </c>
      <c r="B434" s="85" t="s">
        <v>630</v>
      </c>
      <c r="C434" s="84" t="s">
        <v>4417</v>
      </c>
      <c r="D434" s="97" t="s">
        <v>4312</v>
      </c>
      <c r="E434" s="145"/>
      <c r="I434" s="106" t="s">
        <v>4027</v>
      </c>
      <c r="L434" s="100">
        <v>3100</v>
      </c>
      <c r="M434" s="100">
        <v>4150</v>
      </c>
      <c r="N434" s="136">
        <f t="shared" si="17"/>
        <v>12.865</v>
      </c>
      <c r="P434" s="63" t="s">
        <v>3177</v>
      </c>
      <c r="R434" s="86"/>
      <c r="S434" s="86" t="s">
        <v>2766</v>
      </c>
      <c r="AC434" s="98" t="s">
        <v>3322</v>
      </c>
    </row>
    <row r="435" spans="1:29" x14ac:dyDescent="0.4">
      <c r="A435" s="102" t="s">
        <v>1748</v>
      </c>
      <c r="B435" s="85" t="s">
        <v>630</v>
      </c>
      <c r="C435" s="84" t="s">
        <v>4417</v>
      </c>
      <c r="D435" s="97" t="s">
        <v>4312</v>
      </c>
      <c r="E435" s="145"/>
      <c r="I435" s="106" t="s">
        <v>4027</v>
      </c>
      <c r="L435" s="100">
        <v>3100</v>
      </c>
      <c r="M435" s="100">
        <v>4500</v>
      </c>
      <c r="N435" s="136">
        <f t="shared" si="17"/>
        <v>13.95</v>
      </c>
      <c r="P435" s="63" t="s">
        <v>3177</v>
      </c>
      <c r="R435" s="86"/>
      <c r="AC435" s="98" t="s">
        <v>3321</v>
      </c>
    </row>
    <row r="436" spans="1:29" x14ac:dyDescent="0.4">
      <c r="A436" s="102" t="s">
        <v>406</v>
      </c>
      <c r="B436" s="85" t="s">
        <v>2732</v>
      </c>
      <c r="C436" s="84" t="s">
        <v>4244</v>
      </c>
      <c r="D436" s="97" t="s">
        <v>4397</v>
      </c>
      <c r="E436" s="145" t="s">
        <v>4398</v>
      </c>
      <c r="I436" s="106" t="s">
        <v>2765</v>
      </c>
      <c r="J436" s="86">
        <v>150</v>
      </c>
      <c r="L436" s="100">
        <v>5650</v>
      </c>
      <c r="M436" s="100">
        <v>4200</v>
      </c>
      <c r="N436" s="136">
        <f t="shared" si="17"/>
        <v>23.73</v>
      </c>
      <c r="O436" s="88">
        <v>4450</v>
      </c>
      <c r="P436" s="90" t="s">
        <v>1132</v>
      </c>
      <c r="Q436" s="86" t="s">
        <v>3057</v>
      </c>
      <c r="R436" s="86"/>
      <c r="S436" s="86" t="s">
        <v>2768</v>
      </c>
      <c r="T436" s="91">
        <v>2.2000000000000002</v>
      </c>
      <c r="U436" s="92">
        <v>15</v>
      </c>
      <c r="V436" s="93">
        <v>1</v>
      </c>
      <c r="Z436" s="99" t="s">
        <v>3051</v>
      </c>
      <c r="AB436" s="86" t="s">
        <v>2769</v>
      </c>
      <c r="AC436" s="98" t="s">
        <v>2971</v>
      </c>
    </row>
    <row r="437" spans="1:29" x14ac:dyDescent="0.4">
      <c r="A437" s="102" t="s">
        <v>3171</v>
      </c>
      <c r="B437" s="85" t="s">
        <v>2939</v>
      </c>
      <c r="C437" s="84" t="s">
        <v>4244</v>
      </c>
      <c r="D437" s="97" t="s">
        <v>4397</v>
      </c>
      <c r="E437" s="145" t="s">
        <v>4398</v>
      </c>
      <c r="I437" s="106" t="s">
        <v>2765</v>
      </c>
      <c r="J437" s="86">
        <v>150</v>
      </c>
      <c r="L437" s="100">
        <v>5650</v>
      </c>
      <c r="M437" s="100">
        <v>4200</v>
      </c>
      <c r="N437" s="136">
        <f t="shared" si="17"/>
        <v>23.73</v>
      </c>
      <c r="O437" s="88">
        <v>4450</v>
      </c>
      <c r="P437" s="90" t="s">
        <v>1132</v>
      </c>
      <c r="Q437" s="86" t="s">
        <v>3057</v>
      </c>
      <c r="R437" s="86"/>
      <c r="S437" s="86" t="s">
        <v>2768</v>
      </c>
      <c r="T437" s="91">
        <v>2.2000000000000002</v>
      </c>
      <c r="U437" s="92">
        <v>15</v>
      </c>
      <c r="V437" s="93">
        <v>1</v>
      </c>
      <c r="Z437" s="99" t="s">
        <v>3051</v>
      </c>
      <c r="AB437" s="86" t="s">
        <v>2769</v>
      </c>
      <c r="AC437" s="98" t="s">
        <v>2938</v>
      </c>
    </row>
    <row r="438" spans="1:29" x14ac:dyDescent="0.4">
      <c r="A438" s="102" t="s">
        <v>108</v>
      </c>
      <c r="B438" s="85" t="s">
        <v>623</v>
      </c>
      <c r="C438" s="84" t="s">
        <v>2324</v>
      </c>
      <c r="D438" s="143" t="s">
        <v>4350</v>
      </c>
      <c r="E438" s="145"/>
      <c r="I438" s="106" t="s">
        <v>4027</v>
      </c>
      <c r="L438" s="100">
        <v>2500</v>
      </c>
      <c r="M438" s="100">
        <v>2800</v>
      </c>
      <c r="N438" s="136">
        <f t="shared" si="17"/>
        <v>7</v>
      </c>
      <c r="R438" s="86"/>
      <c r="S438" s="86" t="s">
        <v>2768</v>
      </c>
      <c r="AC438" s="98" t="s">
        <v>3573</v>
      </c>
    </row>
    <row r="439" spans="1:29" x14ac:dyDescent="0.4">
      <c r="A439" s="102" t="s">
        <v>163</v>
      </c>
      <c r="B439" s="85" t="s">
        <v>646</v>
      </c>
      <c r="C439" s="84" t="s">
        <v>2324</v>
      </c>
      <c r="D439" s="143" t="s">
        <v>4350</v>
      </c>
      <c r="E439" s="145"/>
      <c r="I439" s="106" t="s">
        <v>4027</v>
      </c>
      <c r="L439" s="100">
        <v>3650</v>
      </c>
      <c r="M439" s="100">
        <v>4150</v>
      </c>
      <c r="N439" s="136">
        <f t="shared" si="17"/>
        <v>15.147500000000001</v>
      </c>
      <c r="R439" s="86"/>
      <c r="S439" s="86" t="s">
        <v>2766</v>
      </c>
      <c r="AA439" s="116" t="s">
        <v>3052</v>
      </c>
      <c r="AB439" s="86" t="s">
        <v>2769</v>
      </c>
      <c r="AC439" s="98" t="s">
        <v>3558</v>
      </c>
    </row>
    <row r="440" spans="1:29" x14ac:dyDescent="0.4">
      <c r="A440" s="102" t="s">
        <v>251</v>
      </c>
      <c r="B440" s="85" t="s">
        <v>695</v>
      </c>
      <c r="C440" s="84" t="s">
        <v>2324</v>
      </c>
      <c r="D440" s="143" t="s">
        <v>4350</v>
      </c>
      <c r="E440" s="145"/>
      <c r="I440" s="106" t="s">
        <v>4027</v>
      </c>
      <c r="J440" s="86">
        <v>100</v>
      </c>
      <c r="L440" s="89">
        <v>2700</v>
      </c>
      <c r="M440" s="89">
        <v>2700</v>
      </c>
      <c r="N440" s="136">
        <f t="shared" si="17"/>
        <v>7.29</v>
      </c>
      <c r="P440" s="90" t="s">
        <v>1132</v>
      </c>
      <c r="Q440" s="86" t="s">
        <v>3066</v>
      </c>
      <c r="R440" s="86" t="s">
        <v>3039</v>
      </c>
      <c r="S440" s="86" t="s">
        <v>2766</v>
      </c>
      <c r="T440" s="91">
        <v>0.75</v>
      </c>
      <c r="AB440" s="86" t="s">
        <v>2769</v>
      </c>
      <c r="AC440" s="98" t="s">
        <v>3470</v>
      </c>
    </row>
    <row r="441" spans="1:29" x14ac:dyDescent="0.4">
      <c r="A441" s="102" t="s">
        <v>357</v>
      </c>
      <c r="B441" s="85" t="s">
        <v>2720</v>
      </c>
      <c r="C441" s="84" t="s">
        <v>2324</v>
      </c>
      <c r="D441" s="143" t="s">
        <v>4350</v>
      </c>
      <c r="E441" s="145"/>
      <c r="I441" s="106" t="s">
        <v>4027</v>
      </c>
      <c r="J441" s="86">
        <v>125</v>
      </c>
      <c r="L441" s="100">
        <v>2750</v>
      </c>
      <c r="M441" s="100">
        <v>3000</v>
      </c>
      <c r="N441" s="136">
        <f t="shared" si="17"/>
        <v>8.25</v>
      </c>
      <c r="P441" s="90" t="s">
        <v>1132</v>
      </c>
      <c r="R441" s="86" t="s">
        <v>3066</v>
      </c>
      <c r="S441" s="86" t="s">
        <v>2768</v>
      </c>
      <c r="T441" s="91">
        <v>0.75</v>
      </c>
      <c r="Z441" s="87" t="s">
        <v>3051</v>
      </c>
      <c r="AC441" s="98" t="s">
        <v>3020</v>
      </c>
    </row>
    <row r="442" spans="1:29" x14ac:dyDescent="0.4">
      <c r="A442" s="102" t="s">
        <v>308</v>
      </c>
      <c r="B442" s="85" t="s">
        <v>2704</v>
      </c>
      <c r="C442" s="84" t="s">
        <v>2573</v>
      </c>
      <c r="E442" s="145"/>
      <c r="I442" s="106" t="s">
        <v>1133</v>
      </c>
      <c r="J442" s="86">
        <v>150</v>
      </c>
      <c r="K442" s="88">
        <v>6190</v>
      </c>
      <c r="O442" s="88">
        <v>6600</v>
      </c>
      <c r="P442" s="90" t="s">
        <v>1132</v>
      </c>
      <c r="Q442" s="86" t="s">
        <v>3062</v>
      </c>
      <c r="R442" s="86" t="s">
        <v>3078</v>
      </c>
      <c r="S442" s="86" t="s">
        <v>2766</v>
      </c>
      <c r="T442" s="91">
        <v>2.2000000000000002</v>
      </c>
      <c r="V442" s="93">
        <v>1</v>
      </c>
      <c r="AA442" s="111" t="s">
        <v>3052</v>
      </c>
      <c r="AB442" s="86" t="s">
        <v>2769</v>
      </c>
      <c r="AC442" s="98" t="s">
        <v>2572</v>
      </c>
    </row>
    <row r="443" spans="1:29" x14ac:dyDescent="0.4">
      <c r="A443" s="102" t="s">
        <v>342</v>
      </c>
      <c r="B443" s="85" t="s">
        <v>770</v>
      </c>
      <c r="C443" s="84" t="s">
        <v>2350</v>
      </c>
      <c r="E443" s="145"/>
      <c r="H443" s="86">
        <v>5</v>
      </c>
      <c r="I443" s="106" t="s">
        <v>4027</v>
      </c>
      <c r="J443" s="86">
        <v>150</v>
      </c>
      <c r="L443" s="100">
        <v>1800</v>
      </c>
      <c r="M443" s="100">
        <v>2800</v>
      </c>
      <c r="N443" s="136">
        <f>L443*M443/1000000</f>
        <v>5.04</v>
      </c>
      <c r="P443" s="90" t="s">
        <v>1132</v>
      </c>
      <c r="Q443" s="86" t="s">
        <v>3056</v>
      </c>
      <c r="R443" s="86"/>
      <c r="S443" s="86" t="s">
        <v>2768</v>
      </c>
      <c r="T443" s="91">
        <v>0.75</v>
      </c>
      <c r="V443" s="93">
        <v>0.5</v>
      </c>
      <c r="AB443" s="86" t="s">
        <v>2769</v>
      </c>
      <c r="AC443" s="98" t="s">
        <v>3944</v>
      </c>
    </row>
    <row r="444" spans="1:29" x14ac:dyDescent="0.4">
      <c r="A444" s="102" t="s">
        <v>1272</v>
      </c>
      <c r="B444" s="85" t="s">
        <v>1274</v>
      </c>
      <c r="C444" s="84" t="s">
        <v>4245</v>
      </c>
      <c r="E444" s="145"/>
      <c r="I444" s="106" t="s">
        <v>1133</v>
      </c>
      <c r="L444" s="100">
        <v>4220</v>
      </c>
      <c r="M444" s="100">
        <v>5150</v>
      </c>
      <c r="N444" s="136">
        <f>L444*M444/1000000</f>
        <v>21.733000000000001</v>
      </c>
      <c r="P444" s="90" t="s">
        <v>1132</v>
      </c>
      <c r="Q444" s="86" t="s">
        <v>3062</v>
      </c>
      <c r="R444" s="86" t="s">
        <v>3054</v>
      </c>
      <c r="S444" s="86" t="s">
        <v>2768</v>
      </c>
      <c r="AC444" s="98" t="s">
        <v>1282</v>
      </c>
    </row>
    <row r="445" spans="1:29" x14ac:dyDescent="0.4">
      <c r="A445" s="102" t="s">
        <v>87</v>
      </c>
      <c r="B445" s="85" t="s">
        <v>607</v>
      </c>
      <c r="C445" s="84" t="s">
        <v>875</v>
      </c>
      <c r="E445" s="145"/>
      <c r="I445" s="106" t="s">
        <v>2998</v>
      </c>
      <c r="R445" s="86"/>
      <c r="AC445" s="98" t="s">
        <v>1538</v>
      </c>
    </row>
    <row r="446" spans="1:29" x14ac:dyDescent="0.4">
      <c r="A446" s="102" t="s">
        <v>21</v>
      </c>
      <c r="B446" s="85" t="s">
        <v>573</v>
      </c>
      <c r="C446" s="84" t="s">
        <v>4246</v>
      </c>
      <c r="E446" s="145"/>
      <c r="H446" s="86">
        <v>7</v>
      </c>
      <c r="I446" s="106" t="s">
        <v>1133</v>
      </c>
      <c r="L446" s="100">
        <v>3250</v>
      </c>
      <c r="M446" s="100">
        <v>4500</v>
      </c>
      <c r="N446" s="136">
        <f>L446*M446/1000000</f>
        <v>14.625</v>
      </c>
      <c r="R446" s="86"/>
      <c r="AC446" s="98" t="s">
        <v>3894</v>
      </c>
    </row>
    <row r="447" spans="1:29" x14ac:dyDescent="0.4">
      <c r="A447" s="102" t="s">
        <v>1223</v>
      </c>
      <c r="B447" s="85" t="s">
        <v>1226</v>
      </c>
      <c r="C447" s="84" t="s">
        <v>4246</v>
      </c>
      <c r="E447" s="145"/>
      <c r="I447" s="106" t="s">
        <v>1133</v>
      </c>
      <c r="L447" s="100">
        <v>3650</v>
      </c>
      <c r="M447" s="100">
        <v>4500</v>
      </c>
      <c r="N447" s="136">
        <f>L447*M447/1000000</f>
        <v>16.425000000000001</v>
      </c>
      <c r="R447" s="86"/>
      <c r="AC447" s="98" t="s">
        <v>3893</v>
      </c>
    </row>
    <row r="448" spans="1:29" x14ac:dyDescent="0.4">
      <c r="A448" s="102" t="s">
        <v>1356</v>
      </c>
      <c r="B448" s="85" t="s">
        <v>1357</v>
      </c>
      <c r="C448" s="84" t="s">
        <v>4246</v>
      </c>
      <c r="E448" s="145"/>
      <c r="I448" s="106"/>
      <c r="R448" s="86"/>
      <c r="AC448" s="98" t="s">
        <v>1359</v>
      </c>
    </row>
    <row r="449" spans="1:29" x14ac:dyDescent="0.4">
      <c r="A449" s="102" t="s">
        <v>213</v>
      </c>
      <c r="B449" s="85" t="s">
        <v>672</v>
      </c>
      <c r="C449" s="84" t="s">
        <v>4246</v>
      </c>
      <c r="E449" s="145"/>
      <c r="I449" s="106" t="s">
        <v>3001</v>
      </c>
      <c r="R449" s="86"/>
      <c r="AC449" s="98" t="s">
        <v>3693</v>
      </c>
    </row>
    <row r="450" spans="1:29" x14ac:dyDescent="0.4">
      <c r="A450" s="102" t="s">
        <v>3787</v>
      </c>
      <c r="B450" s="85" t="s">
        <v>1884</v>
      </c>
      <c r="C450" s="84" t="s">
        <v>1878</v>
      </c>
      <c r="D450" s="143" t="s">
        <v>4351</v>
      </c>
      <c r="E450" s="145"/>
      <c r="I450" s="106" t="s">
        <v>4027</v>
      </c>
      <c r="J450" s="86">
        <v>100</v>
      </c>
      <c r="L450" s="100">
        <v>3000</v>
      </c>
      <c r="M450" s="100">
        <v>3650</v>
      </c>
      <c r="N450" s="136">
        <f t="shared" ref="N450:N469" si="18">L450*M450/1000000</f>
        <v>10.95</v>
      </c>
      <c r="Q450" s="86" t="s">
        <v>3054</v>
      </c>
      <c r="R450" s="86"/>
      <c r="S450" s="86" t="s">
        <v>2766</v>
      </c>
      <c r="T450" s="91">
        <v>0.75</v>
      </c>
      <c r="Z450" s="87" t="s">
        <v>3051</v>
      </c>
      <c r="AC450" s="98" t="s">
        <v>3998</v>
      </c>
    </row>
    <row r="451" spans="1:29" x14ac:dyDescent="0.4">
      <c r="A451" s="102" t="s">
        <v>3788</v>
      </c>
      <c r="B451" s="85" t="s">
        <v>1884</v>
      </c>
      <c r="C451" s="84" t="s">
        <v>1878</v>
      </c>
      <c r="D451" s="143" t="s">
        <v>4351</v>
      </c>
      <c r="E451" s="145"/>
      <c r="I451" s="106" t="s">
        <v>2765</v>
      </c>
      <c r="L451" s="100">
        <v>2900</v>
      </c>
      <c r="M451" s="100">
        <v>3500</v>
      </c>
      <c r="N451" s="136">
        <f t="shared" si="18"/>
        <v>10.15</v>
      </c>
      <c r="Q451" s="86" t="s">
        <v>3054</v>
      </c>
      <c r="R451" s="86"/>
      <c r="S451" s="86" t="s">
        <v>2766</v>
      </c>
      <c r="T451" s="91">
        <v>1.5</v>
      </c>
      <c r="Z451" s="87" t="s">
        <v>3051</v>
      </c>
      <c r="AC451" s="98" t="s">
        <v>3789</v>
      </c>
    </row>
    <row r="452" spans="1:29" x14ac:dyDescent="0.4">
      <c r="A452" s="102" t="s">
        <v>525</v>
      </c>
      <c r="B452" s="85" t="s">
        <v>865</v>
      </c>
      <c r="C452" s="84" t="s">
        <v>1878</v>
      </c>
      <c r="D452" s="143" t="s">
        <v>4351</v>
      </c>
      <c r="E452" s="145"/>
      <c r="H452" s="86">
        <v>1</v>
      </c>
      <c r="I452" s="106" t="s">
        <v>4027</v>
      </c>
      <c r="J452" s="86">
        <v>125</v>
      </c>
      <c r="L452" s="100">
        <v>2400</v>
      </c>
      <c r="M452" s="100">
        <v>3650</v>
      </c>
      <c r="N452" s="136">
        <f t="shared" si="18"/>
        <v>8.76</v>
      </c>
      <c r="P452" s="90" t="s">
        <v>1132</v>
      </c>
      <c r="Q452" s="86" t="s">
        <v>3053</v>
      </c>
      <c r="R452" s="86"/>
      <c r="S452" s="86" t="s">
        <v>2768</v>
      </c>
      <c r="T452" s="91">
        <v>0.75</v>
      </c>
      <c r="U452" s="92">
        <v>10</v>
      </c>
      <c r="V452" s="93">
        <v>1</v>
      </c>
      <c r="W452" s="94" t="s">
        <v>3050</v>
      </c>
      <c r="AB452" s="86" t="s">
        <v>2769</v>
      </c>
      <c r="AC452" s="98" t="s">
        <v>2035</v>
      </c>
    </row>
    <row r="453" spans="1:29" x14ac:dyDescent="0.4">
      <c r="A453" s="102" t="s">
        <v>1260</v>
      </c>
      <c r="B453" s="85" t="s">
        <v>1267</v>
      </c>
      <c r="C453" s="84" t="s">
        <v>4247</v>
      </c>
      <c r="E453" s="145"/>
      <c r="I453" s="106" t="s">
        <v>1133</v>
      </c>
      <c r="L453" s="100">
        <v>4500</v>
      </c>
      <c r="M453" s="100">
        <v>4500</v>
      </c>
      <c r="N453" s="136">
        <f t="shared" si="18"/>
        <v>20.25</v>
      </c>
      <c r="R453" s="86"/>
      <c r="S453" s="86" t="s">
        <v>2768</v>
      </c>
      <c r="AC453" s="98" t="s">
        <v>1559</v>
      </c>
    </row>
    <row r="454" spans="1:29" x14ac:dyDescent="0.4">
      <c r="A454" s="102" t="s">
        <v>1261</v>
      </c>
      <c r="B454" s="85" t="s">
        <v>1267</v>
      </c>
      <c r="C454" s="84" t="s">
        <v>4247</v>
      </c>
      <c r="E454" s="145"/>
      <c r="I454" s="106" t="s">
        <v>1133</v>
      </c>
      <c r="L454" s="100">
        <v>4500</v>
      </c>
      <c r="M454" s="100">
        <v>4500</v>
      </c>
      <c r="N454" s="136">
        <f t="shared" si="18"/>
        <v>20.25</v>
      </c>
      <c r="R454" s="86"/>
      <c r="S454" s="86" t="s">
        <v>2766</v>
      </c>
      <c r="AC454" s="98" t="s">
        <v>1265</v>
      </c>
    </row>
    <row r="455" spans="1:29" x14ac:dyDescent="0.4">
      <c r="A455" s="102" t="s">
        <v>3411</v>
      </c>
      <c r="B455" s="85" t="s">
        <v>707</v>
      </c>
      <c r="C455" s="84" t="s">
        <v>2516</v>
      </c>
      <c r="E455" s="145"/>
      <c r="I455" s="106" t="s">
        <v>4027</v>
      </c>
      <c r="J455" s="86">
        <v>125</v>
      </c>
      <c r="L455" s="100">
        <v>2400</v>
      </c>
      <c r="M455" s="100">
        <v>4200</v>
      </c>
      <c r="N455" s="136">
        <f t="shared" si="18"/>
        <v>10.08</v>
      </c>
      <c r="P455" s="90" t="s">
        <v>1132</v>
      </c>
      <c r="Q455" s="86" t="s">
        <v>3053</v>
      </c>
      <c r="R455" s="86" t="s">
        <v>3078</v>
      </c>
      <c r="S455" s="86" t="s">
        <v>2768</v>
      </c>
      <c r="T455" s="91">
        <v>0.75</v>
      </c>
      <c r="V455" s="93">
        <v>0.5</v>
      </c>
      <c r="W455" s="94" t="s">
        <v>3049</v>
      </c>
      <c r="Z455" s="87" t="s">
        <v>3051</v>
      </c>
      <c r="AB455" s="86" t="s">
        <v>2769</v>
      </c>
      <c r="AC455" s="98" t="s">
        <v>3413</v>
      </c>
    </row>
    <row r="456" spans="1:29" x14ac:dyDescent="0.4">
      <c r="A456" s="102" t="s">
        <v>3412</v>
      </c>
      <c r="B456" s="85" t="s">
        <v>707</v>
      </c>
      <c r="C456" s="84" t="s">
        <v>2516</v>
      </c>
      <c r="E456" s="145"/>
      <c r="I456" s="106" t="s">
        <v>4027</v>
      </c>
      <c r="J456" s="86">
        <v>125</v>
      </c>
      <c r="L456" s="100">
        <v>3500</v>
      </c>
      <c r="M456" s="100">
        <v>4200</v>
      </c>
      <c r="N456" s="136">
        <f t="shared" si="18"/>
        <v>14.7</v>
      </c>
      <c r="P456" s="90" t="s">
        <v>1132</v>
      </c>
      <c r="Q456" s="86" t="s">
        <v>3053</v>
      </c>
      <c r="R456" s="86" t="s">
        <v>3078</v>
      </c>
      <c r="S456" s="86" t="s">
        <v>2768</v>
      </c>
      <c r="T456" s="91">
        <v>1.5</v>
      </c>
      <c r="V456" s="93">
        <v>1.5</v>
      </c>
      <c r="W456" s="94" t="s">
        <v>3050</v>
      </c>
      <c r="Z456" s="87" t="s">
        <v>3051</v>
      </c>
      <c r="AB456" s="86" t="s">
        <v>3047</v>
      </c>
      <c r="AC456" s="98" t="s">
        <v>3414</v>
      </c>
    </row>
    <row r="457" spans="1:29" x14ac:dyDescent="0.4">
      <c r="A457" s="102" t="s">
        <v>324</v>
      </c>
      <c r="B457" s="85" t="s">
        <v>760</v>
      </c>
      <c r="C457" s="84" t="s">
        <v>4248</v>
      </c>
      <c r="E457" s="145"/>
      <c r="I457" s="106" t="s">
        <v>1131</v>
      </c>
      <c r="J457" s="86">
        <v>150</v>
      </c>
      <c r="K457" s="88">
        <v>4715</v>
      </c>
      <c r="L457" s="100">
        <v>4265</v>
      </c>
      <c r="M457" s="100">
        <v>4430</v>
      </c>
      <c r="N457" s="136">
        <f t="shared" si="18"/>
        <v>18.89395</v>
      </c>
      <c r="O457" s="88">
        <v>4880</v>
      </c>
      <c r="P457" s="90" t="s">
        <v>1132</v>
      </c>
      <c r="Q457" s="86" t="s">
        <v>3062</v>
      </c>
      <c r="R457" s="86" t="s">
        <v>3077</v>
      </c>
      <c r="S457" s="86" t="s">
        <v>2768</v>
      </c>
      <c r="T457" s="91">
        <v>1.5</v>
      </c>
      <c r="U457" s="92">
        <v>15</v>
      </c>
      <c r="V457" s="93">
        <v>2</v>
      </c>
      <c r="W457" s="94" t="s">
        <v>1439</v>
      </c>
      <c r="AA457" s="99" t="s">
        <v>3052</v>
      </c>
      <c r="AB457" s="86" t="s">
        <v>2769</v>
      </c>
      <c r="AC457" s="98" t="s">
        <v>2469</v>
      </c>
    </row>
    <row r="458" spans="1:29" x14ac:dyDescent="0.4">
      <c r="A458" s="102" t="s">
        <v>515</v>
      </c>
      <c r="B458" s="85" t="s">
        <v>859</v>
      </c>
      <c r="C458" s="84" t="s">
        <v>4250</v>
      </c>
      <c r="E458" s="145"/>
      <c r="I458" s="106" t="s">
        <v>4027</v>
      </c>
      <c r="J458" s="86">
        <v>125</v>
      </c>
      <c r="L458" s="100">
        <v>4800</v>
      </c>
      <c r="M458" s="100">
        <v>3600</v>
      </c>
      <c r="N458" s="136">
        <f t="shared" si="18"/>
        <v>17.28</v>
      </c>
      <c r="P458" s="90" t="s">
        <v>1132</v>
      </c>
      <c r="Q458" s="86" t="s">
        <v>3053</v>
      </c>
      <c r="R458" s="86"/>
      <c r="S458" s="86" t="s">
        <v>2766</v>
      </c>
      <c r="T458" s="91">
        <v>0.75</v>
      </c>
      <c r="U458" s="92">
        <v>15</v>
      </c>
      <c r="V458" s="93">
        <v>1</v>
      </c>
      <c r="AB458" s="86" t="s">
        <v>2769</v>
      </c>
      <c r="AC458" s="98" t="s">
        <v>2050</v>
      </c>
    </row>
    <row r="459" spans="1:29" x14ac:dyDescent="0.4">
      <c r="A459" s="102" t="s">
        <v>161</v>
      </c>
      <c r="B459" s="85" t="s">
        <v>644</v>
      </c>
      <c r="C459" s="84" t="s">
        <v>4040</v>
      </c>
      <c r="D459" s="143" t="s">
        <v>4042</v>
      </c>
      <c r="E459" s="145"/>
      <c r="I459" s="106" t="s">
        <v>4027</v>
      </c>
      <c r="J459" s="86">
        <v>125</v>
      </c>
      <c r="L459" s="108">
        <v>3550</v>
      </c>
      <c r="M459" s="108">
        <v>4200</v>
      </c>
      <c r="N459" s="136">
        <f t="shared" si="18"/>
        <v>14.91</v>
      </c>
      <c r="Q459" s="86" t="s">
        <v>3059</v>
      </c>
      <c r="R459" s="86" t="s">
        <v>3077</v>
      </c>
      <c r="V459" s="93">
        <v>0.3</v>
      </c>
      <c r="W459" s="94" t="s">
        <v>3050</v>
      </c>
      <c r="AC459" s="98" t="s">
        <v>3793</v>
      </c>
    </row>
    <row r="460" spans="1:29" x14ac:dyDescent="0.4">
      <c r="A460" s="102" t="s">
        <v>185</v>
      </c>
      <c r="B460" s="85" t="s">
        <v>1891</v>
      </c>
      <c r="C460" s="84" t="s">
        <v>4040</v>
      </c>
      <c r="D460" s="143" t="s">
        <v>4042</v>
      </c>
      <c r="E460" s="145"/>
      <c r="I460" s="106" t="s">
        <v>4027</v>
      </c>
      <c r="J460" s="86">
        <v>125</v>
      </c>
      <c r="L460" s="100">
        <v>3650</v>
      </c>
      <c r="M460" s="100">
        <v>4550</v>
      </c>
      <c r="N460" s="136">
        <f t="shared" si="18"/>
        <v>16.607500000000002</v>
      </c>
      <c r="P460" s="90" t="s">
        <v>1132</v>
      </c>
      <c r="Q460" s="86" t="s">
        <v>3059</v>
      </c>
      <c r="R460" s="86" t="s">
        <v>3077</v>
      </c>
      <c r="S460" s="86" t="s">
        <v>2768</v>
      </c>
      <c r="T460" s="91">
        <v>0.75</v>
      </c>
      <c r="Z460" s="87" t="s">
        <v>3051</v>
      </c>
      <c r="AC460" s="98" t="s">
        <v>3481</v>
      </c>
    </row>
    <row r="461" spans="1:29" x14ac:dyDescent="0.4">
      <c r="A461" s="102" t="s">
        <v>208</v>
      </c>
      <c r="B461" s="85" t="s">
        <v>669</v>
      </c>
      <c r="C461" s="84" t="s">
        <v>4040</v>
      </c>
      <c r="D461" s="143" t="s">
        <v>4042</v>
      </c>
      <c r="E461" s="145"/>
      <c r="I461" s="106" t="s">
        <v>4027</v>
      </c>
      <c r="J461" s="86">
        <v>125</v>
      </c>
      <c r="L461" s="100">
        <v>3650</v>
      </c>
      <c r="M461" s="100">
        <v>4550</v>
      </c>
      <c r="N461" s="136">
        <f t="shared" si="18"/>
        <v>16.607500000000002</v>
      </c>
      <c r="P461" s="90" t="s">
        <v>1132</v>
      </c>
      <c r="Q461" s="86" t="s">
        <v>3059</v>
      </c>
      <c r="R461" s="86" t="s">
        <v>3077</v>
      </c>
      <c r="S461" s="86" t="s">
        <v>2768</v>
      </c>
      <c r="T461" s="91">
        <v>1.5</v>
      </c>
      <c r="Z461" s="87" t="s">
        <v>3051</v>
      </c>
      <c r="AB461" s="86" t="s">
        <v>2769</v>
      </c>
      <c r="AC461" s="98" t="s">
        <v>3971</v>
      </c>
    </row>
    <row r="462" spans="1:29" x14ac:dyDescent="0.4">
      <c r="A462" s="102" t="s">
        <v>230</v>
      </c>
      <c r="B462" s="85" t="s">
        <v>683</v>
      </c>
      <c r="C462" s="84" t="s">
        <v>4040</v>
      </c>
      <c r="D462" s="143" t="s">
        <v>4042</v>
      </c>
      <c r="E462" s="145"/>
      <c r="I462" s="106" t="s">
        <v>4027</v>
      </c>
      <c r="J462" s="86">
        <v>125</v>
      </c>
      <c r="L462" s="100">
        <v>3600</v>
      </c>
      <c r="M462" s="117">
        <v>4050</v>
      </c>
      <c r="N462" s="136">
        <f t="shared" si="18"/>
        <v>14.58</v>
      </c>
      <c r="P462" s="90" t="s">
        <v>1132</v>
      </c>
      <c r="Q462" s="86" t="s">
        <v>3059</v>
      </c>
      <c r="R462" s="86" t="s">
        <v>3039</v>
      </c>
      <c r="S462" s="86" t="s">
        <v>2768</v>
      </c>
      <c r="V462" s="93">
        <v>1</v>
      </c>
      <c r="AC462" s="98" t="s">
        <v>3477</v>
      </c>
    </row>
    <row r="463" spans="1:29" x14ac:dyDescent="0.4">
      <c r="A463" s="102" t="s">
        <v>304</v>
      </c>
      <c r="B463" s="85" t="s">
        <v>725</v>
      </c>
      <c r="C463" s="84" t="s">
        <v>4040</v>
      </c>
      <c r="D463" s="143" t="s">
        <v>4042</v>
      </c>
      <c r="E463" s="145"/>
      <c r="I463" s="106" t="s">
        <v>4027</v>
      </c>
      <c r="J463" s="86">
        <v>125</v>
      </c>
      <c r="L463" s="100">
        <v>2400</v>
      </c>
      <c r="M463" s="100">
        <v>4150</v>
      </c>
      <c r="N463" s="136">
        <f t="shared" si="18"/>
        <v>9.9600000000000009</v>
      </c>
      <c r="P463" s="90" t="s">
        <v>1132</v>
      </c>
      <c r="Q463" s="86" t="s">
        <v>3059</v>
      </c>
      <c r="R463" s="86" t="s">
        <v>3077</v>
      </c>
      <c r="S463" s="86" t="s">
        <v>2768</v>
      </c>
      <c r="T463" s="91">
        <v>0.75</v>
      </c>
      <c r="Z463" s="87" t="s">
        <v>3051</v>
      </c>
      <c r="AC463" s="98" t="s">
        <v>3283</v>
      </c>
    </row>
    <row r="464" spans="1:29" x14ac:dyDescent="0.4">
      <c r="A464" s="102" t="s">
        <v>1160</v>
      </c>
      <c r="B464" s="85" t="s">
        <v>736</v>
      </c>
      <c r="C464" s="84" t="s">
        <v>4040</v>
      </c>
      <c r="D464" s="143" t="s">
        <v>4042</v>
      </c>
      <c r="E464" s="145"/>
      <c r="I464" s="106" t="s">
        <v>4027</v>
      </c>
      <c r="J464" s="86">
        <v>125</v>
      </c>
      <c r="L464" s="100">
        <v>3600</v>
      </c>
      <c r="M464" s="100">
        <v>4200</v>
      </c>
      <c r="N464" s="136">
        <f t="shared" si="18"/>
        <v>15.12</v>
      </c>
      <c r="P464" s="90" t="s">
        <v>1132</v>
      </c>
      <c r="Q464" s="86" t="s">
        <v>3059</v>
      </c>
      <c r="R464" s="86" t="s">
        <v>3077</v>
      </c>
      <c r="S464" s="86" t="s">
        <v>2768</v>
      </c>
      <c r="T464" s="91">
        <v>1.5</v>
      </c>
      <c r="V464" s="93">
        <v>0.5</v>
      </c>
      <c r="Z464" s="87" t="s">
        <v>3051</v>
      </c>
      <c r="AC464" s="98" t="s">
        <v>3274</v>
      </c>
    </row>
    <row r="465" spans="1:29" x14ac:dyDescent="0.4">
      <c r="A465" s="102" t="s">
        <v>333</v>
      </c>
      <c r="B465" s="85" t="s">
        <v>765</v>
      </c>
      <c r="C465" s="84" t="s">
        <v>4040</v>
      </c>
      <c r="D465" s="143" t="s">
        <v>4042</v>
      </c>
      <c r="E465" s="145"/>
      <c r="I465" s="106" t="s">
        <v>4027</v>
      </c>
      <c r="J465" s="86">
        <v>125</v>
      </c>
      <c r="L465" s="100">
        <v>4700</v>
      </c>
      <c r="M465" s="100">
        <v>4050</v>
      </c>
      <c r="N465" s="136">
        <f t="shared" si="18"/>
        <v>19.035</v>
      </c>
      <c r="P465" s="90" t="s">
        <v>1132</v>
      </c>
      <c r="Q465" s="86" t="s">
        <v>3059</v>
      </c>
      <c r="R465" s="86" t="s">
        <v>3077</v>
      </c>
      <c r="S465" s="86" t="s">
        <v>2766</v>
      </c>
      <c r="T465" s="91">
        <v>1.5</v>
      </c>
      <c r="U465" s="92">
        <v>15</v>
      </c>
      <c r="V465" s="93">
        <v>0.5</v>
      </c>
      <c r="Z465" s="87" t="s">
        <v>3051</v>
      </c>
      <c r="AB465" s="86" t="s">
        <v>2769</v>
      </c>
      <c r="AC465" s="98" t="s">
        <v>2368</v>
      </c>
    </row>
    <row r="466" spans="1:29" x14ac:dyDescent="0.4">
      <c r="A466" s="102" t="s">
        <v>480</v>
      </c>
      <c r="B466" s="85" t="s">
        <v>838</v>
      </c>
      <c r="C466" s="84" t="s">
        <v>4040</v>
      </c>
      <c r="D466" s="143" t="s">
        <v>4042</v>
      </c>
      <c r="E466" s="145"/>
      <c r="I466" s="106" t="s">
        <v>4027</v>
      </c>
      <c r="J466" s="86">
        <v>125</v>
      </c>
      <c r="L466" s="100">
        <v>3600</v>
      </c>
      <c r="M466" s="100">
        <v>4800</v>
      </c>
      <c r="N466" s="136">
        <f t="shared" si="18"/>
        <v>17.28</v>
      </c>
      <c r="P466" s="90" t="s">
        <v>1132</v>
      </c>
      <c r="Q466" s="86" t="s">
        <v>3059</v>
      </c>
      <c r="R466" s="86"/>
      <c r="S466" s="86" t="s">
        <v>2768</v>
      </c>
      <c r="T466" s="91">
        <v>0.75</v>
      </c>
      <c r="U466" s="92">
        <v>15</v>
      </c>
      <c r="W466" s="94" t="s">
        <v>3050</v>
      </c>
      <c r="AC466" s="98" t="s">
        <v>2844</v>
      </c>
    </row>
    <row r="467" spans="1:29" x14ac:dyDescent="0.4">
      <c r="A467" s="102" t="s">
        <v>518</v>
      </c>
      <c r="B467" s="85" t="s">
        <v>2758</v>
      </c>
      <c r="C467" s="84" t="s">
        <v>4040</v>
      </c>
      <c r="D467" s="143" t="s">
        <v>4042</v>
      </c>
      <c r="E467" s="145"/>
      <c r="I467" s="106" t="s">
        <v>2765</v>
      </c>
      <c r="J467" s="86">
        <v>125</v>
      </c>
      <c r="L467" s="100">
        <v>4200</v>
      </c>
      <c r="M467" s="100">
        <v>4200</v>
      </c>
      <c r="N467" s="136">
        <f t="shared" si="18"/>
        <v>17.64</v>
      </c>
      <c r="O467" s="88">
        <v>5600</v>
      </c>
      <c r="P467" s="90" t="s">
        <v>1132</v>
      </c>
      <c r="Q467" s="86" t="s">
        <v>3057</v>
      </c>
      <c r="R467" s="86"/>
      <c r="S467" s="86" t="s">
        <v>2766</v>
      </c>
      <c r="T467" s="91">
        <v>1.5</v>
      </c>
      <c r="U467" s="92">
        <v>15</v>
      </c>
      <c r="V467" s="93">
        <v>1</v>
      </c>
      <c r="Z467" s="99" t="s">
        <v>3051</v>
      </c>
      <c r="AC467" s="98" t="s">
        <v>3031</v>
      </c>
    </row>
    <row r="468" spans="1:29" x14ac:dyDescent="0.4">
      <c r="A468" s="83" t="s">
        <v>4043</v>
      </c>
      <c r="B468" s="64" t="s">
        <v>4039</v>
      </c>
      <c r="C468" s="84" t="s">
        <v>4040</v>
      </c>
      <c r="D468" s="143" t="s">
        <v>4042</v>
      </c>
      <c r="E468" s="145">
        <v>401778813</v>
      </c>
      <c r="G468" s="143" t="s">
        <v>4041</v>
      </c>
      <c r="H468" s="86">
        <v>1</v>
      </c>
      <c r="I468" s="106" t="s">
        <v>4027</v>
      </c>
      <c r="J468" s="86">
        <v>125</v>
      </c>
      <c r="L468" s="89">
        <v>2400</v>
      </c>
      <c r="M468" s="89">
        <v>4000</v>
      </c>
      <c r="N468" s="136">
        <f t="shared" si="18"/>
        <v>9.6</v>
      </c>
      <c r="P468" s="90" t="s">
        <v>1132</v>
      </c>
      <c r="Q468" s="86" t="s">
        <v>3059</v>
      </c>
      <c r="R468" s="86" t="s">
        <v>4030</v>
      </c>
      <c r="S468" s="86" t="s">
        <v>2766</v>
      </c>
      <c r="T468" s="91">
        <v>0.75</v>
      </c>
      <c r="U468" s="92">
        <v>10</v>
      </c>
      <c r="V468" s="93">
        <v>1</v>
      </c>
      <c r="W468" s="94" t="s">
        <v>4138</v>
      </c>
      <c r="X468" s="86" t="s">
        <v>4037</v>
      </c>
      <c r="AB468" s="86" t="s">
        <v>2769</v>
      </c>
      <c r="AC468" s="98" t="s">
        <v>4044</v>
      </c>
    </row>
    <row r="469" spans="1:29" x14ac:dyDescent="0.4">
      <c r="A469" s="83" t="s">
        <v>4046</v>
      </c>
      <c r="B469" s="64" t="s">
        <v>4039</v>
      </c>
      <c r="C469" s="84" t="s">
        <v>4040</v>
      </c>
      <c r="D469" s="143" t="s">
        <v>4042</v>
      </c>
      <c r="E469" s="145">
        <v>401778813</v>
      </c>
      <c r="G469" s="143" t="s">
        <v>4041</v>
      </c>
      <c r="H469" s="86">
        <v>1</v>
      </c>
      <c r="I469" s="106" t="s">
        <v>4027</v>
      </c>
      <c r="J469" s="86">
        <v>125</v>
      </c>
      <c r="L469" s="89">
        <v>3000</v>
      </c>
      <c r="M469" s="89">
        <v>4000</v>
      </c>
      <c r="N469" s="136">
        <f t="shared" si="18"/>
        <v>12</v>
      </c>
      <c r="P469" s="90" t="s">
        <v>1132</v>
      </c>
      <c r="Q469" s="86" t="s">
        <v>3059</v>
      </c>
      <c r="R469" s="86" t="s">
        <v>4030</v>
      </c>
      <c r="S469" s="86" t="s">
        <v>2766</v>
      </c>
      <c r="T469" s="91">
        <v>0.75</v>
      </c>
      <c r="U469" s="92">
        <v>10</v>
      </c>
      <c r="V469" s="93">
        <v>1</v>
      </c>
      <c r="W469" s="94" t="s">
        <v>4137</v>
      </c>
      <c r="X469" s="86" t="s">
        <v>4037</v>
      </c>
      <c r="AB469" s="86" t="s">
        <v>2769</v>
      </c>
      <c r="AC469" s="98" t="s">
        <v>4045</v>
      </c>
    </row>
    <row r="470" spans="1:29" x14ac:dyDescent="0.4">
      <c r="A470" s="102" t="s">
        <v>1375</v>
      </c>
      <c r="B470" s="85" t="s">
        <v>1376</v>
      </c>
      <c r="C470" s="84" t="s">
        <v>1193</v>
      </c>
      <c r="E470" s="145"/>
      <c r="I470" s="106" t="s">
        <v>1133</v>
      </c>
      <c r="R470" s="86"/>
      <c r="AC470" s="98" t="s">
        <v>1378</v>
      </c>
    </row>
    <row r="471" spans="1:29" x14ac:dyDescent="0.4">
      <c r="A471" s="102" t="s">
        <v>109</v>
      </c>
      <c r="B471" s="85" t="s">
        <v>1667</v>
      </c>
      <c r="C471" s="84" t="s">
        <v>1193</v>
      </c>
      <c r="E471" s="145"/>
      <c r="H471" s="86">
        <v>2</v>
      </c>
      <c r="I471" s="106" t="s">
        <v>4027</v>
      </c>
      <c r="J471" s="86">
        <v>100</v>
      </c>
      <c r="L471" s="100">
        <v>2700</v>
      </c>
      <c r="M471" s="100">
        <v>4500</v>
      </c>
      <c r="N471" s="136">
        <f>L471*M471/1000000</f>
        <v>12.15</v>
      </c>
      <c r="Q471" s="86" t="s">
        <v>3774</v>
      </c>
      <c r="R471" s="86"/>
      <c r="S471" s="86" t="s">
        <v>2766</v>
      </c>
      <c r="AC471" s="98" t="s">
        <v>3570</v>
      </c>
    </row>
    <row r="472" spans="1:29" x14ac:dyDescent="0.4">
      <c r="A472" s="102" t="s">
        <v>111</v>
      </c>
      <c r="B472" s="85" t="s">
        <v>1668</v>
      </c>
      <c r="C472" s="84" t="s">
        <v>1193</v>
      </c>
      <c r="E472" s="145"/>
      <c r="I472" s="106" t="s">
        <v>4027</v>
      </c>
      <c r="J472" s="86">
        <v>100</v>
      </c>
      <c r="L472" s="100">
        <v>2330</v>
      </c>
      <c r="M472" s="100">
        <v>3150</v>
      </c>
      <c r="N472" s="136">
        <f>L472*M472/1000000</f>
        <v>7.3395000000000001</v>
      </c>
      <c r="R472" s="86"/>
      <c r="AC472" s="98" t="s">
        <v>3567</v>
      </c>
    </row>
    <row r="473" spans="1:29" x14ac:dyDescent="0.4">
      <c r="A473" s="102" t="s">
        <v>3172</v>
      </c>
      <c r="B473" s="85" t="s">
        <v>807</v>
      </c>
      <c r="C473" s="84" t="s">
        <v>1193</v>
      </c>
      <c r="E473" s="145"/>
      <c r="I473" s="106" t="s">
        <v>2998</v>
      </c>
      <c r="P473" s="90" t="s">
        <v>1132</v>
      </c>
      <c r="Q473" s="86" t="s">
        <v>3053</v>
      </c>
      <c r="R473" s="86"/>
      <c r="AC473" s="98" t="s">
        <v>2956</v>
      </c>
    </row>
    <row r="474" spans="1:29" x14ac:dyDescent="0.4">
      <c r="A474" s="102" t="s">
        <v>418</v>
      </c>
      <c r="B474" s="85" t="s">
        <v>809</v>
      </c>
      <c r="C474" s="84" t="s">
        <v>1193</v>
      </c>
      <c r="E474" s="145"/>
      <c r="I474" s="106" t="s">
        <v>4027</v>
      </c>
      <c r="J474" s="86">
        <v>125</v>
      </c>
      <c r="L474" s="100">
        <v>2950</v>
      </c>
      <c r="M474" s="100">
        <v>3000</v>
      </c>
      <c r="N474" s="136">
        <f t="shared" ref="N474:N505" si="19">L474*M474/1000000</f>
        <v>8.85</v>
      </c>
      <c r="O474" s="88">
        <v>4000</v>
      </c>
      <c r="P474" s="90" t="s">
        <v>1132</v>
      </c>
      <c r="Q474" s="86" t="s">
        <v>3053</v>
      </c>
      <c r="R474" s="86"/>
      <c r="S474" s="86" t="s">
        <v>2768</v>
      </c>
      <c r="T474" s="91">
        <v>1.5</v>
      </c>
      <c r="U474" s="92">
        <v>15</v>
      </c>
      <c r="V474" s="93">
        <v>1.5</v>
      </c>
      <c r="Z474" s="99" t="s">
        <v>3051</v>
      </c>
      <c r="AB474" s="86" t="s">
        <v>3073</v>
      </c>
      <c r="AC474" s="98" t="s">
        <v>3923</v>
      </c>
    </row>
    <row r="475" spans="1:29" x14ac:dyDescent="0.4">
      <c r="A475" s="102" t="s">
        <v>468</v>
      </c>
      <c r="B475" s="85" t="s">
        <v>832</v>
      </c>
      <c r="C475" s="84" t="s">
        <v>2134</v>
      </c>
      <c r="E475" s="145"/>
      <c r="I475" s="106" t="s">
        <v>4027</v>
      </c>
      <c r="J475" s="86">
        <v>125</v>
      </c>
      <c r="L475" s="100">
        <v>2450</v>
      </c>
      <c r="M475" s="100">
        <v>3450</v>
      </c>
      <c r="N475" s="136">
        <f t="shared" si="19"/>
        <v>8.4525000000000006</v>
      </c>
      <c r="P475" s="90" t="s">
        <v>1132</v>
      </c>
      <c r="Q475" s="86" t="s">
        <v>3053</v>
      </c>
      <c r="R475" s="86"/>
      <c r="S475" s="86" t="s">
        <v>2766</v>
      </c>
      <c r="T475" s="91">
        <v>0.75</v>
      </c>
      <c r="U475" s="92">
        <v>10</v>
      </c>
      <c r="V475" s="93">
        <v>1</v>
      </c>
      <c r="Z475" s="99" t="s">
        <v>3051</v>
      </c>
      <c r="AB475" s="86" t="s">
        <v>2769</v>
      </c>
      <c r="AC475" s="98" t="s">
        <v>2863</v>
      </c>
    </row>
    <row r="476" spans="1:29" x14ac:dyDescent="0.4">
      <c r="A476" s="102" t="s">
        <v>1704</v>
      </c>
      <c r="B476" s="85" t="s">
        <v>628</v>
      </c>
      <c r="C476" s="84" t="s">
        <v>4031</v>
      </c>
      <c r="D476" s="143" t="s">
        <v>4309</v>
      </c>
      <c r="E476" s="145"/>
      <c r="H476" s="86">
        <v>3</v>
      </c>
      <c r="I476" s="106" t="s">
        <v>4027</v>
      </c>
      <c r="J476" s="86">
        <v>100</v>
      </c>
      <c r="L476" s="100">
        <v>2400</v>
      </c>
      <c r="M476" s="100">
        <v>2550</v>
      </c>
      <c r="N476" s="136">
        <f t="shared" si="19"/>
        <v>6.12</v>
      </c>
      <c r="Q476" s="86" t="s">
        <v>3053</v>
      </c>
      <c r="R476" s="86" t="s">
        <v>3054</v>
      </c>
      <c r="S476" s="86" t="s">
        <v>2766</v>
      </c>
      <c r="AC476" s="98" t="s">
        <v>3339</v>
      </c>
    </row>
    <row r="477" spans="1:29" x14ac:dyDescent="0.4">
      <c r="A477" s="102" t="s">
        <v>1707</v>
      </c>
      <c r="B477" s="85" t="s">
        <v>628</v>
      </c>
      <c r="C477" s="84" t="s">
        <v>4031</v>
      </c>
      <c r="D477" s="143" t="s">
        <v>4309</v>
      </c>
      <c r="E477" s="145"/>
      <c r="H477" s="86">
        <v>2</v>
      </c>
      <c r="I477" s="106" t="s">
        <v>4027</v>
      </c>
      <c r="J477" s="86">
        <v>100</v>
      </c>
      <c r="L477" s="100">
        <v>2400</v>
      </c>
      <c r="M477" s="100">
        <v>2550</v>
      </c>
      <c r="N477" s="136">
        <f t="shared" si="19"/>
        <v>6.12</v>
      </c>
      <c r="Q477" s="86" t="s">
        <v>3053</v>
      </c>
      <c r="R477" s="86" t="s">
        <v>3054</v>
      </c>
      <c r="S477" s="86" t="s">
        <v>2768</v>
      </c>
      <c r="AC477" s="98" t="s">
        <v>3338</v>
      </c>
    </row>
    <row r="478" spans="1:29" x14ac:dyDescent="0.4">
      <c r="A478" s="102" t="s">
        <v>1708</v>
      </c>
      <c r="B478" s="85" t="s">
        <v>628</v>
      </c>
      <c r="C478" s="84" t="s">
        <v>4031</v>
      </c>
      <c r="D478" s="143" t="s">
        <v>4309</v>
      </c>
      <c r="E478" s="145"/>
      <c r="I478" s="106" t="s">
        <v>4027</v>
      </c>
      <c r="J478" s="86">
        <v>100</v>
      </c>
      <c r="L478" s="100">
        <v>2400</v>
      </c>
      <c r="M478" s="100">
        <v>3300</v>
      </c>
      <c r="N478" s="136">
        <f t="shared" si="19"/>
        <v>7.92</v>
      </c>
      <c r="Q478" s="86" t="s">
        <v>3053</v>
      </c>
      <c r="R478" s="86" t="s">
        <v>3054</v>
      </c>
      <c r="S478" s="86" t="s">
        <v>2766</v>
      </c>
      <c r="AC478" s="98" t="s">
        <v>3337</v>
      </c>
    </row>
    <row r="479" spans="1:29" x14ac:dyDescent="0.4">
      <c r="A479" s="102" t="s">
        <v>1709</v>
      </c>
      <c r="B479" s="85" t="s">
        <v>628</v>
      </c>
      <c r="C479" s="84" t="s">
        <v>4031</v>
      </c>
      <c r="D479" s="143" t="s">
        <v>4309</v>
      </c>
      <c r="E479" s="145"/>
      <c r="I479" s="106" t="s">
        <v>4027</v>
      </c>
      <c r="J479" s="86">
        <v>100</v>
      </c>
      <c r="L479" s="100">
        <v>2150</v>
      </c>
      <c r="M479" s="100">
        <v>2550</v>
      </c>
      <c r="N479" s="136">
        <f t="shared" si="19"/>
        <v>5.4824999999999999</v>
      </c>
      <c r="Q479" s="86" t="s">
        <v>3053</v>
      </c>
      <c r="R479" s="86" t="s">
        <v>3054</v>
      </c>
      <c r="S479" s="86" t="s">
        <v>1439</v>
      </c>
      <c r="AC479" s="98" t="s">
        <v>3336</v>
      </c>
    </row>
    <row r="480" spans="1:29" x14ac:dyDescent="0.4">
      <c r="A480" s="102" t="s">
        <v>1711</v>
      </c>
      <c r="B480" s="85" t="s">
        <v>628</v>
      </c>
      <c r="C480" s="84" t="s">
        <v>4031</v>
      </c>
      <c r="D480" s="143" t="s">
        <v>4309</v>
      </c>
      <c r="E480" s="145"/>
      <c r="I480" s="106" t="s">
        <v>4027</v>
      </c>
      <c r="J480" s="86">
        <v>100</v>
      </c>
      <c r="L480" s="100">
        <v>3300</v>
      </c>
      <c r="M480" s="100">
        <v>3350</v>
      </c>
      <c r="N480" s="136">
        <f t="shared" si="19"/>
        <v>11.055</v>
      </c>
      <c r="Q480" s="86" t="s">
        <v>3053</v>
      </c>
      <c r="R480" s="86" t="s">
        <v>3054</v>
      </c>
      <c r="S480" s="86" t="s">
        <v>2766</v>
      </c>
      <c r="AC480" s="98" t="s">
        <v>3335</v>
      </c>
    </row>
    <row r="481" spans="1:29" x14ac:dyDescent="0.4">
      <c r="A481" s="102" t="s">
        <v>137</v>
      </c>
      <c r="B481" s="85" t="s">
        <v>632</v>
      </c>
      <c r="C481" s="84" t="s">
        <v>4031</v>
      </c>
      <c r="D481" s="143" t="s">
        <v>4309</v>
      </c>
      <c r="E481" s="145"/>
      <c r="I481" s="106" t="s">
        <v>4027</v>
      </c>
      <c r="L481" s="100">
        <v>2400</v>
      </c>
      <c r="M481" s="100">
        <v>2550</v>
      </c>
      <c r="N481" s="136">
        <f t="shared" si="19"/>
        <v>6.12</v>
      </c>
      <c r="Q481" s="86" t="s">
        <v>3774</v>
      </c>
      <c r="R481" s="86"/>
      <c r="S481" s="86" t="s">
        <v>2766</v>
      </c>
      <c r="AC481" s="98" t="s">
        <v>3563</v>
      </c>
    </row>
    <row r="482" spans="1:29" x14ac:dyDescent="0.4">
      <c r="A482" s="102" t="s">
        <v>146</v>
      </c>
      <c r="B482" s="85" t="s">
        <v>635</v>
      </c>
      <c r="C482" s="84" t="s">
        <v>4031</v>
      </c>
      <c r="D482" s="143" t="s">
        <v>4309</v>
      </c>
      <c r="E482" s="145"/>
      <c r="I482" s="106" t="s">
        <v>4027</v>
      </c>
      <c r="L482" s="100">
        <v>3000</v>
      </c>
      <c r="M482" s="100">
        <v>2550</v>
      </c>
      <c r="N482" s="136">
        <f t="shared" si="19"/>
        <v>7.65</v>
      </c>
      <c r="Q482" s="86" t="s">
        <v>3053</v>
      </c>
      <c r="R482" s="86"/>
      <c r="S482" s="86" t="s">
        <v>2766</v>
      </c>
      <c r="AA482" s="116" t="s">
        <v>3052</v>
      </c>
      <c r="AB482" s="86" t="s">
        <v>2769</v>
      </c>
      <c r="AC482" s="98" t="s">
        <v>3305</v>
      </c>
    </row>
    <row r="483" spans="1:29" x14ac:dyDescent="0.4">
      <c r="A483" s="102" t="s">
        <v>417</v>
      </c>
      <c r="B483" s="85" t="s">
        <v>808</v>
      </c>
      <c r="C483" s="84" t="s">
        <v>4031</v>
      </c>
      <c r="D483" s="143" t="s">
        <v>4309</v>
      </c>
      <c r="E483" s="145"/>
      <c r="I483" s="106" t="s">
        <v>4027</v>
      </c>
      <c r="J483" s="86">
        <v>125</v>
      </c>
      <c r="L483" s="100">
        <v>3040</v>
      </c>
      <c r="M483" s="100">
        <v>3000</v>
      </c>
      <c r="N483" s="136">
        <f t="shared" si="19"/>
        <v>9.1199999999999992</v>
      </c>
      <c r="P483" s="90" t="s">
        <v>1132</v>
      </c>
      <c r="Q483" s="86" t="s">
        <v>3053</v>
      </c>
      <c r="R483" s="86"/>
      <c r="S483" s="86" t="s">
        <v>2766</v>
      </c>
      <c r="T483" s="91">
        <v>0.75</v>
      </c>
      <c r="U483" s="92">
        <v>10</v>
      </c>
      <c r="AB483" s="86" t="s">
        <v>2769</v>
      </c>
      <c r="AC483" s="98" t="s">
        <v>2955</v>
      </c>
    </row>
    <row r="484" spans="1:29" x14ac:dyDescent="0.4">
      <c r="A484" s="102" t="s">
        <v>428</v>
      </c>
      <c r="B484" s="85" t="s">
        <v>815</v>
      </c>
      <c r="C484" s="84" t="s">
        <v>4031</v>
      </c>
      <c r="D484" s="143" t="s">
        <v>4309</v>
      </c>
      <c r="E484" s="145"/>
      <c r="I484" s="106" t="s">
        <v>2998</v>
      </c>
      <c r="J484" s="86">
        <v>100</v>
      </c>
      <c r="L484" s="100">
        <v>3150</v>
      </c>
      <c r="M484" s="100">
        <v>2550</v>
      </c>
      <c r="N484" s="136">
        <f t="shared" si="19"/>
        <v>8.0325000000000006</v>
      </c>
      <c r="R484" s="86"/>
      <c r="AC484" s="98" t="s">
        <v>2204</v>
      </c>
    </row>
    <row r="485" spans="1:29" x14ac:dyDescent="0.4">
      <c r="A485" s="102" t="s">
        <v>443</v>
      </c>
      <c r="B485" s="85" t="s">
        <v>2739</v>
      </c>
      <c r="C485" s="84" t="s">
        <v>4031</v>
      </c>
      <c r="D485" s="143" t="s">
        <v>4309</v>
      </c>
      <c r="E485" s="145"/>
      <c r="I485" s="106" t="s">
        <v>4027</v>
      </c>
      <c r="J485" s="86">
        <v>125</v>
      </c>
      <c r="L485" s="100">
        <v>2425</v>
      </c>
      <c r="M485" s="100">
        <v>3800</v>
      </c>
      <c r="N485" s="136">
        <f t="shared" si="19"/>
        <v>9.2149999999999999</v>
      </c>
      <c r="P485" s="90" t="s">
        <v>1132</v>
      </c>
      <c r="Q485" s="86" t="s">
        <v>3053</v>
      </c>
      <c r="R485" s="86"/>
      <c r="S485" s="86" t="s">
        <v>2768</v>
      </c>
      <c r="T485" s="91">
        <v>0.75</v>
      </c>
      <c r="U485" s="92">
        <v>10</v>
      </c>
      <c r="V485" s="93">
        <v>1</v>
      </c>
      <c r="AB485" s="86" t="s">
        <v>2769</v>
      </c>
      <c r="AC485" s="98" t="s">
        <v>2897</v>
      </c>
    </row>
    <row r="486" spans="1:29" x14ac:dyDescent="0.4">
      <c r="A486" s="102" t="s">
        <v>39</v>
      </c>
      <c r="B486" s="85" t="s">
        <v>1360</v>
      </c>
      <c r="C486" s="84" t="s">
        <v>1768</v>
      </c>
      <c r="D486" s="143" t="s">
        <v>4308</v>
      </c>
      <c r="E486" s="145"/>
      <c r="I486" s="106" t="s">
        <v>4027</v>
      </c>
      <c r="L486" s="100">
        <v>2400</v>
      </c>
      <c r="M486" s="100">
        <v>3100</v>
      </c>
      <c r="N486" s="136">
        <f t="shared" ref="N486:N498" si="20">L486*M486/1000000</f>
        <v>7.44</v>
      </c>
      <c r="Q486" s="86" t="s">
        <v>3053</v>
      </c>
      <c r="R486" s="86"/>
      <c r="S486" s="86" t="s">
        <v>2768</v>
      </c>
      <c r="Z486" s="99" t="s">
        <v>3051</v>
      </c>
      <c r="AC486" s="98" t="s">
        <v>3655</v>
      </c>
    </row>
    <row r="487" spans="1:29" x14ac:dyDescent="0.4">
      <c r="A487" s="102" t="s">
        <v>68</v>
      </c>
      <c r="B487" s="85" t="s">
        <v>597</v>
      </c>
      <c r="C487" s="84" t="s">
        <v>1768</v>
      </c>
      <c r="D487" s="143" t="s">
        <v>4308</v>
      </c>
      <c r="E487" s="145"/>
      <c r="I487" s="106" t="s">
        <v>4027</v>
      </c>
      <c r="L487" s="100">
        <v>2700</v>
      </c>
      <c r="M487" s="100">
        <v>3100</v>
      </c>
      <c r="N487" s="136">
        <f t="shared" si="20"/>
        <v>8.3699999999999992</v>
      </c>
      <c r="Q487" s="86" t="s">
        <v>3053</v>
      </c>
      <c r="R487" s="86"/>
      <c r="S487" s="86" t="s">
        <v>2768</v>
      </c>
      <c r="AC487" s="98" t="s">
        <v>3625</v>
      </c>
    </row>
    <row r="488" spans="1:29" x14ac:dyDescent="0.4">
      <c r="A488" s="102" t="s">
        <v>126</v>
      </c>
      <c r="B488" s="85" t="s">
        <v>3816</v>
      </c>
      <c r="C488" s="84" t="s">
        <v>1768</v>
      </c>
      <c r="D488" s="143" t="s">
        <v>4308</v>
      </c>
      <c r="E488" s="145"/>
      <c r="I488" s="106" t="s">
        <v>4027</v>
      </c>
      <c r="L488" s="100">
        <v>3150</v>
      </c>
      <c r="M488" s="100">
        <v>3200</v>
      </c>
      <c r="N488" s="136">
        <f t="shared" si="20"/>
        <v>10.08</v>
      </c>
      <c r="Q488" s="86" t="s">
        <v>3053</v>
      </c>
      <c r="R488" s="86"/>
      <c r="S488" s="86" t="s">
        <v>2768</v>
      </c>
      <c r="Z488" s="87" t="s">
        <v>3051</v>
      </c>
      <c r="AC488" s="98" t="s">
        <v>3315</v>
      </c>
    </row>
    <row r="489" spans="1:29" x14ac:dyDescent="0.4">
      <c r="A489" s="102" t="s">
        <v>3212</v>
      </c>
      <c r="B489" s="85" t="s">
        <v>1782</v>
      </c>
      <c r="C489" s="84" t="s">
        <v>1768</v>
      </c>
      <c r="D489" s="143" t="s">
        <v>4308</v>
      </c>
      <c r="E489" s="145"/>
      <c r="I489" s="106" t="s">
        <v>2765</v>
      </c>
      <c r="L489" s="100">
        <v>2600</v>
      </c>
      <c r="M489" s="100">
        <v>3000</v>
      </c>
      <c r="N489" s="136">
        <f t="shared" si="20"/>
        <v>7.8</v>
      </c>
      <c r="Q489" s="86" t="s">
        <v>1113</v>
      </c>
      <c r="R489" s="86"/>
      <c r="Z489" s="87" t="s">
        <v>3051</v>
      </c>
      <c r="AC489" s="98" t="s">
        <v>3813</v>
      </c>
    </row>
    <row r="490" spans="1:29" x14ac:dyDescent="0.4">
      <c r="A490" s="102" t="s">
        <v>148</v>
      </c>
      <c r="B490" s="85" t="s">
        <v>636</v>
      </c>
      <c r="C490" s="84" t="s">
        <v>1768</v>
      </c>
      <c r="D490" s="143" t="s">
        <v>4308</v>
      </c>
      <c r="E490" s="145"/>
      <c r="I490" s="106" t="s">
        <v>4027</v>
      </c>
      <c r="L490" s="100">
        <v>2700</v>
      </c>
      <c r="M490" s="100">
        <v>3150</v>
      </c>
      <c r="N490" s="136">
        <f t="shared" si="20"/>
        <v>8.5050000000000008</v>
      </c>
      <c r="Q490" s="86" t="s">
        <v>3053</v>
      </c>
      <c r="R490" s="86"/>
      <c r="S490" s="86" t="s">
        <v>2768</v>
      </c>
      <c r="Z490" s="87" t="s">
        <v>3051</v>
      </c>
      <c r="AC490" s="98" t="s">
        <v>3303</v>
      </c>
    </row>
    <row r="491" spans="1:29" x14ac:dyDescent="0.4">
      <c r="A491" s="102" t="s">
        <v>174</v>
      </c>
      <c r="B491" s="85" t="s">
        <v>1887</v>
      </c>
      <c r="C491" s="84" t="s">
        <v>1768</v>
      </c>
      <c r="D491" s="143" t="s">
        <v>4308</v>
      </c>
      <c r="E491" s="145"/>
      <c r="I491" s="106" t="s">
        <v>4027</v>
      </c>
      <c r="J491" s="86">
        <v>100</v>
      </c>
      <c r="L491" s="100">
        <v>1900</v>
      </c>
      <c r="M491" s="100">
        <v>2525</v>
      </c>
      <c r="N491" s="136">
        <f t="shared" si="20"/>
        <v>4.7975000000000003</v>
      </c>
      <c r="O491" s="88">
        <v>2925</v>
      </c>
      <c r="Q491" s="86" t="s">
        <v>3774</v>
      </c>
      <c r="R491" s="86"/>
      <c r="S491" s="86" t="s">
        <v>2768</v>
      </c>
      <c r="AB491" s="86" t="s">
        <v>3047</v>
      </c>
      <c r="AC491" s="98" t="s">
        <v>3776</v>
      </c>
    </row>
    <row r="492" spans="1:29" x14ac:dyDescent="0.4">
      <c r="A492" s="102" t="s">
        <v>174</v>
      </c>
      <c r="B492" s="85" t="s">
        <v>1887</v>
      </c>
      <c r="C492" s="84" t="s">
        <v>1768</v>
      </c>
      <c r="D492" s="143" t="s">
        <v>4308</v>
      </c>
      <c r="E492" s="145"/>
      <c r="I492" s="106" t="s">
        <v>4027</v>
      </c>
      <c r="J492" s="86">
        <v>100</v>
      </c>
      <c r="L492" s="100">
        <v>1900</v>
      </c>
      <c r="M492" s="100">
        <v>2525</v>
      </c>
      <c r="N492" s="136">
        <f t="shared" si="20"/>
        <v>4.7975000000000003</v>
      </c>
      <c r="O492" s="88">
        <v>2925</v>
      </c>
      <c r="Q492" s="86" t="s">
        <v>3774</v>
      </c>
      <c r="R492" s="86"/>
      <c r="S492" s="86" t="s">
        <v>2766</v>
      </c>
      <c r="AB492" s="86" t="s">
        <v>3047</v>
      </c>
      <c r="AC492" s="98" t="s">
        <v>3775</v>
      </c>
    </row>
    <row r="493" spans="1:29" x14ac:dyDescent="0.4">
      <c r="A493" s="102" t="s">
        <v>225</v>
      </c>
      <c r="B493" s="85" t="s">
        <v>2688</v>
      </c>
      <c r="C493" s="84" t="s">
        <v>1768</v>
      </c>
      <c r="D493" s="143" t="s">
        <v>4308</v>
      </c>
      <c r="E493" s="145"/>
      <c r="I493" s="106" t="s">
        <v>4027</v>
      </c>
      <c r="J493" s="86">
        <v>100</v>
      </c>
      <c r="L493" s="100">
        <v>2650</v>
      </c>
      <c r="M493" s="100">
        <v>3350</v>
      </c>
      <c r="N493" s="136">
        <f t="shared" si="20"/>
        <v>8.8774999999999995</v>
      </c>
      <c r="P493" s="90" t="s">
        <v>1132</v>
      </c>
      <c r="Q493" s="86" t="s">
        <v>3054</v>
      </c>
      <c r="R493" s="86"/>
      <c r="S493" s="86" t="s">
        <v>2768</v>
      </c>
      <c r="AC493" s="98" t="s">
        <v>3680</v>
      </c>
    </row>
    <row r="494" spans="1:29" x14ac:dyDescent="0.4">
      <c r="A494" s="102" t="s">
        <v>252</v>
      </c>
      <c r="B494" s="85" t="s">
        <v>696</v>
      </c>
      <c r="C494" s="84" t="s">
        <v>1768</v>
      </c>
      <c r="D494" s="143" t="s">
        <v>4308</v>
      </c>
      <c r="E494" s="145"/>
      <c r="H494" s="86">
        <v>2</v>
      </c>
      <c r="I494" s="106" t="s">
        <v>4027</v>
      </c>
      <c r="J494" s="86">
        <v>100</v>
      </c>
      <c r="L494" s="100">
        <v>2650</v>
      </c>
      <c r="M494" s="100">
        <v>3200</v>
      </c>
      <c r="N494" s="136">
        <f t="shared" si="20"/>
        <v>8.48</v>
      </c>
      <c r="P494" s="90" t="s">
        <v>1132</v>
      </c>
      <c r="Q494" s="86" t="s">
        <v>3053</v>
      </c>
      <c r="R494" s="86"/>
      <c r="S494" s="86" t="s">
        <v>2766</v>
      </c>
      <c r="T494" s="91">
        <v>0.75</v>
      </c>
      <c r="V494" s="93">
        <v>0.5</v>
      </c>
      <c r="AB494" s="86" t="s">
        <v>2769</v>
      </c>
      <c r="AC494" s="98" t="s">
        <v>3469</v>
      </c>
    </row>
    <row r="495" spans="1:29" x14ac:dyDescent="0.4">
      <c r="A495" s="102" t="s">
        <v>273</v>
      </c>
      <c r="B495" s="85" t="s">
        <v>2694</v>
      </c>
      <c r="C495" s="84" t="s">
        <v>1768</v>
      </c>
      <c r="D495" s="143" t="s">
        <v>4308</v>
      </c>
      <c r="E495" s="145"/>
      <c r="I495" s="106" t="s">
        <v>4027</v>
      </c>
      <c r="J495" s="86">
        <v>100</v>
      </c>
      <c r="L495" s="100">
        <v>2650</v>
      </c>
      <c r="M495" s="100">
        <v>3200</v>
      </c>
      <c r="N495" s="136">
        <f t="shared" si="20"/>
        <v>8.48</v>
      </c>
      <c r="P495" s="90" t="s">
        <v>1132</v>
      </c>
      <c r="Q495" s="86" t="s">
        <v>3053</v>
      </c>
      <c r="R495" s="86" t="s">
        <v>3077</v>
      </c>
      <c r="S495" s="86" t="s">
        <v>2768</v>
      </c>
      <c r="T495" s="91">
        <v>0.75</v>
      </c>
      <c r="V495" s="93">
        <v>0.5</v>
      </c>
      <c r="AB495" s="86" t="s">
        <v>2769</v>
      </c>
      <c r="AC495" s="98" t="s">
        <v>3416</v>
      </c>
    </row>
    <row r="496" spans="1:29" x14ac:dyDescent="0.4">
      <c r="A496" s="102" t="s">
        <v>1155</v>
      </c>
      <c r="B496" s="85" t="s">
        <v>733</v>
      </c>
      <c r="C496" s="84" t="s">
        <v>1768</v>
      </c>
      <c r="D496" s="143" t="s">
        <v>4308</v>
      </c>
      <c r="E496" s="145"/>
      <c r="I496" s="106" t="s">
        <v>4027</v>
      </c>
      <c r="J496" s="86">
        <v>125</v>
      </c>
      <c r="L496" s="100">
        <v>2400</v>
      </c>
      <c r="M496" s="100">
        <v>3200</v>
      </c>
      <c r="N496" s="136">
        <f t="shared" si="20"/>
        <v>7.68</v>
      </c>
      <c r="P496" s="90" t="s">
        <v>1132</v>
      </c>
      <c r="Q496" s="86" t="s">
        <v>3053</v>
      </c>
      <c r="R496" s="86" t="s">
        <v>3077</v>
      </c>
      <c r="T496" s="91">
        <v>0.75</v>
      </c>
      <c r="V496" s="93">
        <v>1</v>
      </c>
      <c r="Z496" s="86" t="s">
        <v>3185</v>
      </c>
      <c r="AB496" s="86" t="s">
        <v>2769</v>
      </c>
      <c r="AC496" s="98" t="s">
        <v>3276</v>
      </c>
    </row>
    <row r="497" spans="1:29" x14ac:dyDescent="0.4">
      <c r="A497" s="102" t="s">
        <v>3212</v>
      </c>
      <c r="B497" s="85" t="s">
        <v>750</v>
      </c>
      <c r="C497" s="84" t="s">
        <v>1768</v>
      </c>
      <c r="D497" s="143" t="s">
        <v>4308</v>
      </c>
      <c r="E497" s="145"/>
      <c r="I497" s="106" t="s">
        <v>2998</v>
      </c>
      <c r="L497" s="100">
        <v>2600</v>
      </c>
      <c r="N497" s="136">
        <f t="shared" si="20"/>
        <v>0</v>
      </c>
      <c r="O497" s="88">
        <v>3900</v>
      </c>
      <c r="Q497" s="86" t="s">
        <v>3053</v>
      </c>
      <c r="R497" s="86"/>
      <c r="AC497" s="98" t="s">
        <v>2637</v>
      </c>
    </row>
    <row r="498" spans="1:29" x14ac:dyDescent="0.4">
      <c r="A498" s="102" t="s">
        <v>521</v>
      </c>
      <c r="B498" s="85" t="s">
        <v>2759</v>
      </c>
      <c r="C498" s="84" t="s">
        <v>1768</v>
      </c>
      <c r="D498" s="143" t="s">
        <v>4308</v>
      </c>
      <c r="E498" s="145"/>
      <c r="H498" s="86">
        <v>1</v>
      </c>
      <c r="I498" s="106" t="s">
        <v>4027</v>
      </c>
      <c r="J498" s="86">
        <v>125</v>
      </c>
      <c r="L498" s="100">
        <v>3500</v>
      </c>
      <c r="M498" s="100">
        <v>3385</v>
      </c>
      <c r="N498" s="136">
        <f t="shared" si="20"/>
        <v>11.8475</v>
      </c>
      <c r="O498" s="88">
        <v>4450</v>
      </c>
      <c r="P498" s="90" t="s">
        <v>1132</v>
      </c>
      <c r="Q498" s="86" t="s">
        <v>3053</v>
      </c>
      <c r="R498" s="86"/>
      <c r="S498" s="86" t="s">
        <v>2768</v>
      </c>
      <c r="T498" s="91">
        <v>0.75</v>
      </c>
      <c r="U498" s="92">
        <v>10</v>
      </c>
      <c r="V498" s="93">
        <v>1</v>
      </c>
      <c r="W498" s="94" t="s">
        <v>3050</v>
      </c>
      <c r="Z498" s="99" t="s">
        <v>3051</v>
      </c>
      <c r="AB498" s="86" t="s">
        <v>2769</v>
      </c>
      <c r="AC498" s="98" t="s">
        <v>2788</v>
      </c>
    </row>
    <row r="499" spans="1:29" x14ac:dyDescent="0.4">
      <c r="A499" s="102" t="s">
        <v>1313</v>
      </c>
      <c r="B499" s="85" t="s">
        <v>574</v>
      </c>
      <c r="C499" s="84" t="s">
        <v>4249</v>
      </c>
      <c r="E499" s="145"/>
      <c r="I499" s="106" t="s">
        <v>2765</v>
      </c>
      <c r="L499" s="100">
        <v>1800</v>
      </c>
      <c r="M499" s="100">
        <v>2280</v>
      </c>
      <c r="N499" s="136">
        <f t="shared" si="19"/>
        <v>4.1040000000000001</v>
      </c>
      <c r="R499" s="86"/>
      <c r="S499" s="86" t="s">
        <v>2766</v>
      </c>
      <c r="Z499" s="99" t="s">
        <v>3051</v>
      </c>
      <c r="AB499" s="86" t="s">
        <v>2769</v>
      </c>
      <c r="AC499" s="98" t="s">
        <v>1320</v>
      </c>
    </row>
    <row r="500" spans="1:29" x14ac:dyDescent="0.4">
      <c r="A500" s="102" t="s">
        <v>3505</v>
      </c>
      <c r="B500" s="85" t="s">
        <v>693</v>
      </c>
      <c r="C500" s="84" t="s">
        <v>3451</v>
      </c>
      <c r="E500" s="145"/>
      <c r="I500" s="106" t="s">
        <v>4027</v>
      </c>
      <c r="J500" s="86">
        <v>100</v>
      </c>
      <c r="L500" s="89">
        <v>3000</v>
      </c>
      <c r="M500" s="89">
        <v>3700</v>
      </c>
      <c r="N500" s="136">
        <f t="shared" si="19"/>
        <v>11.1</v>
      </c>
      <c r="P500" s="90" t="s">
        <v>1132</v>
      </c>
      <c r="Q500" s="86" t="s">
        <v>3054</v>
      </c>
      <c r="R500" s="86"/>
      <c r="S500" s="86" t="s">
        <v>2768</v>
      </c>
      <c r="T500" s="91">
        <v>0.75</v>
      </c>
      <c r="W500" s="94" t="s">
        <v>3050</v>
      </c>
      <c r="AA500" s="116" t="s">
        <v>3052</v>
      </c>
      <c r="AC500" s="98" t="s">
        <v>3506</v>
      </c>
    </row>
    <row r="501" spans="1:29" x14ac:dyDescent="0.4">
      <c r="A501" s="102" t="s">
        <v>3508</v>
      </c>
      <c r="B501" s="85" t="s">
        <v>693</v>
      </c>
      <c r="C501" s="84" t="s">
        <v>3451</v>
      </c>
      <c r="E501" s="145"/>
      <c r="I501" s="106" t="s">
        <v>4027</v>
      </c>
      <c r="J501" s="86">
        <v>100</v>
      </c>
      <c r="L501" s="89">
        <v>3000</v>
      </c>
      <c r="M501" s="89">
        <v>3700</v>
      </c>
      <c r="N501" s="136">
        <f t="shared" si="19"/>
        <v>11.1</v>
      </c>
      <c r="P501" s="90" t="s">
        <v>1132</v>
      </c>
      <c r="Q501" s="86" t="s">
        <v>3054</v>
      </c>
      <c r="R501" s="86"/>
      <c r="S501" s="86" t="s">
        <v>2766</v>
      </c>
      <c r="T501" s="91">
        <v>0.75</v>
      </c>
      <c r="W501" s="94" t="s">
        <v>3050</v>
      </c>
      <c r="AA501" s="116" t="s">
        <v>3052</v>
      </c>
      <c r="AC501" s="98" t="s">
        <v>3507</v>
      </c>
    </row>
    <row r="502" spans="1:29" x14ac:dyDescent="0.4">
      <c r="A502" s="102" t="s">
        <v>1478</v>
      </c>
      <c r="B502" s="85" t="s">
        <v>598</v>
      </c>
      <c r="C502" s="84" t="s">
        <v>1479</v>
      </c>
      <c r="E502" s="145"/>
      <c r="I502" s="106" t="s">
        <v>2998</v>
      </c>
      <c r="L502" s="100">
        <v>4800</v>
      </c>
      <c r="M502" s="100">
        <v>5200</v>
      </c>
      <c r="N502" s="136">
        <f t="shared" si="19"/>
        <v>24.96</v>
      </c>
      <c r="R502" s="86"/>
      <c r="AC502" s="98" t="s">
        <v>1480</v>
      </c>
    </row>
    <row r="503" spans="1:29" x14ac:dyDescent="0.4">
      <c r="A503" s="102" t="s">
        <v>381</v>
      </c>
      <c r="B503" s="85" t="s">
        <v>789</v>
      </c>
      <c r="C503" s="84" t="s">
        <v>4251</v>
      </c>
      <c r="E503" s="145"/>
      <c r="I503" s="106" t="s">
        <v>4027</v>
      </c>
      <c r="J503" s="86">
        <v>125</v>
      </c>
      <c r="L503" s="100">
        <v>1800</v>
      </c>
      <c r="M503" s="100">
        <v>2400</v>
      </c>
      <c r="N503" s="136">
        <f t="shared" si="19"/>
        <v>4.32</v>
      </c>
      <c r="P503" s="90" t="s">
        <v>1132</v>
      </c>
      <c r="Q503" s="86" t="s">
        <v>3056</v>
      </c>
      <c r="R503" s="86"/>
      <c r="S503" s="86" t="s">
        <v>2766</v>
      </c>
      <c r="T503" s="91">
        <v>0.75</v>
      </c>
      <c r="U503" s="92">
        <v>10</v>
      </c>
      <c r="V503" s="93">
        <v>1</v>
      </c>
      <c r="AB503" s="86" t="s">
        <v>2769</v>
      </c>
      <c r="AC503" s="98" t="s">
        <v>3006</v>
      </c>
    </row>
    <row r="504" spans="1:29" x14ac:dyDescent="0.4">
      <c r="A504" s="102" t="s">
        <v>1518</v>
      </c>
      <c r="B504" s="85" t="s">
        <v>604</v>
      </c>
      <c r="C504" s="84" t="s">
        <v>4252</v>
      </c>
      <c r="D504" s="143" t="s">
        <v>4154</v>
      </c>
      <c r="E504" s="145"/>
      <c r="I504" s="106" t="s">
        <v>4027</v>
      </c>
      <c r="L504" s="100">
        <v>3650</v>
      </c>
      <c r="M504" s="100">
        <v>3900</v>
      </c>
      <c r="N504" s="136">
        <f t="shared" si="19"/>
        <v>14.234999999999999</v>
      </c>
      <c r="Q504" s="86" t="s">
        <v>3063</v>
      </c>
      <c r="R504" s="86"/>
      <c r="S504" s="86" t="s">
        <v>2766</v>
      </c>
      <c r="AC504" s="98" t="s">
        <v>3616</v>
      </c>
    </row>
    <row r="505" spans="1:29" x14ac:dyDescent="0.4">
      <c r="A505" s="102" t="s">
        <v>153</v>
      </c>
      <c r="B505" s="85" t="s">
        <v>639</v>
      </c>
      <c r="C505" s="84" t="s">
        <v>4252</v>
      </c>
      <c r="D505" s="143" t="s">
        <v>4154</v>
      </c>
      <c r="E505" s="145"/>
      <c r="I505" s="106" t="s">
        <v>4027</v>
      </c>
      <c r="L505" s="100">
        <v>3600</v>
      </c>
      <c r="N505" s="136">
        <f t="shared" si="19"/>
        <v>0</v>
      </c>
      <c r="O505" s="88">
        <v>4380</v>
      </c>
      <c r="R505" s="86"/>
      <c r="AC505" s="98" t="s">
        <v>3802</v>
      </c>
    </row>
    <row r="506" spans="1:29" x14ac:dyDescent="0.4">
      <c r="A506" s="102" t="s">
        <v>157</v>
      </c>
      <c r="B506" s="85" t="s">
        <v>642</v>
      </c>
      <c r="C506" s="84" t="s">
        <v>4252</v>
      </c>
      <c r="D506" s="143" t="s">
        <v>4154</v>
      </c>
      <c r="E506" s="145"/>
      <c r="H506" s="86">
        <v>2</v>
      </c>
      <c r="I506" s="106" t="s">
        <v>4027</v>
      </c>
      <c r="J506" s="86">
        <v>100</v>
      </c>
      <c r="L506" s="100">
        <v>2000</v>
      </c>
      <c r="M506" s="100">
        <v>3100</v>
      </c>
      <c r="N506" s="136">
        <f t="shared" ref="N506:N537" si="21">L506*M506/1000000</f>
        <v>6.2</v>
      </c>
      <c r="Q506" s="86" t="s">
        <v>3063</v>
      </c>
      <c r="R506" s="86"/>
      <c r="AA506" s="116" t="s">
        <v>3052</v>
      </c>
      <c r="AC506" s="98" t="s">
        <v>3800</v>
      </c>
    </row>
    <row r="507" spans="1:29" x14ac:dyDescent="0.4">
      <c r="A507" s="102" t="s">
        <v>3743</v>
      </c>
      <c r="B507" s="85" t="s">
        <v>656</v>
      </c>
      <c r="C507" s="84" t="s">
        <v>4252</v>
      </c>
      <c r="D507" s="143" t="s">
        <v>4154</v>
      </c>
      <c r="E507" s="145"/>
      <c r="I507" s="106" t="s">
        <v>4027</v>
      </c>
      <c r="J507" s="86">
        <v>100</v>
      </c>
      <c r="L507" s="100">
        <v>2000</v>
      </c>
      <c r="M507" s="100">
        <v>2750</v>
      </c>
      <c r="N507" s="136">
        <f t="shared" si="21"/>
        <v>5.5</v>
      </c>
      <c r="P507" s="90" t="s">
        <v>1132</v>
      </c>
      <c r="Q507" s="86" t="s">
        <v>3063</v>
      </c>
      <c r="R507" s="86"/>
      <c r="S507" s="86" t="s">
        <v>2766</v>
      </c>
      <c r="V507" s="93">
        <v>4</v>
      </c>
      <c r="AA507" s="116" t="s">
        <v>3052</v>
      </c>
      <c r="AB507" s="86" t="s">
        <v>2769</v>
      </c>
      <c r="AC507" s="98" t="s">
        <v>3744</v>
      </c>
    </row>
    <row r="508" spans="1:29" x14ac:dyDescent="0.4">
      <c r="A508" s="102" t="s">
        <v>3745</v>
      </c>
      <c r="B508" s="85" t="s">
        <v>656</v>
      </c>
      <c r="C508" s="84" t="s">
        <v>4252</v>
      </c>
      <c r="D508" s="143" t="s">
        <v>4154</v>
      </c>
      <c r="E508" s="145"/>
      <c r="I508" s="106" t="s">
        <v>4027</v>
      </c>
      <c r="J508" s="86">
        <v>100</v>
      </c>
      <c r="L508" s="100">
        <v>2000</v>
      </c>
      <c r="M508" s="100">
        <v>2750</v>
      </c>
      <c r="N508" s="136">
        <f t="shared" si="21"/>
        <v>5.5</v>
      </c>
      <c r="P508" s="90" t="s">
        <v>1132</v>
      </c>
      <c r="Q508" s="86" t="s">
        <v>3063</v>
      </c>
      <c r="R508" s="86"/>
      <c r="S508" s="86" t="s">
        <v>2766</v>
      </c>
      <c r="V508" s="93">
        <v>1</v>
      </c>
      <c r="AA508" s="116" t="s">
        <v>3052</v>
      </c>
      <c r="AB508" s="86" t="s">
        <v>2769</v>
      </c>
      <c r="AC508" s="98" t="s">
        <v>3730</v>
      </c>
    </row>
    <row r="509" spans="1:29" x14ac:dyDescent="0.4">
      <c r="A509" s="102" t="s">
        <v>237</v>
      </c>
      <c r="B509" s="85" t="s">
        <v>685</v>
      </c>
      <c r="C509" s="84" t="s">
        <v>4252</v>
      </c>
      <c r="D509" s="143" t="s">
        <v>4154</v>
      </c>
      <c r="E509" s="145"/>
      <c r="H509" s="86">
        <v>2</v>
      </c>
      <c r="I509" s="106" t="s">
        <v>4027</v>
      </c>
      <c r="J509" s="86">
        <v>100</v>
      </c>
      <c r="L509" s="100">
        <v>1600</v>
      </c>
      <c r="M509" s="100">
        <v>2600</v>
      </c>
      <c r="N509" s="136">
        <f t="shared" si="21"/>
        <v>4.16</v>
      </c>
      <c r="P509" s="90" t="s">
        <v>1132</v>
      </c>
      <c r="Q509" s="86" t="s">
        <v>3066</v>
      </c>
      <c r="R509" s="86" t="s">
        <v>3530</v>
      </c>
      <c r="AC509" s="98" t="s">
        <v>3475</v>
      </c>
    </row>
    <row r="510" spans="1:29" x14ac:dyDescent="0.4">
      <c r="A510" s="102" t="s">
        <v>277</v>
      </c>
      <c r="B510" s="85" t="s">
        <v>709</v>
      </c>
      <c r="C510" s="84" t="s">
        <v>4252</v>
      </c>
      <c r="D510" s="143" t="s">
        <v>4154</v>
      </c>
      <c r="E510" s="145"/>
      <c r="I510" s="106" t="s">
        <v>4027</v>
      </c>
      <c r="J510" s="86">
        <v>100</v>
      </c>
      <c r="L510" s="100">
        <v>2000</v>
      </c>
      <c r="M510" s="100">
        <v>2700</v>
      </c>
      <c r="N510" s="136">
        <f t="shared" si="21"/>
        <v>5.4</v>
      </c>
      <c r="P510" s="90" t="s">
        <v>1132</v>
      </c>
      <c r="Q510" s="86" t="s">
        <v>3148</v>
      </c>
      <c r="R510" s="86" t="s">
        <v>3077</v>
      </c>
      <c r="S510" s="86" t="s">
        <v>2766</v>
      </c>
      <c r="T510" s="91">
        <v>0.75</v>
      </c>
      <c r="W510" s="94" t="s">
        <v>3050</v>
      </c>
      <c r="AA510" s="111" t="s">
        <v>3052</v>
      </c>
      <c r="AB510" s="86" t="s">
        <v>2769</v>
      </c>
      <c r="AC510" s="98" t="s">
        <v>3410</v>
      </c>
    </row>
    <row r="511" spans="1:29" x14ac:dyDescent="0.4">
      <c r="A511" s="102" t="s">
        <v>3382</v>
      </c>
      <c r="B511" s="85" t="s">
        <v>717</v>
      </c>
      <c r="C511" s="84" t="s">
        <v>4252</v>
      </c>
      <c r="D511" s="143" t="s">
        <v>4154</v>
      </c>
      <c r="E511" s="145"/>
      <c r="I511" s="106" t="s">
        <v>4027</v>
      </c>
      <c r="J511" s="86">
        <v>100</v>
      </c>
      <c r="L511" s="100">
        <v>2300</v>
      </c>
      <c r="M511" s="100">
        <v>3525</v>
      </c>
      <c r="N511" s="136">
        <f t="shared" si="21"/>
        <v>8.1074999999999999</v>
      </c>
      <c r="P511" s="90" t="s">
        <v>1132</v>
      </c>
      <c r="Q511" s="86" t="s">
        <v>3066</v>
      </c>
      <c r="R511" s="86" t="s">
        <v>3077</v>
      </c>
      <c r="S511" s="86" t="s">
        <v>2768</v>
      </c>
      <c r="T511" s="91">
        <v>0.75</v>
      </c>
      <c r="V511" s="93">
        <v>1</v>
      </c>
      <c r="W511" s="94" t="s">
        <v>3050</v>
      </c>
      <c r="AA511" s="111" t="s">
        <v>3052</v>
      </c>
      <c r="AB511" s="86" t="s">
        <v>2769</v>
      </c>
      <c r="AC511" s="98" t="s">
        <v>3284</v>
      </c>
    </row>
    <row r="512" spans="1:29" x14ac:dyDescent="0.4">
      <c r="A512" s="102" t="s">
        <v>3383</v>
      </c>
      <c r="B512" s="85" t="s">
        <v>717</v>
      </c>
      <c r="C512" s="84" t="s">
        <v>4252</v>
      </c>
      <c r="D512" s="143" t="s">
        <v>4154</v>
      </c>
      <c r="E512" s="145"/>
      <c r="I512" s="106" t="s">
        <v>4027</v>
      </c>
      <c r="J512" s="86">
        <v>100</v>
      </c>
      <c r="L512" s="100">
        <v>2030</v>
      </c>
      <c r="M512" s="100">
        <v>3550</v>
      </c>
      <c r="N512" s="136">
        <f t="shared" si="21"/>
        <v>7.2065000000000001</v>
      </c>
      <c r="P512" s="90" t="s">
        <v>1132</v>
      </c>
      <c r="Q512" s="86" t="s">
        <v>3066</v>
      </c>
      <c r="R512" s="86" t="s">
        <v>3077</v>
      </c>
      <c r="S512" s="86" t="s">
        <v>2766</v>
      </c>
      <c r="T512" s="91">
        <v>0.75</v>
      </c>
      <c r="V512" s="93">
        <v>1</v>
      </c>
      <c r="W512" s="94" t="s">
        <v>3050</v>
      </c>
      <c r="AA512" s="111" t="s">
        <v>3052</v>
      </c>
      <c r="AB512" s="86" t="s">
        <v>2769</v>
      </c>
      <c r="AC512" s="98" t="s">
        <v>3388</v>
      </c>
    </row>
    <row r="513" spans="1:29" x14ac:dyDescent="0.4">
      <c r="A513" s="102" t="s">
        <v>3238</v>
      </c>
      <c r="B513" s="85" t="s">
        <v>741</v>
      </c>
      <c r="C513" s="84" t="s">
        <v>4252</v>
      </c>
      <c r="D513" s="143" t="s">
        <v>4154</v>
      </c>
      <c r="E513" s="145"/>
      <c r="H513" s="86">
        <v>2</v>
      </c>
      <c r="I513" s="106" t="s">
        <v>2765</v>
      </c>
      <c r="J513" s="86">
        <v>125</v>
      </c>
      <c r="L513" s="100">
        <v>2900</v>
      </c>
      <c r="M513" s="100">
        <v>3300</v>
      </c>
      <c r="N513" s="136">
        <f t="shared" si="21"/>
        <v>9.57</v>
      </c>
      <c r="O513" s="88">
        <v>4400</v>
      </c>
      <c r="P513" s="90" t="s">
        <v>1132</v>
      </c>
      <c r="Q513" s="86" t="s">
        <v>3066</v>
      </c>
      <c r="R513" s="86"/>
      <c r="S513" s="86" t="s">
        <v>2768</v>
      </c>
      <c r="T513" s="91">
        <v>0.75</v>
      </c>
      <c r="V513" s="93">
        <v>1</v>
      </c>
      <c r="W513" s="94" t="s">
        <v>3074</v>
      </c>
      <c r="Z513" s="87" t="s">
        <v>3051</v>
      </c>
      <c r="AB513" s="86" t="s">
        <v>3047</v>
      </c>
      <c r="AC513" s="98" t="s">
        <v>3240</v>
      </c>
    </row>
    <row r="514" spans="1:29" x14ac:dyDescent="0.4">
      <c r="A514" s="102" t="s">
        <v>3239</v>
      </c>
      <c r="B514" s="85" t="s">
        <v>741</v>
      </c>
      <c r="C514" s="84" t="s">
        <v>4252</v>
      </c>
      <c r="D514" s="143" t="s">
        <v>4154</v>
      </c>
      <c r="E514" s="145"/>
      <c r="H514" s="86">
        <v>2</v>
      </c>
      <c r="I514" s="106" t="s">
        <v>2765</v>
      </c>
      <c r="J514" s="86">
        <v>125</v>
      </c>
      <c r="L514" s="100">
        <v>2900</v>
      </c>
      <c r="M514" s="100">
        <v>3300</v>
      </c>
      <c r="N514" s="136">
        <f t="shared" si="21"/>
        <v>9.57</v>
      </c>
      <c r="O514" s="88">
        <v>4400</v>
      </c>
      <c r="P514" s="90" t="s">
        <v>1132</v>
      </c>
      <c r="Q514" s="86" t="s">
        <v>3066</v>
      </c>
      <c r="R514" s="86"/>
      <c r="S514" s="86" t="s">
        <v>2766</v>
      </c>
      <c r="T514" s="91">
        <v>0.75</v>
      </c>
      <c r="V514" s="93">
        <v>1</v>
      </c>
      <c r="W514" s="94" t="s">
        <v>3074</v>
      </c>
      <c r="Z514" s="87" t="s">
        <v>3051</v>
      </c>
      <c r="AB514" s="86" t="s">
        <v>3047</v>
      </c>
      <c r="AC514" s="98" t="s">
        <v>3241</v>
      </c>
    </row>
    <row r="515" spans="1:29" x14ac:dyDescent="0.4">
      <c r="A515" s="102" t="s">
        <v>3247</v>
      </c>
      <c r="B515" s="85" t="s">
        <v>741</v>
      </c>
      <c r="C515" s="84" t="s">
        <v>4252</v>
      </c>
      <c r="D515" s="143" t="s">
        <v>4154</v>
      </c>
      <c r="E515" s="145"/>
      <c r="I515" s="106" t="s">
        <v>4027</v>
      </c>
      <c r="J515" s="86">
        <v>125</v>
      </c>
      <c r="L515" s="100">
        <v>2050</v>
      </c>
      <c r="M515" s="100">
        <v>2800</v>
      </c>
      <c r="N515" s="136">
        <f t="shared" si="21"/>
        <v>5.74</v>
      </c>
      <c r="P515" s="90" t="s">
        <v>1132</v>
      </c>
      <c r="Q515" s="86" t="s">
        <v>3066</v>
      </c>
      <c r="R515" s="86"/>
      <c r="S515" s="86" t="s">
        <v>2768</v>
      </c>
      <c r="T515" s="91">
        <v>0.75</v>
      </c>
      <c r="V515" s="93">
        <v>1</v>
      </c>
      <c r="Z515" s="87" t="s">
        <v>3051</v>
      </c>
      <c r="AB515" s="86" t="s">
        <v>3047</v>
      </c>
      <c r="AC515" s="98" t="s">
        <v>3272</v>
      </c>
    </row>
    <row r="516" spans="1:29" x14ac:dyDescent="0.4">
      <c r="A516" s="102" t="s">
        <v>3243</v>
      </c>
      <c r="B516" s="85" t="s">
        <v>2710</v>
      </c>
      <c r="C516" s="84" t="s">
        <v>4252</v>
      </c>
      <c r="D516" s="143" t="s">
        <v>4154</v>
      </c>
      <c r="E516" s="145"/>
      <c r="I516" s="106" t="s">
        <v>2765</v>
      </c>
      <c r="J516" s="86">
        <v>125</v>
      </c>
      <c r="L516" s="100">
        <v>2450</v>
      </c>
      <c r="M516" s="100">
        <v>2550</v>
      </c>
      <c r="N516" s="136">
        <f t="shared" si="21"/>
        <v>6.2474999999999996</v>
      </c>
      <c r="O516" s="88">
        <v>3800</v>
      </c>
      <c r="P516" s="90" t="s">
        <v>1132</v>
      </c>
      <c r="Q516" s="86" t="s">
        <v>3066</v>
      </c>
      <c r="R516" s="86"/>
      <c r="Z516" s="87" t="s">
        <v>3051</v>
      </c>
      <c r="AB516" s="86" t="s">
        <v>3047</v>
      </c>
      <c r="AC516" s="98" t="s">
        <v>3947</v>
      </c>
    </row>
    <row r="517" spans="1:29" x14ac:dyDescent="0.4">
      <c r="A517" s="102" t="s">
        <v>3244</v>
      </c>
      <c r="B517" s="85" t="s">
        <v>3242</v>
      </c>
      <c r="C517" s="84" t="s">
        <v>4252</v>
      </c>
      <c r="D517" s="143" t="s">
        <v>4154</v>
      </c>
      <c r="E517" s="145"/>
      <c r="I517" s="106" t="s">
        <v>4027</v>
      </c>
      <c r="J517" s="86">
        <v>125</v>
      </c>
      <c r="L517" s="100">
        <v>2150</v>
      </c>
      <c r="M517" s="100">
        <v>3300</v>
      </c>
      <c r="N517" s="136">
        <f t="shared" si="21"/>
        <v>7.0949999999999998</v>
      </c>
      <c r="P517" s="90" t="s">
        <v>1132</v>
      </c>
      <c r="Q517" s="86" t="s">
        <v>3066</v>
      </c>
      <c r="R517" s="86"/>
      <c r="Z517" s="106"/>
      <c r="AC517" s="98" t="s">
        <v>3245</v>
      </c>
    </row>
    <row r="518" spans="1:29" x14ac:dyDescent="0.4">
      <c r="A518" s="102" t="s">
        <v>3246</v>
      </c>
      <c r="B518" s="85" t="s">
        <v>743</v>
      </c>
      <c r="C518" s="84" t="s">
        <v>4252</v>
      </c>
      <c r="D518" s="143" t="s">
        <v>4154</v>
      </c>
      <c r="E518" s="145"/>
      <c r="I518" s="106" t="s">
        <v>4027</v>
      </c>
      <c r="J518" s="86">
        <v>125</v>
      </c>
      <c r="L518" s="100">
        <v>2050</v>
      </c>
      <c r="M518" s="113">
        <v>3300</v>
      </c>
      <c r="N518" s="136">
        <f t="shared" si="21"/>
        <v>6.7649999999999997</v>
      </c>
      <c r="P518" s="90" t="s">
        <v>1132</v>
      </c>
      <c r="Q518" s="86" t="s">
        <v>3066</v>
      </c>
      <c r="R518" s="86"/>
      <c r="S518" s="86" t="s">
        <v>2768</v>
      </c>
      <c r="T518" s="91">
        <v>0.75</v>
      </c>
      <c r="V518" s="93">
        <v>1</v>
      </c>
      <c r="Y518" s="99" t="s">
        <v>3046</v>
      </c>
      <c r="AC518" s="98" t="s">
        <v>3948</v>
      </c>
    </row>
    <row r="519" spans="1:29" x14ac:dyDescent="0.4">
      <c r="A519" s="102" t="s">
        <v>3248</v>
      </c>
      <c r="B519" s="85" t="s">
        <v>743</v>
      </c>
      <c r="C519" s="84" t="s">
        <v>4252</v>
      </c>
      <c r="D519" s="143" t="s">
        <v>4154</v>
      </c>
      <c r="E519" s="145"/>
      <c r="I519" s="106" t="s">
        <v>4027</v>
      </c>
      <c r="J519" s="86">
        <v>125</v>
      </c>
      <c r="L519" s="100">
        <v>2050</v>
      </c>
      <c r="M519" s="113">
        <v>3300</v>
      </c>
      <c r="N519" s="136">
        <f t="shared" si="21"/>
        <v>6.7649999999999997</v>
      </c>
      <c r="P519" s="90" t="s">
        <v>1132</v>
      </c>
      <c r="R519" s="86"/>
      <c r="S519" s="86" t="s">
        <v>2768</v>
      </c>
      <c r="T519" s="91">
        <v>0.75</v>
      </c>
      <c r="V519" s="93">
        <v>1</v>
      </c>
      <c r="Y519" s="114"/>
      <c r="AB519" s="86" t="s">
        <v>3047</v>
      </c>
      <c r="AC519" s="98" t="s">
        <v>3949</v>
      </c>
    </row>
    <row r="520" spans="1:29" x14ac:dyDescent="0.4">
      <c r="A520" s="102" t="s">
        <v>3249</v>
      </c>
      <c r="B520" s="85" t="s">
        <v>743</v>
      </c>
      <c r="C520" s="84" t="s">
        <v>4252</v>
      </c>
      <c r="D520" s="143" t="s">
        <v>4154</v>
      </c>
      <c r="E520" s="145"/>
      <c r="I520" s="106" t="s">
        <v>4027</v>
      </c>
      <c r="J520" s="86">
        <v>125</v>
      </c>
      <c r="L520" s="100">
        <v>2050</v>
      </c>
      <c r="M520" s="113">
        <v>2700</v>
      </c>
      <c r="N520" s="136">
        <f t="shared" si="21"/>
        <v>5.5350000000000001</v>
      </c>
      <c r="P520" s="90" t="s">
        <v>1132</v>
      </c>
      <c r="R520" s="86"/>
      <c r="S520" s="86" t="s">
        <v>2768</v>
      </c>
      <c r="T520" s="91">
        <v>0.75</v>
      </c>
      <c r="V520" s="93">
        <v>1</v>
      </c>
      <c r="Y520" s="114"/>
      <c r="Z520" s="87" t="s">
        <v>3051</v>
      </c>
      <c r="AC520" s="98" t="s">
        <v>3950</v>
      </c>
    </row>
    <row r="521" spans="1:29" x14ac:dyDescent="0.4">
      <c r="A521" s="102" t="s">
        <v>4101</v>
      </c>
      <c r="B521" s="85" t="s">
        <v>743</v>
      </c>
      <c r="C521" s="84" t="s">
        <v>4252</v>
      </c>
      <c r="D521" s="143" t="s">
        <v>4154</v>
      </c>
      <c r="E521" s="145"/>
      <c r="H521" s="86">
        <v>3</v>
      </c>
      <c r="I521" s="106" t="s">
        <v>2765</v>
      </c>
      <c r="J521" s="86">
        <v>125</v>
      </c>
      <c r="L521" s="100">
        <v>1475</v>
      </c>
      <c r="M521" s="113">
        <v>4225</v>
      </c>
      <c r="N521" s="136">
        <f t="shared" si="21"/>
        <v>6.2318749999999996</v>
      </c>
      <c r="O521" s="88">
        <v>5200</v>
      </c>
      <c r="P521" s="90" t="s">
        <v>1132</v>
      </c>
      <c r="R521" s="86"/>
      <c r="S521" s="86" t="s">
        <v>2768</v>
      </c>
      <c r="T521" s="91">
        <v>0.75</v>
      </c>
      <c r="V521" s="93">
        <v>1</v>
      </c>
      <c r="Z521" s="87" t="s">
        <v>3051</v>
      </c>
      <c r="AC521" s="98" t="s">
        <v>3951</v>
      </c>
    </row>
    <row r="522" spans="1:29" x14ac:dyDescent="0.4">
      <c r="A522" s="102" t="s">
        <v>4100</v>
      </c>
      <c r="B522" s="85" t="s">
        <v>4099</v>
      </c>
      <c r="C522" s="84" t="s">
        <v>4252</v>
      </c>
      <c r="D522" s="143" t="s">
        <v>4154</v>
      </c>
      <c r="E522" s="145"/>
      <c r="H522" s="86">
        <v>3</v>
      </c>
      <c r="I522" s="106" t="s">
        <v>2765</v>
      </c>
      <c r="J522" s="86">
        <v>125</v>
      </c>
      <c r="L522" s="100">
        <v>2850</v>
      </c>
      <c r="M522" s="113">
        <v>5600</v>
      </c>
      <c r="N522" s="136">
        <f t="shared" si="21"/>
        <v>15.96</v>
      </c>
      <c r="O522" s="88">
        <v>5800</v>
      </c>
      <c r="P522" s="90" t="s">
        <v>1132</v>
      </c>
      <c r="R522" s="86"/>
      <c r="S522" s="86" t="s">
        <v>2766</v>
      </c>
      <c r="T522" s="91">
        <v>0.75</v>
      </c>
      <c r="V522" s="93">
        <v>1</v>
      </c>
      <c r="Z522" s="87" t="s">
        <v>3051</v>
      </c>
      <c r="AC522" s="98" t="s">
        <v>3952</v>
      </c>
    </row>
    <row r="523" spans="1:29" x14ac:dyDescent="0.4">
      <c r="A523" s="102" t="s">
        <v>3217</v>
      </c>
      <c r="B523" s="85" t="s">
        <v>747</v>
      </c>
      <c r="C523" s="84" t="s">
        <v>4252</v>
      </c>
      <c r="D523" s="143" t="s">
        <v>4154</v>
      </c>
      <c r="E523" s="145"/>
      <c r="I523" s="106" t="s">
        <v>4027</v>
      </c>
      <c r="J523" s="86">
        <v>125</v>
      </c>
      <c r="L523" s="100">
        <v>2050</v>
      </c>
      <c r="M523" s="100">
        <v>2700</v>
      </c>
      <c r="N523" s="136">
        <f t="shared" si="21"/>
        <v>5.5350000000000001</v>
      </c>
      <c r="P523" s="90" t="s">
        <v>1132</v>
      </c>
      <c r="Q523" s="86" t="s">
        <v>3066</v>
      </c>
      <c r="R523" s="86" t="s">
        <v>3078</v>
      </c>
      <c r="S523" s="86" t="s">
        <v>2766</v>
      </c>
      <c r="T523" s="91">
        <v>0.75</v>
      </c>
      <c r="V523" s="93">
        <v>1</v>
      </c>
      <c r="W523" s="94" t="s">
        <v>3074</v>
      </c>
      <c r="AA523" s="111" t="s">
        <v>3052</v>
      </c>
      <c r="AB523" s="86" t="s">
        <v>3073</v>
      </c>
      <c r="AC523" s="98" t="s">
        <v>3218</v>
      </c>
    </row>
    <row r="524" spans="1:29" x14ac:dyDescent="0.4">
      <c r="A524" s="102" t="s">
        <v>3207</v>
      </c>
      <c r="B524" s="85" t="s">
        <v>3208</v>
      </c>
      <c r="C524" s="84" t="s">
        <v>4252</v>
      </c>
      <c r="D524" s="143" t="s">
        <v>4154</v>
      </c>
      <c r="E524" s="145"/>
      <c r="I524" s="106" t="s">
        <v>4027</v>
      </c>
      <c r="J524" s="86">
        <v>125</v>
      </c>
      <c r="L524" s="100">
        <v>2850</v>
      </c>
      <c r="M524" s="100">
        <v>3800</v>
      </c>
      <c r="N524" s="136">
        <f t="shared" si="21"/>
        <v>10.83</v>
      </c>
      <c r="P524" s="90" t="s">
        <v>1132</v>
      </c>
      <c r="Q524" s="86" t="s">
        <v>3066</v>
      </c>
      <c r="R524" s="86" t="s">
        <v>3077</v>
      </c>
      <c r="S524" s="86" t="s">
        <v>2768</v>
      </c>
      <c r="T524" s="91">
        <v>0.75</v>
      </c>
      <c r="V524" s="93">
        <v>1</v>
      </c>
      <c r="Z524" s="87" t="s">
        <v>3051</v>
      </c>
      <c r="AB524" s="86" t="s">
        <v>2769</v>
      </c>
      <c r="AC524" s="98" t="s">
        <v>3211</v>
      </c>
    </row>
    <row r="525" spans="1:29" x14ac:dyDescent="0.4">
      <c r="A525" s="102" t="s">
        <v>3209</v>
      </c>
      <c r="B525" s="85" t="s">
        <v>3208</v>
      </c>
      <c r="C525" s="84" t="s">
        <v>4252</v>
      </c>
      <c r="D525" s="143" t="s">
        <v>4154</v>
      </c>
      <c r="E525" s="145"/>
      <c r="I525" s="106" t="s">
        <v>4027</v>
      </c>
      <c r="J525" s="86">
        <v>125</v>
      </c>
      <c r="L525" s="100">
        <v>3600</v>
      </c>
      <c r="M525" s="100">
        <v>3800</v>
      </c>
      <c r="N525" s="136">
        <f t="shared" si="21"/>
        <v>13.68</v>
      </c>
      <c r="P525" s="90" t="s">
        <v>1132</v>
      </c>
      <c r="Q525" s="86" t="s">
        <v>3066</v>
      </c>
      <c r="R525" s="86" t="s">
        <v>3077</v>
      </c>
      <c r="S525" s="86" t="s">
        <v>2766</v>
      </c>
      <c r="T525" s="91">
        <v>0.75</v>
      </c>
      <c r="V525" s="93">
        <v>1</v>
      </c>
      <c r="Z525" s="87" t="s">
        <v>3051</v>
      </c>
      <c r="AB525" s="86" t="s">
        <v>2769</v>
      </c>
      <c r="AC525" s="98" t="s">
        <v>3210</v>
      </c>
    </row>
    <row r="526" spans="1:29" x14ac:dyDescent="0.4">
      <c r="A526" s="102" t="s">
        <v>3102</v>
      </c>
      <c r="B526" s="85" t="s">
        <v>2726</v>
      </c>
      <c r="C526" s="84" t="s">
        <v>4252</v>
      </c>
      <c r="D526" s="143" t="s">
        <v>4154</v>
      </c>
      <c r="E526" s="145"/>
      <c r="I526" s="106" t="s">
        <v>4027</v>
      </c>
      <c r="J526" s="86">
        <v>125</v>
      </c>
      <c r="L526" s="100">
        <v>2750</v>
      </c>
      <c r="M526" s="100">
        <v>4300</v>
      </c>
      <c r="N526" s="136">
        <f t="shared" si="21"/>
        <v>11.824999999999999</v>
      </c>
      <c r="P526" s="90" t="s">
        <v>1132</v>
      </c>
      <c r="Q526" s="86" t="s">
        <v>3066</v>
      </c>
      <c r="R526" s="86" t="s">
        <v>3077</v>
      </c>
      <c r="S526" s="86" t="s">
        <v>2766</v>
      </c>
      <c r="T526" s="91">
        <v>0.75</v>
      </c>
      <c r="U526" s="92">
        <v>10</v>
      </c>
      <c r="V526" s="93">
        <v>1</v>
      </c>
      <c r="Z526" s="87" t="s">
        <v>3051</v>
      </c>
      <c r="AB526" s="86" t="s">
        <v>2769</v>
      </c>
      <c r="AC526" s="98" t="s">
        <v>3011</v>
      </c>
    </row>
    <row r="527" spans="1:29" x14ac:dyDescent="0.4">
      <c r="A527" s="102" t="s">
        <v>3103</v>
      </c>
      <c r="B527" s="85" t="s">
        <v>2726</v>
      </c>
      <c r="C527" s="84" t="s">
        <v>4252</v>
      </c>
      <c r="D527" s="143" t="s">
        <v>4154</v>
      </c>
      <c r="E527" s="145"/>
      <c r="I527" s="106" t="s">
        <v>4027</v>
      </c>
      <c r="J527" s="86">
        <v>125</v>
      </c>
      <c r="L527" s="89">
        <v>2500</v>
      </c>
      <c r="M527" s="89">
        <v>3200</v>
      </c>
      <c r="N527" s="136">
        <f t="shared" si="21"/>
        <v>8</v>
      </c>
      <c r="P527" s="90" t="s">
        <v>1132</v>
      </c>
      <c r="Q527" s="86" t="s">
        <v>3066</v>
      </c>
      <c r="R527" s="86" t="s">
        <v>3077</v>
      </c>
      <c r="S527" s="86" t="s">
        <v>2768</v>
      </c>
      <c r="T527" s="91">
        <v>0.75</v>
      </c>
      <c r="U527" s="92">
        <v>10</v>
      </c>
      <c r="V527" s="93">
        <v>1</v>
      </c>
      <c r="AB527" s="86" t="s">
        <v>2769</v>
      </c>
      <c r="AC527" s="98" t="s">
        <v>3939</v>
      </c>
    </row>
    <row r="528" spans="1:29" x14ac:dyDescent="0.4">
      <c r="A528" s="102" t="s">
        <v>423</v>
      </c>
      <c r="B528" s="85" t="s">
        <v>811</v>
      </c>
      <c r="C528" s="84" t="s">
        <v>4252</v>
      </c>
      <c r="D528" s="143" t="s">
        <v>4154</v>
      </c>
      <c r="E528" s="145"/>
      <c r="H528" s="86">
        <v>5</v>
      </c>
      <c r="I528" s="106" t="s">
        <v>4027</v>
      </c>
      <c r="J528" s="86">
        <v>125</v>
      </c>
      <c r="L528" s="100">
        <v>3000</v>
      </c>
      <c r="M528" s="100">
        <v>3150</v>
      </c>
      <c r="N528" s="136">
        <f t="shared" si="21"/>
        <v>9.4499999999999993</v>
      </c>
      <c r="P528" s="90" t="s">
        <v>1132</v>
      </c>
      <c r="Q528" s="86" t="s">
        <v>3066</v>
      </c>
      <c r="R528" s="86" t="s">
        <v>3078</v>
      </c>
      <c r="S528" s="86" t="s">
        <v>2768</v>
      </c>
      <c r="T528" s="91">
        <v>0.75</v>
      </c>
      <c r="U528" s="92">
        <v>15</v>
      </c>
      <c r="V528" s="93">
        <v>1</v>
      </c>
      <c r="Z528" s="86" t="s">
        <v>1439</v>
      </c>
      <c r="AC528" s="98" t="s">
        <v>2941</v>
      </c>
    </row>
    <row r="529" spans="1:29" x14ac:dyDescent="0.4">
      <c r="A529" s="102" t="s">
        <v>2906</v>
      </c>
      <c r="B529" s="85" t="s">
        <v>823</v>
      </c>
      <c r="C529" s="84" t="s">
        <v>4252</v>
      </c>
      <c r="D529" s="143" t="s">
        <v>4154</v>
      </c>
      <c r="E529" s="145"/>
      <c r="I529" s="106" t="s">
        <v>4027</v>
      </c>
      <c r="J529" s="86">
        <v>125</v>
      </c>
      <c r="L529" s="100">
        <v>2050</v>
      </c>
      <c r="M529" s="100">
        <v>2600</v>
      </c>
      <c r="N529" s="136">
        <f t="shared" si="21"/>
        <v>5.33</v>
      </c>
      <c r="P529" s="90" t="s">
        <v>1132</v>
      </c>
      <c r="Q529" s="86" t="s">
        <v>3066</v>
      </c>
      <c r="R529" s="86" t="s">
        <v>3078</v>
      </c>
      <c r="S529" s="86" t="s">
        <v>2766</v>
      </c>
      <c r="T529" s="91">
        <v>0.75</v>
      </c>
      <c r="U529" s="92">
        <v>10</v>
      </c>
      <c r="V529" s="93">
        <v>0.5</v>
      </c>
      <c r="Z529" s="99" t="s">
        <v>3051</v>
      </c>
      <c r="AB529" s="86" t="s">
        <v>2769</v>
      </c>
      <c r="AC529" s="98" t="s">
        <v>2908</v>
      </c>
    </row>
    <row r="530" spans="1:29" x14ac:dyDescent="0.4">
      <c r="A530" s="102" t="s">
        <v>2907</v>
      </c>
      <c r="B530" s="85" t="s">
        <v>823</v>
      </c>
      <c r="C530" s="84" t="s">
        <v>4252</v>
      </c>
      <c r="D530" s="143" t="s">
        <v>4154</v>
      </c>
      <c r="E530" s="145"/>
      <c r="I530" s="106" t="s">
        <v>4027</v>
      </c>
      <c r="J530" s="86">
        <v>125</v>
      </c>
      <c r="L530" s="100">
        <v>2500</v>
      </c>
      <c r="M530" s="100">
        <v>3100</v>
      </c>
      <c r="N530" s="136">
        <f t="shared" si="21"/>
        <v>7.75</v>
      </c>
      <c r="P530" s="90" t="s">
        <v>1132</v>
      </c>
      <c r="Q530" s="86" t="s">
        <v>3066</v>
      </c>
      <c r="R530" s="86" t="s">
        <v>3078</v>
      </c>
      <c r="S530" s="86" t="s">
        <v>2766</v>
      </c>
      <c r="T530" s="91">
        <v>0.75</v>
      </c>
      <c r="U530" s="92">
        <v>10</v>
      </c>
      <c r="V530" s="93">
        <v>0.5</v>
      </c>
      <c r="Z530" s="99" t="s">
        <v>3051</v>
      </c>
      <c r="AB530" s="86" t="s">
        <v>2769</v>
      </c>
      <c r="AC530" s="98" t="s">
        <v>2909</v>
      </c>
    </row>
    <row r="531" spans="1:29" x14ac:dyDescent="0.4">
      <c r="A531" s="102" t="s">
        <v>3167</v>
      </c>
      <c r="B531" s="85" t="s">
        <v>837</v>
      </c>
      <c r="C531" s="84" t="s">
        <v>4252</v>
      </c>
      <c r="D531" s="143" t="s">
        <v>4154</v>
      </c>
      <c r="E531" s="145"/>
      <c r="I531" s="106" t="s">
        <v>4027</v>
      </c>
      <c r="J531" s="86">
        <v>125</v>
      </c>
      <c r="L531" s="100">
        <v>1450</v>
      </c>
      <c r="M531" s="100">
        <v>5200</v>
      </c>
      <c r="N531" s="136">
        <f t="shared" si="21"/>
        <v>7.54</v>
      </c>
      <c r="P531" s="90" t="s">
        <v>1132</v>
      </c>
      <c r="Q531" s="86" t="s">
        <v>3066</v>
      </c>
      <c r="R531" s="86"/>
      <c r="S531" s="86" t="s">
        <v>3074</v>
      </c>
      <c r="T531" s="91">
        <v>0.75</v>
      </c>
      <c r="U531" s="92">
        <v>10</v>
      </c>
      <c r="W531" s="94" t="s">
        <v>3074</v>
      </c>
      <c r="Z531" s="99" t="s">
        <v>3051</v>
      </c>
      <c r="AC531" s="98" t="s">
        <v>2845</v>
      </c>
    </row>
    <row r="532" spans="1:29" x14ac:dyDescent="0.4">
      <c r="A532" s="83" t="s">
        <v>4153</v>
      </c>
      <c r="B532" s="64" t="s">
        <v>4156</v>
      </c>
      <c r="C532" s="84" t="s">
        <v>4252</v>
      </c>
      <c r="D532" s="143" t="s">
        <v>4154</v>
      </c>
      <c r="H532" s="86">
        <v>1</v>
      </c>
      <c r="I532" s="106" t="s">
        <v>4027</v>
      </c>
      <c r="J532" s="86">
        <v>125</v>
      </c>
      <c r="L532" s="89">
        <v>2450</v>
      </c>
      <c r="M532" s="89">
        <v>3500</v>
      </c>
      <c r="N532" s="136">
        <f t="shared" si="21"/>
        <v>8.5749999999999993</v>
      </c>
      <c r="P532" s="90" t="s">
        <v>1132</v>
      </c>
      <c r="Q532" s="86" t="s">
        <v>3066</v>
      </c>
      <c r="R532" s="86" t="s">
        <v>4030</v>
      </c>
      <c r="S532" s="86" t="s">
        <v>2766</v>
      </c>
      <c r="T532" s="91">
        <v>0.75</v>
      </c>
      <c r="U532" s="92">
        <f>IF(T532="NA","-",IF(T532&gt;=1.5,15,IF(T532=0.75,10,"")))</f>
        <v>10</v>
      </c>
      <c r="V532" s="93">
        <v>1</v>
      </c>
      <c r="W532" s="94" t="s">
        <v>4065</v>
      </c>
      <c r="X532" s="86" t="s">
        <v>4037</v>
      </c>
      <c r="AB532" s="86" t="s">
        <v>2769</v>
      </c>
    </row>
    <row r="533" spans="1:29" x14ac:dyDescent="0.4">
      <c r="A533" s="102" t="s">
        <v>437</v>
      </c>
      <c r="B533" s="85" t="s">
        <v>816</v>
      </c>
      <c r="C533" s="84" t="s">
        <v>4253</v>
      </c>
      <c r="D533" s="143" t="s">
        <v>4154</v>
      </c>
      <c r="E533" s="145"/>
      <c r="I533" s="106" t="s">
        <v>4027</v>
      </c>
      <c r="J533" s="86">
        <v>125</v>
      </c>
      <c r="L533" s="100">
        <v>2500</v>
      </c>
      <c r="M533" s="100">
        <v>4000</v>
      </c>
      <c r="N533" s="136">
        <f t="shared" si="21"/>
        <v>10</v>
      </c>
      <c r="P533" s="90" t="s">
        <v>1132</v>
      </c>
      <c r="Q533" s="86" t="s">
        <v>3057</v>
      </c>
      <c r="R533" s="86"/>
      <c r="S533" s="86" t="s">
        <v>2766</v>
      </c>
      <c r="T533" s="91">
        <v>1.5</v>
      </c>
      <c r="U533" s="92">
        <v>15</v>
      </c>
      <c r="V533" s="93">
        <v>1</v>
      </c>
      <c r="AB533" s="86" t="s">
        <v>2769</v>
      </c>
      <c r="AC533" s="98" t="s">
        <v>2912</v>
      </c>
    </row>
    <row r="534" spans="1:29" x14ac:dyDescent="0.4">
      <c r="A534" s="102" t="s">
        <v>62</v>
      </c>
      <c r="B534" s="85" t="s">
        <v>595</v>
      </c>
      <c r="C534" s="84" t="s">
        <v>892</v>
      </c>
      <c r="E534" s="145"/>
      <c r="I534" s="106"/>
      <c r="L534" s="100">
        <v>4000</v>
      </c>
      <c r="M534" s="100">
        <v>4400</v>
      </c>
      <c r="N534" s="136">
        <f t="shared" si="21"/>
        <v>17.600000000000001</v>
      </c>
      <c r="Q534" s="86" t="s">
        <v>3054</v>
      </c>
      <c r="R534" s="86" t="s">
        <v>3069</v>
      </c>
      <c r="S534" s="86" t="s">
        <v>2768</v>
      </c>
      <c r="AC534" s="98" t="s">
        <v>3637</v>
      </c>
    </row>
    <row r="535" spans="1:29" x14ac:dyDescent="0.4">
      <c r="A535" s="102" t="s">
        <v>70</v>
      </c>
      <c r="B535" s="85" t="s">
        <v>596</v>
      </c>
      <c r="C535" s="84" t="s">
        <v>892</v>
      </c>
      <c r="E535" s="145"/>
      <c r="I535" s="106" t="s">
        <v>4027</v>
      </c>
      <c r="L535" s="100">
        <v>4000</v>
      </c>
      <c r="M535" s="100">
        <v>4200</v>
      </c>
      <c r="N535" s="136">
        <f t="shared" si="21"/>
        <v>16.8</v>
      </c>
      <c r="Q535" s="86" t="s">
        <v>3054</v>
      </c>
      <c r="R535" s="86" t="s">
        <v>3069</v>
      </c>
      <c r="S535" s="86" t="s">
        <v>2768</v>
      </c>
      <c r="AC535" s="98" t="s">
        <v>3623</v>
      </c>
    </row>
    <row r="536" spans="1:29" x14ac:dyDescent="0.4">
      <c r="A536" s="102" t="s">
        <v>60</v>
      </c>
      <c r="B536" s="85" t="s">
        <v>1437</v>
      </c>
      <c r="C536" s="84" t="s">
        <v>2882</v>
      </c>
      <c r="D536" s="143" t="s">
        <v>4298</v>
      </c>
      <c r="E536" s="145"/>
      <c r="H536" s="86">
        <v>2</v>
      </c>
      <c r="I536" s="106"/>
      <c r="L536" s="100">
        <v>2000</v>
      </c>
      <c r="M536" s="100">
        <v>2150</v>
      </c>
      <c r="N536" s="136">
        <f t="shared" si="21"/>
        <v>4.3</v>
      </c>
      <c r="P536" s="90" t="s">
        <v>3375</v>
      </c>
      <c r="Q536" s="86" t="s">
        <v>3063</v>
      </c>
      <c r="R536" s="86"/>
      <c r="S536" s="86" t="s">
        <v>2766</v>
      </c>
      <c r="Z536" s="87" t="s">
        <v>3051</v>
      </c>
      <c r="AC536" s="98" t="s">
        <v>3639</v>
      </c>
    </row>
    <row r="537" spans="1:29" x14ac:dyDescent="0.4">
      <c r="A537" s="102" t="s">
        <v>539</v>
      </c>
      <c r="B537" s="85" t="s">
        <v>2764</v>
      </c>
      <c r="C537" s="84" t="s">
        <v>2882</v>
      </c>
      <c r="D537" s="143" t="s">
        <v>4298</v>
      </c>
      <c r="E537" s="145" t="s">
        <v>4121</v>
      </c>
      <c r="H537" s="86">
        <v>1</v>
      </c>
      <c r="I537" s="106" t="s">
        <v>4027</v>
      </c>
      <c r="J537" s="86">
        <v>125</v>
      </c>
      <c r="L537" s="100">
        <v>1500</v>
      </c>
      <c r="M537" s="100">
        <v>2600</v>
      </c>
      <c r="N537" s="136">
        <f t="shared" si="21"/>
        <v>3.9</v>
      </c>
      <c r="P537" s="90" t="s">
        <v>1132</v>
      </c>
      <c r="Q537" s="86" t="s">
        <v>3053</v>
      </c>
      <c r="R537" s="86" t="s">
        <v>3054</v>
      </c>
      <c r="S537" s="86" t="s">
        <v>2766</v>
      </c>
      <c r="T537" s="91">
        <v>0.75</v>
      </c>
      <c r="U537" s="92">
        <v>10</v>
      </c>
      <c r="V537" s="93">
        <v>2</v>
      </c>
      <c r="W537" s="94" t="s">
        <v>3050</v>
      </c>
      <c r="AB537" s="86" t="s">
        <v>3047</v>
      </c>
      <c r="AC537" s="98" t="s">
        <v>3044</v>
      </c>
    </row>
    <row r="538" spans="1:29" x14ac:dyDescent="0.4">
      <c r="A538" s="102" t="s">
        <v>101</v>
      </c>
      <c r="B538" s="85" t="s">
        <v>620</v>
      </c>
      <c r="C538" s="84" t="s">
        <v>4254</v>
      </c>
      <c r="E538" s="145"/>
      <c r="I538" s="106"/>
      <c r="R538" s="86"/>
    </row>
    <row r="539" spans="1:29" x14ac:dyDescent="0.4">
      <c r="A539" s="102" t="s">
        <v>3497</v>
      </c>
      <c r="B539" s="85" t="s">
        <v>696</v>
      </c>
      <c r="C539" s="84" t="s">
        <v>3449</v>
      </c>
      <c r="E539" s="145"/>
      <c r="I539" s="106" t="s">
        <v>4027</v>
      </c>
      <c r="J539" s="86">
        <v>125</v>
      </c>
      <c r="L539" s="100">
        <v>3600</v>
      </c>
      <c r="M539" s="100">
        <v>4200</v>
      </c>
      <c r="N539" s="136">
        <f t="shared" ref="N539:N545" si="22">L539*M539/1000000</f>
        <v>15.12</v>
      </c>
      <c r="P539" s="63" t="s">
        <v>3177</v>
      </c>
      <c r="Q539" s="86" t="s">
        <v>3066</v>
      </c>
      <c r="R539" s="86"/>
      <c r="S539" s="86" t="s">
        <v>2766</v>
      </c>
      <c r="T539" s="91">
        <v>0.75</v>
      </c>
      <c r="V539" s="93">
        <v>0.5</v>
      </c>
      <c r="AB539" s="86" t="s">
        <v>2769</v>
      </c>
      <c r="AC539" s="98" t="s">
        <v>3468</v>
      </c>
    </row>
    <row r="540" spans="1:29" x14ac:dyDescent="0.4">
      <c r="A540" s="102" t="s">
        <v>3498</v>
      </c>
      <c r="B540" s="85" t="s">
        <v>696</v>
      </c>
      <c r="C540" s="84" t="s">
        <v>3449</v>
      </c>
      <c r="E540" s="145"/>
      <c r="I540" s="106" t="s">
        <v>4027</v>
      </c>
      <c r="J540" s="86">
        <v>125</v>
      </c>
      <c r="L540" s="100">
        <v>4000</v>
      </c>
      <c r="M540" s="100">
        <v>4200</v>
      </c>
      <c r="N540" s="136">
        <f t="shared" si="22"/>
        <v>16.8</v>
      </c>
      <c r="P540" s="63" t="s">
        <v>3177</v>
      </c>
      <c r="Q540" s="86" t="s">
        <v>3066</v>
      </c>
      <c r="R540" s="86"/>
      <c r="S540" s="86" t="s">
        <v>2766</v>
      </c>
      <c r="T540" s="91">
        <v>0.75</v>
      </c>
      <c r="V540" s="93">
        <v>0.5</v>
      </c>
      <c r="AB540" s="86" t="s">
        <v>2769</v>
      </c>
      <c r="AC540" s="98" t="s">
        <v>3499</v>
      </c>
    </row>
    <row r="541" spans="1:29" x14ac:dyDescent="0.4">
      <c r="A541" s="102" t="s">
        <v>3197</v>
      </c>
      <c r="B541" s="85" t="s">
        <v>754</v>
      </c>
      <c r="C541" s="84" t="s">
        <v>4255</v>
      </c>
      <c r="E541" s="145"/>
      <c r="I541" s="106" t="s">
        <v>4027</v>
      </c>
      <c r="J541" s="86">
        <v>125</v>
      </c>
      <c r="L541" s="100">
        <v>4000</v>
      </c>
      <c r="M541" s="100">
        <v>4200</v>
      </c>
      <c r="N541" s="136">
        <f t="shared" si="22"/>
        <v>16.8</v>
      </c>
      <c r="P541" s="63" t="s">
        <v>3177</v>
      </c>
      <c r="Q541" s="86" t="s">
        <v>3066</v>
      </c>
      <c r="R541" s="86"/>
      <c r="S541" s="86" t="s">
        <v>2768</v>
      </c>
      <c r="T541" s="91">
        <v>0.75</v>
      </c>
      <c r="V541" s="93">
        <v>0.5</v>
      </c>
      <c r="AB541" s="86" t="s">
        <v>2769</v>
      </c>
      <c r="AC541" s="98" t="s">
        <v>3265</v>
      </c>
    </row>
    <row r="542" spans="1:29" x14ac:dyDescent="0.4">
      <c r="A542" s="102" t="s">
        <v>3198</v>
      </c>
      <c r="B542" s="85" t="s">
        <v>754</v>
      </c>
      <c r="C542" s="84" t="s">
        <v>4255</v>
      </c>
      <c r="E542" s="145"/>
      <c r="I542" s="106" t="s">
        <v>4027</v>
      </c>
      <c r="J542" s="86">
        <v>125</v>
      </c>
      <c r="L542" s="100">
        <v>4000</v>
      </c>
      <c r="M542" s="100">
        <v>4200</v>
      </c>
      <c r="N542" s="136">
        <f t="shared" si="22"/>
        <v>16.8</v>
      </c>
      <c r="P542" s="63" t="s">
        <v>3177</v>
      </c>
      <c r="Q542" s="86" t="s">
        <v>3066</v>
      </c>
      <c r="R542" s="86"/>
      <c r="S542" s="86" t="s">
        <v>2766</v>
      </c>
      <c r="T542" s="91">
        <v>0.75</v>
      </c>
      <c r="V542" s="93">
        <v>0.5</v>
      </c>
      <c r="AB542" s="86" t="s">
        <v>2769</v>
      </c>
      <c r="AC542" s="98" t="s">
        <v>3266</v>
      </c>
    </row>
    <row r="543" spans="1:29" x14ac:dyDescent="0.4">
      <c r="A543" s="102" t="s">
        <v>3092</v>
      </c>
      <c r="B543" s="85" t="s">
        <v>791</v>
      </c>
      <c r="C543" s="84" t="s">
        <v>4382</v>
      </c>
      <c r="E543" s="145"/>
      <c r="I543" s="106" t="s">
        <v>4027</v>
      </c>
      <c r="J543" s="86">
        <v>125</v>
      </c>
      <c r="L543" s="100">
        <v>4000</v>
      </c>
      <c r="M543" s="100">
        <v>4600</v>
      </c>
      <c r="N543" s="136">
        <f t="shared" si="22"/>
        <v>18.399999999999999</v>
      </c>
      <c r="P543" s="63" t="s">
        <v>3177</v>
      </c>
      <c r="Q543" s="86" t="s">
        <v>3066</v>
      </c>
      <c r="R543" s="86" t="s">
        <v>3078</v>
      </c>
      <c r="S543" s="86" t="s">
        <v>2766</v>
      </c>
      <c r="T543" s="91">
        <v>1.5</v>
      </c>
      <c r="U543" s="92">
        <v>15</v>
      </c>
      <c r="V543" s="93">
        <v>1</v>
      </c>
      <c r="AB543" s="86" t="s">
        <v>2769</v>
      </c>
      <c r="AC543" s="98" t="s">
        <v>3004</v>
      </c>
    </row>
    <row r="544" spans="1:29" x14ac:dyDescent="0.4">
      <c r="A544" s="102" t="s">
        <v>3093</v>
      </c>
      <c r="B544" s="85" t="s">
        <v>791</v>
      </c>
      <c r="C544" s="84" t="s">
        <v>4382</v>
      </c>
      <c r="E544" s="145"/>
      <c r="I544" s="106" t="s">
        <v>4027</v>
      </c>
      <c r="J544" s="86">
        <v>125</v>
      </c>
      <c r="L544" s="100">
        <v>4000</v>
      </c>
      <c r="M544" s="100">
        <v>4600</v>
      </c>
      <c r="N544" s="136">
        <f t="shared" si="22"/>
        <v>18.399999999999999</v>
      </c>
      <c r="P544" s="63" t="s">
        <v>3177</v>
      </c>
      <c r="Q544" s="86" t="s">
        <v>3066</v>
      </c>
      <c r="R544" s="86" t="s">
        <v>3078</v>
      </c>
      <c r="S544" s="86" t="s">
        <v>2768</v>
      </c>
      <c r="T544" s="91">
        <v>1.5</v>
      </c>
      <c r="U544" s="92">
        <v>15</v>
      </c>
      <c r="V544" s="93">
        <v>1</v>
      </c>
      <c r="AB544" s="86" t="s">
        <v>2769</v>
      </c>
      <c r="AC544" s="98" t="s">
        <v>3094</v>
      </c>
    </row>
    <row r="545" spans="1:29" x14ac:dyDescent="0.4">
      <c r="A545" s="102" t="s">
        <v>400</v>
      </c>
      <c r="B545" s="85" t="s">
        <v>800</v>
      </c>
      <c r="C545" s="84" t="s">
        <v>4382</v>
      </c>
      <c r="I545" s="106" t="s">
        <v>1131</v>
      </c>
      <c r="J545" s="86">
        <v>150</v>
      </c>
      <c r="L545" s="100">
        <v>4200</v>
      </c>
      <c r="M545" s="100">
        <v>4650</v>
      </c>
      <c r="N545" s="136">
        <f t="shared" si="22"/>
        <v>19.53</v>
      </c>
      <c r="P545" s="90" t="s">
        <v>1132</v>
      </c>
      <c r="Q545" s="86" t="s">
        <v>3053</v>
      </c>
      <c r="R545" s="86"/>
      <c r="S545" s="86" t="s">
        <v>2766</v>
      </c>
      <c r="T545" s="91">
        <v>1.5</v>
      </c>
      <c r="U545" s="92">
        <v>15</v>
      </c>
      <c r="V545" s="93">
        <v>1.5</v>
      </c>
      <c r="AB545" s="86" t="s">
        <v>2769</v>
      </c>
      <c r="AC545" s="98" t="s">
        <v>2977</v>
      </c>
    </row>
    <row r="546" spans="1:29" x14ac:dyDescent="0.4">
      <c r="A546" s="102" t="s">
        <v>3512</v>
      </c>
      <c r="B546" s="85" t="s">
        <v>689</v>
      </c>
      <c r="C546" s="84" t="s">
        <v>3510</v>
      </c>
      <c r="E546" s="145"/>
      <c r="I546" s="106" t="s">
        <v>3028</v>
      </c>
      <c r="L546" s="89"/>
      <c r="M546" s="89"/>
      <c r="N546" s="89"/>
      <c r="R546" s="86"/>
      <c r="U546" s="85" t="s">
        <v>2453</v>
      </c>
      <c r="AC546" s="98" t="s">
        <v>2453</v>
      </c>
    </row>
    <row r="547" spans="1:29" x14ac:dyDescent="0.4">
      <c r="A547" s="102" t="s">
        <v>494</v>
      </c>
      <c r="B547" s="85" t="s">
        <v>2752</v>
      </c>
      <c r="C547" s="84" t="s">
        <v>2826</v>
      </c>
      <c r="E547" s="145"/>
      <c r="I547" s="106" t="s">
        <v>4027</v>
      </c>
      <c r="J547" s="86">
        <v>125</v>
      </c>
      <c r="L547" s="100">
        <v>2800</v>
      </c>
      <c r="M547" s="100">
        <v>4200</v>
      </c>
      <c r="N547" s="136">
        <f>L547*M547/1000000</f>
        <v>11.76</v>
      </c>
      <c r="P547" s="90" t="s">
        <v>1132</v>
      </c>
      <c r="Q547" s="86" t="s">
        <v>3053</v>
      </c>
      <c r="R547" s="86"/>
      <c r="S547" s="86" t="s">
        <v>2766</v>
      </c>
      <c r="T547" s="91">
        <v>0.75</v>
      </c>
      <c r="U547" s="92">
        <v>10</v>
      </c>
      <c r="V547" s="93">
        <v>1</v>
      </c>
      <c r="W547" s="94" t="s">
        <v>3050</v>
      </c>
      <c r="Z547" s="99" t="s">
        <v>3051</v>
      </c>
      <c r="AC547" s="98" t="s">
        <v>2824</v>
      </c>
    </row>
    <row r="548" spans="1:29" x14ac:dyDescent="0.4">
      <c r="A548" s="102" t="s">
        <v>56</v>
      </c>
      <c r="B548" s="85" t="s">
        <v>592</v>
      </c>
      <c r="C548" s="84" t="s">
        <v>891</v>
      </c>
      <c r="E548" s="145"/>
      <c r="I548" s="106" t="s">
        <v>4027</v>
      </c>
      <c r="L548" s="100">
        <v>4800</v>
      </c>
      <c r="M548" s="100">
        <v>2800</v>
      </c>
      <c r="N548" s="136">
        <f>L548*M548/1000000</f>
        <v>13.44</v>
      </c>
      <c r="R548" s="86"/>
      <c r="S548" s="86" t="s">
        <v>2768</v>
      </c>
      <c r="AC548" s="98" t="s">
        <v>3641</v>
      </c>
    </row>
    <row r="549" spans="1:29" x14ac:dyDescent="0.4">
      <c r="A549" s="102" t="s">
        <v>72</v>
      </c>
      <c r="B549" s="85" t="s">
        <v>1473</v>
      </c>
      <c r="C549" s="84" t="s">
        <v>4348</v>
      </c>
      <c r="D549" s="143" t="s">
        <v>4349</v>
      </c>
      <c r="E549" s="145"/>
      <c r="I549" s="106" t="s">
        <v>4027</v>
      </c>
      <c r="L549" s="100">
        <v>2500</v>
      </c>
      <c r="M549" s="100">
        <v>3000</v>
      </c>
      <c r="N549" s="136">
        <f>L549*M549/1000000</f>
        <v>7.5</v>
      </c>
      <c r="R549" s="86"/>
      <c r="S549" s="86" t="s">
        <v>2768</v>
      </c>
      <c r="AC549" s="98" t="s">
        <v>3622</v>
      </c>
    </row>
    <row r="550" spans="1:29" x14ac:dyDescent="0.4">
      <c r="A550" s="102" t="s">
        <v>114</v>
      </c>
      <c r="B550" s="85" t="s">
        <v>1683</v>
      </c>
      <c r="C550" s="84" t="s">
        <v>4348</v>
      </c>
      <c r="D550" s="143" t="s">
        <v>4349</v>
      </c>
      <c r="E550" s="145"/>
      <c r="I550" s="106" t="s">
        <v>3028</v>
      </c>
      <c r="R550" s="86"/>
      <c r="AC550" s="98" t="s">
        <v>1138</v>
      </c>
    </row>
    <row r="551" spans="1:29" x14ac:dyDescent="0.4">
      <c r="A551" s="102" t="s">
        <v>143</v>
      </c>
      <c r="B551" s="85" t="s">
        <v>633</v>
      </c>
      <c r="C551" s="84" t="s">
        <v>4348</v>
      </c>
      <c r="D551" s="143" t="s">
        <v>4349</v>
      </c>
      <c r="E551" s="145"/>
      <c r="I551" s="106"/>
      <c r="R551" s="86"/>
    </row>
    <row r="552" spans="1:29" x14ac:dyDescent="0.4">
      <c r="A552" s="102" t="s">
        <v>1161</v>
      </c>
      <c r="B552" s="85" t="s">
        <v>2706</v>
      </c>
      <c r="C552" s="84" t="s">
        <v>4348</v>
      </c>
      <c r="D552" s="143" t="s">
        <v>4349</v>
      </c>
      <c r="E552" s="145"/>
      <c r="I552" s="106" t="s">
        <v>4027</v>
      </c>
      <c r="J552" s="86">
        <v>125</v>
      </c>
      <c r="L552" s="100">
        <v>3870</v>
      </c>
      <c r="M552" s="100">
        <v>3000</v>
      </c>
      <c r="N552" s="136">
        <f>L552*M552/1000000</f>
        <v>11.61</v>
      </c>
      <c r="R552" s="86"/>
      <c r="AC552" s="98" t="s">
        <v>3273</v>
      </c>
    </row>
    <row r="553" spans="1:29" x14ac:dyDescent="0.4">
      <c r="A553" s="102" t="s">
        <v>1175</v>
      </c>
      <c r="B553" s="85" t="s">
        <v>744</v>
      </c>
      <c r="C553" s="84" t="s">
        <v>4348</v>
      </c>
      <c r="D553" s="143" t="s">
        <v>4349</v>
      </c>
      <c r="E553" s="145"/>
      <c r="H553" s="86">
        <v>3</v>
      </c>
      <c r="I553" s="106" t="s">
        <v>2765</v>
      </c>
      <c r="J553" s="86">
        <v>125</v>
      </c>
      <c r="R553" s="86"/>
      <c r="AC553" s="98" t="s">
        <v>2622</v>
      </c>
    </row>
    <row r="554" spans="1:29" x14ac:dyDescent="0.4">
      <c r="A554" s="102" t="s">
        <v>1176</v>
      </c>
      <c r="B554" s="85" t="s">
        <v>744</v>
      </c>
      <c r="C554" s="84" t="s">
        <v>4348</v>
      </c>
      <c r="D554" s="143" t="s">
        <v>4349</v>
      </c>
      <c r="E554" s="145"/>
      <c r="H554" s="86">
        <v>2</v>
      </c>
      <c r="I554" s="106" t="s">
        <v>4027</v>
      </c>
      <c r="J554" s="86">
        <v>125</v>
      </c>
      <c r="L554" s="100">
        <v>2500</v>
      </c>
      <c r="M554" s="100">
        <v>3200</v>
      </c>
      <c r="N554" s="136">
        <f>L554*M554/1000000</f>
        <v>8</v>
      </c>
      <c r="R554" s="86"/>
      <c r="AC554" s="98" t="s">
        <v>3224</v>
      </c>
    </row>
    <row r="555" spans="1:29" x14ac:dyDescent="0.4">
      <c r="A555" s="102" t="s">
        <v>1181</v>
      </c>
      <c r="B555" s="85" t="s">
        <v>748</v>
      </c>
      <c r="C555" s="84" t="s">
        <v>4348</v>
      </c>
      <c r="D555" s="143" t="s">
        <v>4349</v>
      </c>
      <c r="E555" s="145"/>
      <c r="I555" s="106" t="s">
        <v>3028</v>
      </c>
      <c r="R555" s="86"/>
      <c r="U555" s="92" t="s">
        <v>3194</v>
      </c>
      <c r="AC555" s="98" t="s">
        <v>2634</v>
      </c>
    </row>
    <row r="556" spans="1:29" ht="26.25" x14ac:dyDescent="0.4">
      <c r="A556" s="102" t="s">
        <v>319</v>
      </c>
      <c r="B556" s="85" t="s">
        <v>2712</v>
      </c>
      <c r="C556" s="84" t="s">
        <v>4348</v>
      </c>
      <c r="D556" s="143" t="s">
        <v>4349</v>
      </c>
      <c r="E556" s="145"/>
      <c r="I556" s="106" t="s">
        <v>4027</v>
      </c>
      <c r="J556" s="86">
        <v>125</v>
      </c>
      <c r="L556" s="100">
        <v>2500</v>
      </c>
      <c r="M556" s="100">
        <v>3000</v>
      </c>
      <c r="N556" s="136">
        <f t="shared" ref="N556:N573" si="23">L556*M556/1000000</f>
        <v>7.5</v>
      </c>
      <c r="R556" s="86"/>
      <c r="T556" s="91">
        <v>0.75</v>
      </c>
      <c r="X556" s="110"/>
      <c r="AA556" s="111" t="s">
        <v>3219</v>
      </c>
      <c r="AB556" s="110"/>
      <c r="AC556" s="98" t="s">
        <v>3262</v>
      </c>
    </row>
    <row r="557" spans="1:29" x14ac:dyDescent="0.4">
      <c r="A557" s="102" t="s">
        <v>394</v>
      </c>
      <c r="B557" s="85" t="s">
        <v>798</v>
      </c>
      <c r="C557" s="84" t="s">
        <v>4348</v>
      </c>
      <c r="D557" s="143" t="s">
        <v>4349</v>
      </c>
      <c r="E557" s="145"/>
      <c r="I557" s="106" t="s">
        <v>4027</v>
      </c>
      <c r="J557" s="86">
        <v>125</v>
      </c>
      <c r="L557" s="100">
        <v>2250</v>
      </c>
      <c r="M557" s="100">
        <v>3000</v>
      </c>
      <c r="N557" s="136">
        <f t="shared" si="23"/>
        <v>6.75</v>
      </c>
      <c r="P557" s="90" t="s">
        <v>1132</v>
      </c>
      <c r="Q557" s="86" t="s">
        <v>3053</v>
      </c>
      <c r="R557" s="86"/>
      <c r="S557" s="86" t="s">
        <v>2768</v>
      </c>
      <c r="T557" s="91">
        <v>1.5</v>
      </c>
      <c r="U557" s="92">
        <v>10</v>
      </c>
      <c r="W557" s="94" t="s">
        <v>3076</v>
      </c>
      <c r="AA557" s="99" t="s">
        <v>3052</v>
      </c>
      <c r="AC557" s="98" t="s">
        <v>3926</v>
      </c>
    </row>
    <row r="558" spans="1:29" x14ac:dyDescent="0.4">
      <c r="A558" s="102" t="s">
        <v>415</v>
      </c>
      <c r="B558" s="85" t="s">
        <v>2734</v>
      </c>
      <c r="C558" s="84" t="s">
        <v>4348</v>
      </c>
      <c r="D558" s="143" t="s">
        <v>4349</v>
      </c>
      <c r="E558" s="145"/>
      <c r="I558" s="106" t="s">
        <v>4027</v>
      </c>
      <c r="J558" s="86">
        <v>125</v>
      </c>
      <c r="L558" s="100">
        <v>3000</v>
      </c>
      <c r="M558" s="100">
        <v>3150</v>
      </c>
      <c r="N558" s="136">
        <f t="shared" si="23"/>
        <v>9.4499999999999993</v>
      </c>
      <c r="Q558" s="86" t="s">
        <v>3053</v>
      </c>
      <c r="R558" s="86" t="s">
        <v>3077</v>
      </c>
      <c r="S558" s="86" t="s">
        <v>2768</v>
      </c>
      <c r="T558" s="91">
        <v>0.75</v>
      </c>
      <c r="U558" s="92">
        <v>10</v>
      </c>
      <c r="AB558" s="86" t="s">
        <v>2769</v>
      </c>
      <c r="AC558" s="98" t="s">
        <v>3924</v>
      </c>
    </row>
    <row r="559" spans="1:29" x14ac:dyDescent="0.4">
      <c r="A559" s="102" t="s">
        <v>461</v>
      </c>
      <c r="B559" s="85" t="s">
        <v>2744</v>
      </c>
      <c r="C559" s="84" t="s">
        <v>4005</v>
      </c>
      <c r="D559" s="143" t="s">
        <v>4120</v>
      </c>
      <c r="E559" s="145"/>
      <c r="I559" s="106" t="s">
        <v>4027</v>
      </c>
      <c r="J559" s="86">
        <v>125</v>
      </c>
      <c r="L559" s="100">
        <v>2000</v>
      </c>
      <c r="M559" s="100">
        <v>3850</v>
      </c>
      <c r="N559" s="136">
        <f t="shared" si="23"/>
        <v>7.7</v>
      </c>
      <c r="P559" s="90" t="s">
        <v>1132</v>
      </c>
      <c r="Q559" s="86" t="s">
        <v>3053</v>
      </c>
      <c r="R559" s="86"/>
      <c r="S559" s="86" t="s">
        <v>2768</v>
      </c>
      <c r="T559" s="91">
        <v>0.75</v>
      </c>
      <c r="U559" s="92">
        <v>10</v>
      </c>
      <c r="V559" s="93">
        <v>1</v>
      </c>
      <c r="W559" s="94" t="s">
        <v>3050</v>
      </c>
      <c r="Z559" s="99" t="s">
        <v>3051</v>
      </c>
      <c r="AB559" s="86" t="s">
        <v>2769</v>
      </c>
      <c r="AC559" s="98" t="s">
        <v>2869</v>
      </c>
    </row>
    <row r="560" spans="1:29" x14ac:dyDescent="0.4">
      <c r="A560" s="83" t="s">
        <v>4006</v>
      </c>
      <c r="B560" s="64" t="s">
        <v>4004</v>
      </c>
      <c r="C560" s="84" t="s">
        <v>4005</v>
      </c>
      <c r="D560" s="143" t="s">
        <v>4120</v>
      </c>
      <c r="E560" s="145"/>
      <c r="H560" s="86">
        <v>1</v>
      </c>
      <c r="I560" s="106" t="s">
        <v>4027</v>
      </c>
      <c r="J560" s="86">
        <v>125</v>
      </c>
      <c r="L560" s="89">
        <v>3000</v>
      </c>
      <c r="M560" s="89">
        <v>2600</v>
      </c>
      <c r="N560" s="136">
        <f t="shared" si="23"/>
        <v>7.8</v>
      </c>
      <c r="P560" s="90" t="s">
        <v>1132</v>
      </c>
      <c r="Q560" s="86" t="s">
        <v>4008</v>
      </c>
      <c r="R560" s="86" t="s">
        <v>3054</v>
      </c>
      <c r="S560" s="86" t="s">
        <v>2766</v>
      </c>
      <c r="T560" s="91">
        <v>0.75</v>
      </c>
      <c r="U560" s="92">
        <v>10</v>
      </c>
      <c r="V560" s="93">
        <v>0</v>
      </c>
      <c r="W560" s="94" t="s">
        <v>3050</v>
      </c>
      <c r="X560" s="101" t="s">
        <v>4037</v>
      </c>
      <c r="Z560" s="99" t="s">
        <v>3051</v>
      </c>
      <c r="AB560" s="86" t="s">
        <v>2769</v>
      </c>
    </row>
    <row r="561" spans="1:29" x14ac:dyDescent="0.4">
      <c r="A561" s="83" t="s">
        <v>4007</v>
      </c>
      <c r="B561" s="64" t="s">
        <v>4004</v>
      </c>
      <c r="C561" s="84" t="s">
        <v>4005</v>
      </c>
      <c r="D561" s="143" t="s">
        <v>4120</v>
      </c>
      <c r="E561" s="145"/>
      <c r="H561" s="86">
        <v>1</v>
      </c>
      <c r="I561" s="106" t="s">
        <v>4027</v>
      </c>
      <c r="J561" s="86">
        <v>125</v>
      </c>
      <c r="L561" s="89">
        <v>3000</v>
      </c>
      <c r="M561" s="89">
        <v>3000</v>
      </c>
      <c r="N561" s="136">
        <f t="shared" si="23"/>
        <v>9</v>
      </c>
      <c r="P561" s="90" t="s">
        <v>1132</v>
      </c>
      <c r="Q561" s="86" t="s">
        <v>4009</v>
      </c>
      <c r="R561" s="86" t="s">
        <v>3054</v>
      </c>
      <c r="S561" s="86" t="s">
        <v>2766</v>
      </c>
      <c r="T561" s="91">
        <v>0.75</v>
      </c>
      <c r="U561" s="92">
        <v>10</v>
      </c>
      <c r="V561" s="93">
        <v>0</v>
      </c>
      <c r="W561" s="94" t="s">
        <v>3050</v>
      </c>
      <c r="X561" s="101" t="s">
        <v>4037</v>
      </c>
      <c r="Z561" s="99" t="s">
        <v>3051</v>
      </c>
      <c r="AB561" s="86" t="s">
        <v>2769</v>
      </c>
    </row>
    <row r="562" spans="1:29" x14ac:dyDescent="0.4">
      <c r="A562" s="83" t="s">
        <v>4067</v>
      </c>
      <c r="B562" s="64" t="s">
        <v>4070</v>
      </c>
      <c r="C562" s="84" t="s">
        <v>4005</v>
      </c>
      <c r="D562" s="143" t="s">
        <v>4120</v>
      </c>
      <c r="E562" s="145"/>
      <c r="H562" s="86">
        <v>1</v>
      </c>
      <c r="I562" s="106" t="s">
        <v>4027</v>
      </c>
      <c r="J562" s="86">
        <v>125</v>
      </c>
      <c r="L562" s="89">
        <v>2000</v>
      </c>
      <c r="M562" s="89">
        <v>3100</v>
      </c>
      <c r="N562" s="136">
        <f t="shared" si="23"/>
        <v>6.2</v>
      </c>
      <c r="P562" s="90" t="s">
        <v>1132</v>
      </c>
      <c r="Q562" s="86" t="s">
        <v>4009</v>
      </c>
      <c r="R562" s="86" t="s">
        <v>4030</v>
      </c>
      <c r="S562" s="86" t="s">
        <v>2768</v>
      </c>
      <c r="T562" s="91">
        <v>0.75</v>
      </c>
      <c r="U562" s="92">
        <f>IF(T562="NA","-",IF(T562&gt;=1.5,15,IF(T562=0.75,10,"")))</f>
        <v>10</v>
      </c>
      <c r="V562" s="93">
        <v>1</v>
      </c>
      <c r="W562" s="94" t="s">
        <v>4064</v>
      </c>
      <c r="X562" s="86" t="s">
        <v>4037</v>
      </c>
      <c r="Y562" s="99" t="s">
        <v>3046</v>
      </c>
      <c r="AB562" s="86" t="s">
        <v>2769</v>
      </c>
      <c r="AC562" s="98" t="s">
        <v>4072</v>
      </c>
    </row>
    <row r="563" spans="1:29" x14ac:dyDescent="0.4">
      <c r="A563" s="102" t="s">
        <v>4103</v>
      </c>
      <c r="B563" s="85" t="s">
        <v>700</v>
      </c>
      <c r="C563" s="84" t="s">
        <v>3424</v>
      </c>
      <c r="D563" s="143" t="s">
        <v>4352</v>
      </c>
      <c r="E563" s="145"/>
      <c r="I563" s="106" t="s">
        <v>4027</v>
      </c>
      <c r="J563" s="86">
        <v>125</v>
      </c>
      <c r="L563" s="100">
        <v>3000</v>
      </c>
      <c r="M563" s="100">
        <v>4650</v>
      </c>
      <c r="N563" s="136">
        <f t="shared" si="23"/>
        <v>13.95</v>
      </c>
      <c r="P563" s="63" t="s">
        <v>3177</v>
      </c>
      <c r="Q563" s="86" t="s">
        <v>3148</v>
      </c>
      <c r="R563" s="86" t="s">
        <v>3078</v>
      </c>
      <c r="S563" s="86" t="s">
        <v>2768</v>
      </c>
      <c r="T563" s="91">
        <v>0.75</v>
      </c>
      <c r="Z563" s="87" t="s">
        <v>3051</v>
      </c>
      <c r="AC563" s="98" t="s">
        <v>3293</v>
      </c>
    </row>
    <row r="564" spans="1:29" x14ac:dyDescent="0.4">
      <c r="A564" s="102" t="s">
        <v>4104</v>
      </c>
      <c r="B564" s="85" t="s">
        <v>700</v>
      </c>
      <c r="C564" s="84" t="s">
        <v>3424</v>
      </c>
      <c r="D564" s="143" t="s">
        <v>4352</v>
      </c>
      <c r="E564" s="145"/>
      <c r="I564" s="106" t="s">
        <v>4027</v>
      </c>
      <c r="J564" s="86">
        <v>125</v>
      </c>
      <c r="L564" s="100">
        <v>3000</v>
      </c>
      <c r="M564" s="100">
        <v>4650</v>
      </c>
      <c r="N564" s="136">
        <f t="shared" si="23"/>
        <v>13.95</v>
      </c>
      <c r="P564" s="63" t="s">
        <v>3177</v>
      </c>
      <c r="Q564" s="86" t="s">
        <v>3148</v>
      </c>
      <c r="R564" s="86" t="s">
        <v>3078</v>
      </c>
      <c r="S564" s="86" t="s">
        <v>2766</v>
      </c>
      <c r="T564" s="91">
        <v>0.75</v>
      </c>
      <c r="Z564" s="87" t="s">
        <v>3051</v>
      </c>
      <c r="AC564" s="98" t="s">
        <v>3293</v>
      </c>
    </row>
    <row r="565" spans="1:29" x14ac:dyDescent="0.4">
      <c r="A565" s="83" t="s">
        <v>4020</v>
      </c>
      <c r="B565" s="64" t="s">
        <v>4018</v>
      </c>
      <c r="C565" s="104" t="s">
        <v>4019</v>
      </c>
      <c r="D565" s="143" t="s">
        <v>4293</v>
      </c>
      <c r="E565" s="145"/>
      <c r="F565" s="143" t="s">
        <v>3826</v>
      </c>
      <c r="H565" s="86">
        <v>1</v>
      </c>
      <c r="I565" s="106" t="s">
        <v>4027</v>
      </c>
      <c r="J565" s="86">
        <v>125</v>
      </c>
      <c r="L565" s="100">
        <v>3600</v>
      </c>
      <c r="M565" s="100">
        <v>4850</v>
      </c>
      <c r="N565" s="136">
        <f t="shared" si="23"/>
        <v>17.46</v>
      </c>
      <c r="P565" s="90" t="s">
        <v>1132</v>
      </c>
      <c r="Q565" s="86" t="s">
        <v>4021</v>
      </c>
      <c r="R565" s="86" t="s">
        <v>3054</v>
      </c>
      <c r="S565" s="86" t="s">
        <v>2768</v>
      </c>
      <c r="T565" s="91">
        <v>0.75</v>
      </c>
      <c r="U565" s="92">
        <v>10</v>
      </c>
      <c r="V565" s="93">
        <v>2</v>
      </c>
      <c r="W565" s="94" t="s">
        <v>3050</v>
      </c>
      <c r="X565" s="86" t="s">
        <v>4038</v>
      </c>
      <c r="Y565" s="99" t="s">
        <v>3046</v>
      </c>
      <c r="AB565" s="86" t="s">
        <v>2769</v>
      </c>
    </row>
    <row r="566" spans="1:29" x14ac:dyDescent="0.4">
      <c r="A566" s="83" t="s">
        <v>4023</v>
      </c>
      <c r="B566" s="64" t="s">
        <v>4018</v>
      </c>
      <c r="C566" s="104" t="s">
        <v>4019</v>
      </c>
      <c r="D566" s="143" t="s">
        <v>4293</v>
      </c>
      <c r="E566" s="145"/>
      <c r="H566" s="86">
        <v>1</v>
      </c>
      <c r="I566" s="106" t="s">
        <v>4027</v>
      </c>
      <c r="J566" s="86">
        <v>125</v>
      </c>
      <c r="L566" s="100">
        <v>3600</v>
      </c>
      <c r="M566" s="100">
        <v>4850</v>
      </c>
      <c r="N566" s="136">
        <f t="shared" si="23"/>
        <v>17.46</v>
      </c>
      <c r="P566" s="90" t="s">
        <v>1132</v>
      </c>
      <c r="Q566" s="86" t="s">
        <v>4022</v>
      </c>
      <c r="R566" s="86" t="s">
        <v>3054</v>
      </c>
      <c r="S566" s="86" t="s">
        <v>2768</v>
      </c>
      <c r="T566" s="91">
        <v>0.75</v>
      </c>
      <c r="U566" s="92">
        <v>10</v>
      </c>
      <c r="V566" s="93">
        <v>6</v>
      </c>
      <c r="W566" s="94" t="s">
        <v>3050</v>
      </c>
      <c r="X566" s="86" t="s">
        <v>4038</v>
      </c>
      <c r="Y566" s="99" t="s">
        <v>3046</v>
      </c>
      <c r="AB566" s="86" t="s">
        <v>2769</v>
      </c>
    </row>
    <row r="567" spans="1:29" x14ac:dyDescent="0.4">
      <c r="A567" s="83" t="s">
        <v>4193</v>
      </c>
      <c r="B567" s="64" t="s">
        <v>4205</v>
      </c>
      <c r="C567" s="84" t="s">
        <v>4206</v>
      </c>
      <c r="D567" s="143" t="s">
        <v>4293</v>
      </c>
      <c r="H567" s="86">
        <v>1</v>
      </c>
      <c r="I567" s="106" t="s">
        <v>4027</v>
      </c>
      <c r="J567" s="86">
        <v>125</v>
      </c>
      <c r="L567" s="89">
        <v>1800</v>
      </c>
      <c r="M567" s="89">
        <v>2400</v>
      </c>
      <c r="N567" s="136">
        <f t="shared" si="23"/>
        <v>4.32</v>
      </c>
      <c r="P567" s="90" t="s">
        <v>1132</v>
      </c>
      <c r="Q567" s="86" t="s">
        <v>3053</v>
      </c>
      <c r="R567" s="86" t="s">
        <v>4030</v>
      </c>
      <c r="S567" s="86" t="s">
        <v>2768</v>
      </c>
      <c r="T567" s="91">
        <v>0.75</v>
      </c>
      <c r="U567" s="92">
        <f>IF(T567="NA","-",IF(T567&gt;=1.5,15,IF(T567=0.75,10,"")))</f>
        <v>10</v>
      </c>
      <c r="V567" s="93">
        <v>1</v>
      </c>
      <c r="W567" s="94" t="s">
        <v>4065</v>
      </c>
      <c r="X567" s="86" t="s">
        <v>4037</v>
      </c>
      <c r="AB567" s="86" t="s">
        <v>2769</v>
      </c>
    </row>
    <row r="568" spans="1:29" x14ac:dyDescent="0.4">
      <c r="A568" s="102" t="s">
        <v>3901</v>
      </c>
      <c r="B568" s="85" t="s">
        <v>568</v>
      </c>
      <c r="C568" s="84" t="s">
        <v>1204</v>
      </c>
      <c r="D568" s="143" t="s">
        <v>4352</v>
      </c>
      <c r="E568" s="145"/>
      <c r="H568" s="86">
        <v>4</v>
      </c>
      <c r="I568" s="106" t="s">
        <v>4027</v>
      </c>
      <c r="L568" s="100">
        <v>3000</v>
      </c>
      <c r="M568" s="100">
        <v>4000</v>
      </c>
      <c r="N568" s="136">
        <f t="shared" si="23"/>
        <v>12</v>
      </c>
      <c r="R568" s="86"/>
      <c r="AC568" s="98" t="s">
        <v>3903</v>
      </c>
    </row>
    <row r="569" spans="1:29" x14ac:dyDescent="0.4">
      <c r="A569" s="102" t="s">
        <v>3902</v>
      </c>
      <c r="B569" s="85" t="s">
        <v>568</v>
      </c>
      <c r="C569" s="84" t="s">
        <v>1204</v>
      </c>
      <c r="D569" s="143" t="s">
        <v>4352</v>
      </c>
      <c r="E569" s="145"/>
      <c r="I569" s="106" t="s">
        <v>4027</v>
      </c>
      <c r="L569" s="100">
        <v>3600</v>
      </c>
      <c r="M569" s="100">
        <v>4000</v>
      </c>
      <c r="N569" s="136">
        <f t="shared" si="23"/>
        <v>14.4</v>
      </c>
      <c r="R569" s="86"/>
      <c r="AC569" s="98" t="s">
        <v>3904</v>
      </c>
    </row>
    <row r="570" spans="1:29" x14ac:dyDescent="0.4">
      <c r="A570" s="102" t="s">
        <v>3688</v>
      </c>
      <c r="B570" s="85" t="s">
        <v>674</v>
      </c>
      <c r="C570" s="84" t="s">
        <v>3465</v>
      </c>
      <c r="D570" s="143" t="s">
        <v>4352</v>
      </c>
      <c r="E570" s="145"/>
      <c r="H570" s="86">
        <v>2</v>
      </c>
      <c r="I570" s="106" t="s">
        <v>4027</v>
      </c>
      <c r="J570" s="86">
        <v>125</v>
      </c>
      <c r="L570" s="100">
        <v>3000</v>
      </c>
      <c r="M570" s="100">
        <v>4650</v>
      </c>
      <c r="N570" s="136">
        <f t="shared" si="23"/>
        <v>13.95</v>
      </c>
      <c r="P570" s="63" t="s">
        <v>3177</v>
      </c>
      <c r="Q570" s="86" t="s">
        <v>3148</v>
      </c>
      <c r="R570" s="86" t="s">
        <v>3054</v>
      </c>
      <c r="S570" s="86" t="s">
        <v>2768</v>
      </c>
      <c r="T570" s="91">
        <v>0.75</v>
      </c>
      <c r="Z570" s="87" t="s">
        <v>3051</v>
      </c>
      <c r="AC570" s="98" t="s">
        <v>3686</v>
      </c>
    </row>
    <row r="571" spans="1:29" x14ac:dyDescent="0.4">
      <c r="A571" s="102" t="s">
        <v>3689</v>
      </c>
      <c r="B571" s="85" t="s">
        <v>674</v>
      </c>
      <c r="C571" s="84" t="s">
        <v>3465</v>
      </c>
      <c r="D571" s="143" t="s">
        <v>4352</v>
      </c>
      <c r="E571" s="145"/>
      <c r="H571" s="86">
        <v>2</v>
      </c>
      <c r="I571" s="106" t="s">
        <v>4027</v>
      </c>
      <c r="J571" s="86">
        <v>125</v>
      </c>
      <c r="L571" s="100">
        <v>3000</v>
      </c>
      <c r="M571" s="100">
        <v>4650</v>
      </c>
      <c r="N571" s="136">
        <f t="shared" si="23"/>
        <v>13.95</v>
      </c>
      <c r="P571" s="63" t="s">
        <v>3177</v>
      </c>
      <c r="Q571" s="86" t="s">
        <v>3148</v>
      </c>
      <c r="R571" s="86" t="s">
        <v>3054</v>
      </c>
      <c r="S571" s="86" t="s">
        <v>2766</v>
      </c>
      <c r="T571" s="91">
        <v>0.75</v>
      </c>
      <c r="Z571" s="87" t="s">
        <v>3051</v>
      </c>
      <c r="AC571" s="98" t="s">
        <v>3687</v>
      </c>
    </row>
    <row r="572" spans="1:29" x14ac:dyDescent="0.4">
      <c r="A572" s="102" t="s">
        <v>3690</v>
      </c>
      <c r="B572" s="85" t="s">
        <v>674</v>
      </c>
      <c r="C572" s="84" t="s">
        <v>3465</v>
      </c>
      <c r="D572" s="143" t="s">
        <v>4352</v>
      </c>
      <c r="E572" s="145"/>
      <c r="I572" s="106" t="s">
        <v>2765</v>
      </c>
      <c r="L572" s="100">
        <v>3000</v>
      </c>
      <c r="M572" s="100">
        <v>4650</v>
      </c>
      <c r="N572" s="136">
        <f t="shared" si="23"/>
        <v>13.95</v>
      </c>
      <c r="P572" s="63" t="s">
        <v>3177</v>
      </c>
      <c r="Q572" s="86" t="s">
        <v>3148</v>
      </c>
      <c r="R572" s="86" t="s">
        <v>3054</v>
      </c>
      <c r="S572" s="86" t="s">
        <v>2766</v>
      </c>
      <c r="T572" s="91">
        <v>0.75</v>
      </c>
      <c r="Z572" s="87" t="s">
        <v>3051</v>
      </c>
      <c r="AC572" s="98" t="s">
        <v>3691</v>
      </c>
    </row>
    <row r="573" spans="1:29" x14ac:dyDescent="0.4">
      <c r="A573" s="102" t="s">
        <v>59</v>
      </c>
      <c r="B573" s="85" t="s">
        <v>594</v>
      </c>
      <c r="C573" s="84" t="s">
        <v>4256</v>
      </c>
      <c r="E573" s="145"/>
      <c r="I573" s="106"/>
      <c r="L573" s="100">
        <v>2450</v>
      </c>
      <c r="M573" s="100">
        <v>3600</v>
      </c>
      <c r="N573" s="136">
        <f t="shared" si="23"/>
        <v>8.82</v>
      </c>
      <c r="R573" s="86"/>
      <c r="S573" s="86" t="s">
        <v>2766</v>
      </c>
      <c r="AC573" s="98" t="s">
        <v>3640</v>
      </c>
    </row>
    <row r="574" spans="1:29" x14ac:dyDescent="0.4">
      <c r="A574" s="102" t="s">
        <v>18</v>
      </c>
      <c r="B574" s="85" t="s">
        <v>571</v>
      </c>
      <c r="C574" s="84" t="s">
        <v>871</v>
      </c>
      <c r="E574" s="145"/>
      <c r="I574" s="106" t="s">
        <v>2998</v>
      </c>
      <c r="R574" s="86"/>
      <c r="AC574" s="98" t="s">
        <v>1120</v>
      </c>
    </row>
    <row r="575" spans="1:29" x14ac:dyDescent="0.4">
      <c r="A575" s="102" t="s">
        <v>1213</v>
      </c>
      <c r="B575" s="85" t="s">
        <v>1214</v>
      </c>
      <c r="C575" s="84" t="s">
        <v>871</v>
      </c>
      <c r="E575" s="145"/>
      <c r="I575" s="106" t="s">
        <v>4027</v>
      </c>
      <c r="L575" s="100">
        <v>3000</v>
      </c>
      <c r="M575" s="100">
        <v>3800</v>
      </c>
      <c r="N575" s="136">
        <f>L575*M575/1000000</f>
        <v>11.4</v>
      </c>
      <c r="R575" s="86"/>
      <c r="AC575" s="98" t="s">
        <v>3674</v>
      </c>
    </row>
    <row r="576" spans="1:29" x14ac:dyDescent="0.4">
      <c r="A576" s="102" t="s">
        <v>1562</v>
      </c>
      <c r="B576" s="85" t="s">
        <v>1452</v>
      </c>
      <c r="C576" s="84" t="s">
        <v>3837</v>
      </c>
      <c r="E576" s="145"/>
      <c r="I576" s="106" t="s">
        <v>2998</v>
      </c>
      <c r="L576" s="100">
        <v>5100</v>
      </c>
      <c r="M576" s="100">
        <v>5000</v>
      </c>
      <c r="N576" s="136">
        <f>L576*M576/1000000</f>
        <v>25.5</v>
      </c>
      <c r="R576" s="86"/>
      <c r="AC576" s="98" t="s">
        <v>1560</v>
      </c>
    </row>
    <row r="577" spans="1:29" x14ac:dyDescent="0.4">
      <c r="A577" s="102" t="s">
        <v>1563</v>
      </c>
      <c r="B577" s="85" t="s">
        <v>1452</v>
      </c>
      <c r="C577" s="84" t="s">
        <v>3837</v>
      </c>
      <c r="E577" s="145"/>
      <c r="I577" s="106" t="s">
        <v>2998</v>
      </c>
      <c r="L577" s="108">
        <v>4500</v>
      </c>
      <c r="M577" s="108">
        <v>5000</v>
      </c>
      <c r="N577" s="136">
        <f>L577*M577/1000000</f>
        <v>22.5</v>
      </c>
      <c r="R577" s="86"/>
      <c r="AC577" s="98" t="s">
        <v>1561</v>
      </c>
    </row>
    <row r="578" spans="1:29" x14ac:dyDescent="0.4">
      <c r="A578" s="102" t="s">
        <v>217</v>
      </c>
      <c r="B578" s="85" t="s">
        <v>674</v>
      </c>
      <c r="C578" s="84" t="s">
        <v>3460</v>
      </c>
      <c r="E578" s="145"/>
      <c r="I578" s="106" t="s">
        <v>4027</v>
      </c>
      <c r="J578" s="86">
        <v>100</v>
      </c>
      <c r="L578" s="100">
        <v>2500</v>
      </c>
      <c r="M578" s="100">
        <v>3200</v>
      </c>
      <c r="N578" s="136">
        <f>L578*M578/1000000</f>
        <v>8</v>
      </c>
      <c r="P578" s="90" t="s">
        <v>1132</v>
      </c>
      <c r="Q578" s="86" t="s">
        <v>3062</v>
      </c>
      <c r="R578" s="86" t="s">
        <v>3685</v>
      </c>
      <c r="S578" s="86" t="s">
        <v>2766</v>
      </c>
      <c r="T578" s="91">
        <v>0.75</v>
      </c>
      <c r="AA578" s="116" t="s">
        <v>3052</v>
      </c>
      <c r="AC578" s="98" t="s">
        <v>3727</v>
      </c>
    </row>
    <row r="579" spans="1:29" x14ac:dyDescent="0.4">
      <c r="A579" s="102" t="s">
        <v>222</v>
      </c>
      <c r="B579" s="85" t="s">
        <v>2687</v>
      </c>
      <c r="C579" s="84" t="s">
        <v>3460</v>
      </c>
      <c r="E579" s="145"/>
      <c r="I579" s="106" t="s">
        <v>4027</v>
      </c>
      <c r="L579" s="100">
        <v>2500</v>
      </c>
      <c r="M579" s="100">
        <v>3200</v>
      </c>
      <c r="N579" s="136">
        <f>L579*M579/1000000</f>
        <v>8</v>
      </c>
      <c r="P579" s="90" t="s">
        <v>1132</v>
      </c>
      <c r="Q579" s="86" t="s">
        <v>3062</v>
      </c>
      <c r="R579" s="86"/>
      <c r="S579" s="86" t="s">
        <v>2766</v>
      </c>
      <c r="T579" s="91">
        <v>0.75</v>
      </c>
      <c r="AA579" s="116" t="s">
        <v>3052</v>
      </c>
      <c r="AC579" s="98" t="s">
        <v>3726</v>
      </c>
    </row>
    <row r="580" spans="1:29" x14ac:dyDescent="0.4">
      <c r="A580" s="102" t="s">
        <v>175</v>
      </c>
      <c r="B580" s="85" t="s">
        <v>652</v>
      </c>
      <c r="C580" s="84" t="s">
        <v>3464</v>
      </c>
      <c r="E580" s="145"/>
      <c r="I580" s="106" t="s">
        <v>3001</v>
      </c>
      <c r="R580" s="86"/>
      <c r="AC580" s="98" t="s">
        <v>1901</v>
      </c>
    </row>
    <row r="581" spans="1:29" x14ac:dyDescent="0.4">
      <c r="A581" s="102" t="s">
        <v>3684</v>
      </c>
      <c r="B581" s="85" t="s">
        <v>675</v>
      </c>
      <c r="C581" s="84" t="s">
        <v>3464</v>
      </c>
      <c r="E581" s="145"/>
      <c r="I581" s="106" t="s">
        <v>2998</v>
      </c>
      <c r="L581" s="100">
        <v>5000</v>
      </c>
      <c r="M581" s="100">
        <v>5000</v>
      </c>
      <c r="N581" s="136">
        <f t="shared" ref="N581:N612" si="24">L581*M581/1000000</f>
        <v>25</v>
      </c>
      <c r="R581" s="86"/>
      <c r="AC581" s="98" t="s">
        <v>2406</v>
      </c>
    </row>
    <row r="582" spans="1:29" x14ac:dyDescent="0.4">
      <c r="A582" s="102" t="s">
        <v>420</v>
      </c>
      <c r="B582" s="85" t="s">
        <v>810</v>
      </c>
      <c r="C582" s="84" t="s">
        <v>2217</v>
      </c>
      <c r="E582" s="145"/>
      <c r="I582" s="106" t="s">
        <v>4027</v>
      </c>
      <c r="J582" s="86">
        <v>125</v>
      </c>
      <c r="L582" s="100">
        <v>2800</v>
      </c>
      <c r="M582" s="100">
        <v>3000</v>
      </c>
      <c r="N582" s="136">
        <f t="shared" si="24"/>
        <v>8.4</v>
      </c>
      <c r="P582" s="90" t="s">
        <v>1132</v>
      </c>
      <c r="Q582" s="86" t="s">
        <v>3053</v>
      </c>
      <c r="R582" s="86"/>
      <c r="S582" s="86" t="s">
        <v>2766</v>
      </c>
      <c r="T582" s="91">
        <v>0.75</v>
      </c>
      <c r="V582" s="93">
        <v>1</v>
      </c>
      <c r="Z582" s="86" t="s">
        <v>1439</v>
      </c>
      <c r="AB582" s="86" t="s">
        <v>2769</v>
      </c>
      <c r="AC582" s="98" t="s">
        <v>2952</v>
      </c>
    </row>
    <row r="583" spans="1:29" x14ac:dyDescent="0.4">
      <c r="A583" s="102" t="s">
        <v>197</v>
      </c>
      <c r="B583" s="85" t="s">
        <v>2682</v>
      </c>
      <c r="C583" s="84" t="s">
        <v>3706</v>
      </c>
      <c r="E583" s="145"/>
      <c r="I583" s="106" t="s">
        <v>4027</v>
      </c>
      <c r="J583" s="86">
        <v>100</v>
      </c>
      <c r="L583" s="100">
        <v>2750</v>
      </c>
      <c r="M583" s="100">
        <v>3600</v>
      </c>
      <c r="N583" s="136">
        <f t="shared" si="24"/>
        <v>9.9</v>
      </c>
      <c r="P583" s="63" t="s">
        <v>3177</v>
      </c>
      <c r="Q583" s="86" t="s">
        <v>3053</v>
      </c>
      <c r="R583" s="86"/>
      <c r="S583" s="86" t="s">
        <v>2766</v>
      </c>
      <c r="T583" s="91">
        <v>0.75</v>
      </c>
      <c r="AA583" s="116" t="s">
        <v>3052</v>
      </c>
      <c r="AB583" s="86" t="s">
        <v>2769</v>
      </c>
      <c r="AC583" s="98" t="s">
        <v>3707</v>
      </c>
    </row>
    <row r="584" spans="1:29" x14ac:dyDescent="0.4">
      <c r="A584" s="102" t="s">
        <v>3428</v>
      </c>
      <c r="B584" s="85" t="s">
        <v>702</v>
      </c>
      <c r="C584" s="84" t="s">
        <v>3706</v>
      </c>
      <c r="E584" s="145"/>
      <c r="I584" s="106" t="s">
        <v>4027</v>
      </c>
      <c r="J584" s="86">
        <v>125</v>
      </c>
      <c r="L584" s="100">
        <v>4000</v>
      </c>
      <c r="M584" s="100">
        <v>4000</v>
      </c>
      <c r="N584" s="136">
        <f t="shared" si="24"/>
        <v>16</v>
      </c>
      <c r="P584" s="63" t="s">
        <v>3177</v>
      </c>
      <c r="Q584" s="86" t="s">
        <v>3053</v>
      </c>
      <c r="R584" s="86" t="s">
        <v>3078</v>
      </c>
      <c r="S584" s="86" t="s">
        <v>2768</v>
      </c>
      <c r="T584" s="91">
        <v>1.5</v>
      </c>
      <c r="V584" s="93">
        <v>1</v>
      </c>
      <c r="AA584" s="111" t="s">
        <v>3052</v>
      </c>
      <c r="AC584" s="98" t="s">
        <v>3290</v>
      </c>
    </row>
    <row r="585" spans="1:29" x14ac:dyDescent="0.4">
      <c r="A585" s="102" t="s">
        <v>1158</v>
      </c>
      <c r="B585" s="85" t="s">
        <v>2705</v>
      </c>
      <c r="C585" s="84" t="s">
        <v>3706</v>
      </c>
      <c r="E585" s="145"/>
      <c r="I585" s="106" t="s">
        <v>4027</v>
      </c>
      <c r="J585" s="86">
        <v>125</v>
      </c>
      <c r="L585" s="100">
        <v>2750</v>
      </c>
      <c r="M585" s="100">
        <v>3600</v>
      </c>
      <c r="N585" s="136">
        <f t="shared" si="24"/>
        <v>9.9</v>
      </c>
      <c r="P585" s="63" t="s">
        <v>3177</v>
      </c>
      <c r="Q585" s="86" t="s">
        <v>3053</v>
      </c>
      <c r="R585" s="86" t="s">
        <v>3078</v>
      </c>
      <c r="S585" s="86" t="s">
        <v>2766</v>
      </c>
      <c r="T585" s="91">
        <v>0.75</v>
      </c>
      <c r="AA585" s="111" t="s">
        <v>3052</v>
      </c>
      <c r="AC585" s="98" t="s">
        <v>3346</v>
      </c>
    </row>
    <row r="586" spans="1:29" x14ac:dyDescent="0.4">
      <c r="A586" s="102" t="s">
        <v>1726</v>
      </c>
      <c r="B586" s="85" t="s">
        <v>629</v>
      </c>
      <c r="C586" s="84" t="s">
        <v>3763</v>
      </c>
      <c r="D586" s="143" t="s">
        <v>4310</v>
      </c>
      <c r="E586" s="145"/>
      <c r="H586" s="86">
        <v>10</v>
      </c>
      <c r="I586" s="106" t="s">
        <v>4027</v>
      </c>
      <c r="J586" s="86">
        <v>100</v>
      </c>
      <c r="L586" s="100">
        <v>2500</v>
      </c>
      <c r="M586" s="100">
        <v>3150</v>
      </c>
      <c r="N586" s="136">
        <f t="shared" si="24"/>
        <v>7.875</v>
      </c>
      <c r="Q586" s="86" t="s">
        <v>3069</v>
      </c>
      <c r="R586" s="86"/>
      <c r="S586" s="86" t="s">
        <v>2766</v>
      </c>
      <c r="AC586" s="98" t="s">
        <v>3332</v>
      </c>
    </row>
    <row r="587" spans="1:29" x14ac:dyDescent="0.4">
      <c r="A587" s="102" t="s">
        <v>1727</v>
      </c>
      <c r="B587" s="85" t="s">
        <v>629</v>
      </c>
      <c r="C587" s="84" t="s">
        <v>3763</v>
      </c>
      <c r="D587" s="143" t="s">
        <v>4310</v>
      </c>
      <c r="E587" s="145"/>
      <c r="H587" s="86">
        <v>2</v>
      </c>
      <c r="I587" s="106" t="s">
        <v>4027</v>
      </c>
      <c r="J587" s="86">
        <v>100</v>
      </c>
      <c r="L587" s="100">
        <v>2500</v>
      </c>
      <c r="M587" s="100">
        <v>3150</v>
      </c>
      <c r="N587" s="136">
        <f t="shared" si="24"/>
        <v>7.875</v>
      </c>
      <c r="Q587" s="86" t="s">
        <v>3069</v>
      </c>
      <c r="R587" s="86"/>
      <c r="S587" s="86" t="s">
        <v>2768</v>
      </c>
      <c r="AC587" s="98" t="s">
        <v>3331</v>
      </c>
    </row>
    <row r="588" spans="1:29" x14ac:dyDescent="0.4">
      <c r="A588" s="102" t="s">
        <v>1728</v>
      </c>
      <c r="B588" s="85" t="s">
        <v>629</v>
      </c>
      <c r="C588" s="84" t="s">
        <v>3763</v>
      </c>
      <c r="D588" s="143" t="s">
        <v>4310</v>
      </c>
      <c r="E588" s="145"/>
      <c r="I588" s="106" t="s">
        <v>4027</v>
      </c>
      <c r="J588" s="86">
        <v>100</v>
      </c>
      <c r="L588" s="100">
        <v>4000</v>
      </c>
      <c r="M588" s="100">
        <v>5500</v>
      </c>
      <c r="N588" s="136">
        <f t="shared" si="24"/>
        <v>22</v>
      </c>
      <c r="Q588" s="86" t="s">
        <v>3069</v>
      </c>
      <c r="R588" s="86"/>
      <c r="S588" s="86" t="s">
        <v>2768</v>
      </c>
      <c r="AC588" s="98" t="s">
        <v>3330</v>
      </c>
    </row>
    <row r="589" spans="1:29" x14ac:dyDescent="0.4">
      <c r="A589" s="102" t="s">
        <v>1729</v>
      </c>
      <c r="B589" s="85" t="s">
        <v>629</v>
      </c>
      <c r="C589" s="84" t="s">
        <v>3763</v>
      </c>
      <c r="D589" s="143" t="s">
        <v>4310</v>
      </c>
      <c r="E589" s="145"/>
      <c r="I589" s="106" t="s">
        <v>4027</v>
      </c>
      <c r="J589" s="86">
        <v>100</v>
      </c>
      <c r="L589" s="100">
        <v>4000</v>
      </c>
      <c r="M589" s="100">
        <v>5500</v>
      </c>
      <c r="N589" s="136">
        <f t="shared" si="24"/>
        <v>22</v>
      </c>
      <c r="Q589" s="86" t="s">
        <v>3069</v>
      </c>
      <c r="R589" s="86"/>
      <c r="S589" s="86" t="s">
        <v>2766</v>
      </c>
      <c r="AC589" s="98" t="s">
        <v>3329</v>
      </c>
    </row>
    <row r="590" spans="1:29" x14ac:dyDescent="0.4">
      <c r="A590" s="102" t="s">
        <v>183</v>
      </c>
      <c r="B590" s="85" t="s">
        <v>655</v>
      </c>
      <c r="C590" s="84" t="s">
        <v>3763</v>
      </c>
      <c r="D590" s="143" t="s">
        <v>4310</v>
      </c>
      <c r="E590" s="145"/>
      <c r="I590" s="106" t="s">
        <v>4027</v>
      </c>
      <c r="J590" s="86">
        <v>100</v>
      </c>
      <c r="L590" s="108">
        <v>2500</v>
      </c>
      <c r="M590" s="108">
        <v>3150</v>
      </c>
      <c r="N590" s="136">
        <f t="shared" si="24"/>
        <v>7.875</v>
      </c>
      <c r="Q590" s="86" t="s">
        <v>3069</v>
      </c>
      <c r="R590" s="86"/>
      <c r="S590" s="86" t="s">
        <v>2766</v>
      </c>
      <c r="V590" s="93">
        <v>1</v>
      </c>
      <c r="W590" s="94" t="s">
        <v>3050</v>
      </c>
      <c r="AC590" s="98" t="s">
        <v>3482</v>
      </c>
    </row>
    <row r="591" spans="1:29" x14ac:dyDescent="0.4">
      <c r="A591" s="102" t="s">
        <v>3501</v>
      </c>
      <c r="B591" s="85" t="s">
        <v>3504</v>
      </c>
      <c r="C591" s="84" t="s">
        <v>3763</v>
      </c>
      <c r="D591" s="143" t="s">
        <v>4310</v>
      </c>
      <c r="E591" s="145"/>
      <c r="I591" s="106" t="s">
        <v>1131</v>
      </c>
      <c r="J591" s="86">
        <v>150</v>
      </c>
      <c r="L591" s="89">
        <v>5000</v>
      </c>
      <c r="M591" s="89">
        <v>7500</v>
      </c>
      <c r="N591" s="136">
        <f t="shared" si="24"/>
        <v>37.5</v>
      </c>
      <c r="P591" s="90" t="s">
        <v>1132</v>
      </c>
      <c r="Q591" s="86" t="s">
        <v>3062</v>
      </c>
      <c r="R591" s="86"/>
      <c r="T591" s="91">
        <v>2.2000000000000002</v>
      </c>
      <c r="AB591" s="86" t="s">
        <v>2769</v>
      </c>
      <c r="AC591" s="98" t="s">
        <v>3524</v>
      </c>
    </row>
    <row r="592" spans="1:29" x14ac:dyDescent="0.4">
      <c r="A592" s="102" t="s">
        <v>3502</v>
      </c>
      <c r="B592" s="85" t="s">
        <v>3503</v>
      </c>
      <c r="C592" s="84" t="s">
        <v>3763</v>
      </c>
      <c r="D592" s="143" t="s">
        <v>4310</v>
      </c>
      <c r="E592" s="145"/>
      <c r="I592" s="106" t="s">
        <v>1131</v>
      </c>
      <c r="J592" s="86">
        <v>150</v>
      </c>
      <c r="L592" s="89">
        <v>2500</v>
      </c>
      <c r="M592" s="89">
        <v>7500</v>
      </c>
      <c r="N592" s="136">
        <f t="shared" si="24"/>
        <v>18.75</v>
      </c>
      <c r="P592" s="90" t="s">
        <v>1132</v>
      </c>
      <c r="Q592" s="86" t="s">
        <v>3062</v>
      </c>
      <c r="R592" s="86" t="s">
        <v>3039</v>
      </c>
      <c r="S592" s="86" t="s">
        <v>2766</v>
      </c>
      <c r="T592" s="91">
        <v>1.5</v>
      </c>
      <c r="AB592" s="86" t="s">
        <v>2769</v>
      </c>
      <c r="AC592" s="98" t="s">
        <v>3525</v>
      </c>
    </row>
    <row r="593" spans="1:29" x14ac:dyDescent="0.4">
      <c r="A593" s="102" t="s">
        <v>3220</v>
      </c>
      <c r="B593" s="85" t="s">
        <v>747</v>
      </c>
      <c r="C593" s="84" t="s">
        <v>3763</v>
      </c>
      <c r="D593" s="143" t="s">
        <v>4310</v>
      </c>
      <c r="E593" s="145"/>
      <c r="I593" s="106" t="s">
        <v>1131</v>
      </c>
      <c r="J593" s="86">
        <v>150</v>
      </c>
      <c r="L593" s="100">
        <v>3500</v>
      </c>
      <c r="M593" s="100">
        <v>8100</v>
      </c>
      <c r="N593" s="136">
        <f t="shared" si="24"/>
        <v>28.35</v>
      </c>
      <c r="P593" s="90" t="s">
        <v>1132</v>
      </c>
      <c r="Q593" s="86" t="s">
        <v>3062</v>
      </c>
      <c r="R593" s="86" t="s">
        <v>1439</v>
      </c>
      <c r="S593" s="86" t="s">
        <v>2766</v>
      </c>
      <c r="T593" s="91">
        <v>2.2000000000000002</v>
      </c>
      <c r="Z593" s="86" t="s">
        <v>1439</v>
      </c>
      <c r="AC593" s="98" t="s">
        <v>3548</v>
      </c>
    </row>
    <row r="594" spans="1:29" x14ac:dyDescent="0.4">
      <c r="A594" s="102" t="s">
        <v>3533</v>
      </c>
      <c r="B594" s="85" t="s">
        <v>2690</v>
      </c>
      <c r="C594" s="84" t="s">
        <v>4145</v>
      </c>
      <c r="D594" s="143" t="s">
        <v>4147</v>
      </c>
      <c r="E594" s="145" t="s">
        <v>4402</v>
      </c>
      <c r="F594" s="143" t="s">
        <v>4148</v>
      </c>
      <c r="G594" s="143" t="s">
        <v>4146</v>
      </c>
      <c r="I594" s="106" t="s">
        <v>1131</v>
      </c>
      <c r="J594" s="86">
        <v>125</v>
      </c>
      <c r="L594" s="100">
        <v>4800</v>
      </c>
      <c r="M594" s="100">
        <v>4650</v>
      </c>
      <c r="N594" s="136">
        <f t="shared" si="24"/>
        <v>22.32</v>
      </c>
      <c r="P594" s="90" t="s">
        <v>1132</v>
      </c>
      <c r="Q594" s="86" t="s">
        <v>3053</v>
      </c>
      <c r="R594" s="86"/>
      <c r="S594" s="86" t="s">
        <v>2768</v>
      </c>
      <c r="T594" s="91">
        <v>1.5</v>
      </c>
      <c r="Z594" s="87" t="s">
        <v>3051</v>
      </c>
      <c r="AC594" s="98" t="s">
        <v>3529</v>
      </c>
    </row>
    <row r="595" spans="1:29" x14ac:dyDescent="0.4">
      <c r="A595" s="102" t="s">
        <v>3534</v>
      </c>
      <c r="B595" s="85" t="s">
        <v>2690</v>
      </c>
      <c r="C595" s="84" t="s">
        <v>4145</v>
      </c>
      <c r="D595" s="143" t="s">
        <v>4147</v>
      </c>
      <c r="E595" s="145" t="s">
        <v>4402</v>
      </c>
      <c r="F595" s="143" t="s">
        <v>4148</v>
      </c>
      <c r="G595" s="143" t="s">
        <v>4146</v>
      </c>
      <c r="I595" s="106" t="s">
        <v>1131</v>
      </c>
      <c r="J595" s="86">
        <v>125</v>
      </c>
      <c r="L595" s="100">
        <v>2000</v>
      </c>
      <c r="M595" s="100">
        <v>2500</v>
      </c>
      <c r="N595" s="136">
        <f t="shared" si="24"/>
        <v>5</v>
      </c>
      <c r="P595" s="90" t="s">
        <v>1132</v>
      </c>
      <c r="Q595" s="86" t="s">
        <v>3053</v>
      </c>
      <c r="R595" s="86"/>
      <c r="S595" s="86" t="s">
        <v>2766</v>
      </c>
      <c r="T595" s="91">
        <v>1.5</v>
      </c>
      <c r="Z595" s="87" t="s">
        <v>3051</v>
      </c>
      <c r="AC595" s="98" t="s">
        <v>3535</v>
      </c>
    </row>
    <row r="596" spans="1:29" x14ac:dyDescent="0.4">
      <c r="A596" s="102" t="s">
        <v>3536</v>
      </c>
      <c r="B596" s="85" t="s">
        <v>2690</v>
      </c>
      <c r="C596" s="84" t="s">
        <v>4145</v>
      </c>
      <c r="D596" s="143" t="s">
        <v>4147</v>
      </c>
      <c r="E596" s="145" t="s">
        <v>4402</v>
      </c>
      <c r="F596" s="143" t="s">
        <v>4148</v>
      </c>
      <c r="G596" s="143" t="s">
        <v>4146</v>
      </c>
      <c r="I596" s="106" t="s">
        <v>1131</v>
      </c>
      <c r="J596" s="86">
        <v>125</v>
      </c>
      <c r="L596" s="100">
        <v>4500</v>
      </c>
      <c r="M596" s="100">
        <v>5700</v>
      </c>
      <c r="N596" s="136">
        <f t="shared" si="24"/>
        <v>25.65</v>
      </c>
      <c r="P596" s="90" t="s">
        <v>1132</v>
      </c>
      <c r="Q596" s="86" t="s">
        <v>3053</v>
      </c>
      <c r="R596" s="86" t="s">
        <v>3054</v>
      </c>
      <c r="T596" s="91">
        <v>2.2000000000000002</v>
      </c>
      <c r="AA596" s="116" t="s">
        <v>3052</v>
      </c>
      <c r="AB596" s="86" t="s">
        <v>2769</v>
      </c>
      <c r="AC596" s="98" t="s">
        <v>3725</v>
      </c>
    </row>
    <row r="597" spans="1:29" x14ac:dyDescent="0.4">
      <c r="A597" s="102" t="s">
        <v>3199</v>
      </c>
      <c r="B597" s="85" t="s">
        <v>3208</v>
      </c>
      <c r="C597" s="84" t="s">
        <v>4257</v>
      </c>
      <c r="D597" s="143" t="s">
        <v>4400</v>
      </c>
      <c r="E597" s="145" t="s">
        <v>4401</v>
      </c>
      <c r="H597" s="86">
        <v>2</v>
      </c>
      <c r="I597" s="106" t="s">
        <v>4027</v>
      </c>
      <c r="J597" s="86">
        <v>125</v>
      </c>
      <c r="K597" s="88">
        <v>2900</v>
      </c>
      <c r="L597" s="100">
        <v>2500</v>
      </c>
      <c r="M597" s="100">
        <v>3200</v>
      </c>
      <c r="N597" s="136">
        <f t="shared" si="24"/>
        <v>8</v>
      </c>
      <c r="P597" s="90" t="s">
        <v>1132</v>
      </c>
      <c r="Q597" s="86" t="s">
        <v>3053</v>
      </c>
      <c r="R597" s="86" t="s">
        <v>3078</v>
      </c>
      <c r="S597" s="86" t="s">
        <v>2768</v>
      </c>
      <c r="T597" s="91">
        <v>0.75</v>
      </c>
      <c r="V597" s="93">
        <v>1</v>
      </c>
      <c r="Z597" s="86" t="s">
        <v>3185</v>
      </c>
      <c r="AB597" s="86" t="s">
        <v>2769</v>
      </c>
      <c r="AC597" s="98" t="s">
        <v>3201</v>
      </c>
    </row>
    <row r="598" spans="1:29" x14ac:dyDescent="0.4">
      <c r="A598" s="102" t="s">
        <v>3204</v>
      </c>
      <c r="B598" s="85" t="s">
        <v>3208</v>
      </c>
      <c r="C598" s="84" t="s">
        <v>4257</v>
      </c>
      <c r="D598" s="143" t="s">
        <v>4400</v>
      </c>
      <c r="E598" s="145" t="s">
        <v>4401</v>
      </c>
      <c r="H598" s="86">
        <v>2</v>
      </c>
      <c r="I598" s="106" t="s">
        <v>4027</v>
      </c>
      <c r="J598" s="86">
        <v>125</v>
      </c>
      <c r="K598" s="88">
        <v>2900</v>
      </c>
      <c r="L598" s="100">
        <v>2500</v>
      </c>
      <c r="M598" s="100">
        <v>3200</v>
      </c>
      <c r="N598" s="136">
        <f t="shared" si="24"/>
        <v>8</v>
      </c>
      <c r="P598" s="90" t="s">
        <v>1132</v>
      </c>
      <c r="Q598" s="86" t="s">
        <v>3053</v>
      </c>
      <c r="R598" s="86" t="s">
        <v>3078</v>
      </c>
      <c r="S598" s="86" t="s">
        <v>2766</v>
      </c>
      <c r="T598" s="91">
        <v>0.75</v>
      </c>
      <c r="V598" s="93">
        <v>1</v>
      </c>
      <c r="Z598" s="86" t="s">
        <v>3185</v>
      </c>
      <c r="AB598" s="86" t="s">
        <v>2769</v>
      </c>
      <c r="AC598" s="98" t="s">
        <v>3200</v>
      </c>
    </row>
    <row r="599" spans="1:29" x14ac:dyDescent="0.4">
      <c r="A599" s="102" t="s">
        <v>3205</v>
      </c>
      <c r="B599" s="85" t="s">
        <v>3208</v>
      </c>
      <c r="C599" s="84" t="s">
        <v>4257</v>
      </c>
      <c r="D599" s="143" t="s">
        <v>4400</v>
      </c>
      <c r="E599" s="145" t="s">
        <v>4401</v>
      </c>
      <c r="H599" s="86">
        <v>2</v>
      </c>
      <c r="I599" s="106" t="s">
        <v>4027</v>
      </c>
      <c r="J599" s="86">
        <v>125</v>
      </c>
      <c r="L599" s="100">
        <v>3000</v>
      </c>
      <c r="M599" s="100">
        <v>3200</v>
      </c>
      <c r="N599" s="136">
        <f t="shared" si="24"/>
        <v>9.6</v>
      </c>
      <c r="P599" s="90" t="s">
        <v>1132</v>
      </c>
      <c r="Q599" s="86" t="s">
        <v>3053</v>
      </c>
      <c r="R599" s="86" t="s">
        <v>3078</v>
      </c>
      <c r="S599" s="86" t="s">
        <v>2766</v>
      </c>
      <c r="T599" s="91">
        <v>0.75</v>
      </c>
      <c r="V599" s="93">
        <v>1</v>
      </c>
      <c r="Z599" s="86" t="s">
        <v>3185</v>
      </c>
      <c r="AB599" s="86" t="s">
        <v>2769</v>
      </c>
      <c r="AC599" s="98" t="s">
        <v>3202</v>
      </c>
    </row>
    <row r="600" spans="1:29" x14ac:dyDescent="0.4">
      <c r="A600" s="102" t="s">
        <v>3206</v>
      </c>
      <c r="B600" s="85" t="s">
        <v>3208</v>
      </c>
      <c r="C600" s="84" t="s">
        <v>4257</v>
      </c>
      <c r="D600" s="143" t="s">
        <v>4400</v>
      </c>
      <c r="E600" s="145" t="s">
        <v>4401</v>
      </c>
      <c r="I600" s="106" t="s">
        <v>4027</v>
      </c>
      <c r="J600" s="86">
        <v>125</v>
      </c>
      <c r="L600" s="100">
        <v>3000</v>
      </c>
      <c r="M600" s="100">
        <v>3200</v>
      </c>
      <c r="N600" s="136">
        <f t="shared" si="24"/>
        <v>9.6</v>
      </c>
      <c r="P600" s="90" t="s">
        <v>1132</v>
      </c>
      <c r="Q600" s="86" t="s">
        <v>3053</v>
      </c>
      <c r="R600" s="86" t="s">
        <v>3078</v>
      </c>
      <c r="S600" s="86" t="s">
        <v>2768</v>
      </c>
      <c r="T600" s="91">
        <v>0.75</v>
      </c>
      <c r="V600" s="93">
        <v>1</v>
      </c>
      <c r="Z600" s="86" t="s">
        <v>3185</v>
      </c>
      <c r="AB600" s="86" t="s">
        <v>2769</v>
      </c>
      <c r="AC600" s="98" t="s">
        <v>3203</v>
      </c>
    </row>
    <row r="601" spans="1:29" x14ac:dyDescent="0.4">
      <c r="A601" s="102" t="s">
        <v>1268</v>
      </c>
      <c r="B601" s="85" t="s">
        <v>1275</v>
      </c>
      <c r="C601" s="84" t="s">
        <v>4258</v>
      </c>
      <c r="E601" s="145"/>
      <c r="I601" s="106" t="s">
        <v>4027</v>
      </c>
      <c r="L601" s="100">
        <v>2870</v>
      </c>
      <c r="M601" s="100">
        <v>3200</v>
      </c>
      <c r="N601" s="136">
        <f t="shared" si="24"/>
        <v>9.1839999999999993</v>
      </c>
      <c r="R601" s="86"/>
      <c r="S601" s="86" t="s">
        <v>2768</v>
      </c>
      <c r="AC601" s="98" t="s">
        <v>3865</v>
      </c>
    </row>
    <row r="602" spans="1:29" x14ac:dyDescent="0.4">
      <c r="A602" s="102" t="s">
        <v>1327</v>
      </c>
      <c r="B602" s="85" t="s">
        <v>1328</v>
      </c>
      <c r="C602" s="84" t="s">
        <v>4258</v>
      </c>
      <c r="E602" s="145"/>
      <c r="I602" s="106" t="s">
        <v>4027</v>
      </c>
      <c r="L602" s="100">
        <v>2900</v>
      </c>
      <c r="M602" s="100">
        <v>3000</v>
      </c>
      <c r="N602" s="136">
        <f t="shared" si="24"/>
        <v>8.6999999999999993</v>
      </c>
      <c r="R602" s="86"/>
      <c r="S602" s="86" t="s">
        <v>2768</v>
      </c>
      <c r="AC602" s="98" t="s">
        <v>3660</v>
      </c>
    </row>
    <row r="603" spans="1:29" x14ac:dyDescent="0.4">
      <c r="A603" s="102" t="s">
        <v>524</v>
      </c>
      <c r="B603" s="85" t="s">
        <v>864</v>
      </c>
      <c r="C603" s="84" t="s">
        <v>2883</v>
      </c>
      <c r="E603" s="145"/>
      <c r="H603" s="86">
        <v>1</v>
      </c>
      <c r="I603" s="106" t="s">
        <v>4027</v>
      </c>
      <c r="J603" s="86">
        <v>125</v>
      </c>
      <c r="L603" s="100">
        <v>2000</v>
      </c>
      <c r="M603" s="100">
        <v>2500</v>
      </c>
      <c r="N603" s="136">
        <f t="shared" si="24"/>
        <v>5</v>
      </c>
      <c r="P603" s="90" t="s">
        <v>1132</v>
      </c>
      <c r="Q603" s="86" t="s">
        <v>3058</v>
      </c>
      <c r="R603" s="86"/>
      <c r="S603" s="86" t="s">
        <v>2766</v>
      </c>
      <c r="T603" s="91">
        <v>0.75</v>
      </c>
      <c r="U603" s="92">
        <v>10</v>
      </c>
      <c r="V603" s="93">
        <v>1</v>
      </c>
      <c r="W603" s="94" t="s">
        <v>3050</v>
      </c>
      <c r="AB603" s="86" t="s">
        <v>2769</v>
      </c>
      <c r="AC603" s="98" t="s">
        <v>2036</v>
      </c>
    </row>
    <row r="604" spans="1:29" x14ac:dyDescent="0.4">
      <c r="A604" s="102" t="s">
        <v>533</v>
      </c>
      <c r="B604" s="85" t="s">
        <v>867</v>
      </c>
      <c r="C604" s="84" t="s">
        <v>4403</v>
      </c>
      <c r="D604" s="143" t="s">
        <v>4404</v>
      </c>
      <c r="E604" s="145" t="s">
        <v>4405</v>
      </c>
      <c r="H604" s="86">
        <v>1</v>
      </c>
      <c r="I604" s="106" t="s">
        <v>4027</v>
      </c>
      <c r="J604" s="86">
        <v>150</v>
      </c>
      <c r="L604" s="100">
        <v>3600</v>
      </c>
      <c r="M604" s="100">
        <v>3800</v>
      </c>
      <c r="N604" s="136">
        <f t="shared" si="24"/>
        <v>13.68</v>
      </c>
      <c r="P604" s="90" t="s">
        <v>1132</v>
      </c>
      <c r="Q604" s="86" t="s">
        <v>3053</v>
      </c>
      <c r="R604" s="86" t="s">
        <v>3078</v>
      </c>
      <c r="S604" s="86" t="s">
        <v>2766</v>
      </c>
      <c r="T604" s="91">
        <v>0.75</v>
      </c>
      <c r="U604" s="92">
        <v>10</v>
      </c>
      <c r="V604" s="93">
        <v>1</v>
      </c>
      <c r="W604" s="94" t="s">
        <v>3049</v>
      </c>
      <c r="Z604" s="99" t="s">
        <v>3051</v>
      </c>
      <c r="AB604" s="86" t="s">
        <v>2769</v>
      </c>
      <c r="AC604" s="98" t="s">
        <v>3071</v>
      </c>
    </row>
    <row r="605" spans="1:29" x14ac:dyDescent="0.4">
      <c r="A605" s="102" t="s">
        <v>291</v>
      </c>
      <c r="B605" s="85" t="s">
        <v>2699</v>
      </c>
      <c r="C605" s="84" t="s">
        <v>4259</v>
      </c>
      <c r="E605" s="145"/>
      <c r="I605" s="106" t="s">
        <v>4027</v>
      </c>
      <c r="J605" s="86">
        <v>125</v>
      </c>
      <c r="L605" s="100">
        <v>4000</v>
      </c>
      <c r="M605" s="100">
        <v>3800</v>
      </c>
      <c r="N605" s="136">
        <f t="shared" si="24"/>
        <v>15.2</v>
      </c>
      <c r="P605" s="63" t="s">
        <v>3177</v>
      </c>
      <c r="Q605" s="86" t="s">
        <v>3053</v>
      </c>
      <c r="R605" s="86" t="s">
        <v>3078</v>
      </c>
      <c r="S605" s="86" t="s">
        <v>2768</v>
      </c>
      <c r="T605" s="91">
        <v>0.75</v>
      </c>
      <c r="V605" s="93">
        <v>1</v>
      </c>
      <c r="W605" s="94" t="s">
        <v>3050</v>
      </c>
      <c r="Z605" s="87" t="s">
        <v>3051</v>
      </c>
      <c r="AB605" s="86" t="s">
        <v>2769</v>
      </c>
      <c r="AC605" s="98" t="s">
        <v>3550</v>
      </c>
    </row>
    <row r="606" spans="1:29" x14ac:dyDescent="0.4">
      <c r="A606" s="102" t="s">
        <v>3354</v>
      </c>
      <c r="B606" s="85" t="s">
        <v>729</v>
      </c>
      <c r="C606" s="84" t="s">
        <v>2365</v>
      </c>
      <c r="D606" s="143" t="s">
        <v>4318</v>
      </c>
      <c r="E606" s="145"/>
      <c r="I606" s="106" t="s">
        <v>4027</v>
      </c>
      <c r="J606" s="86">
        <v>125</v>
      </c>
      <c r="L606" s="100">
        <v>2400</v>
      </c>
      <c r="M606" s="100">
        <v>3350</v>
      </c>
      <c r="N606" s="136">
        <f t="shared" si="24"/>
        <v>8.0399999999999991</v>
      </c>
      <c r="R606" s="86" t="s">
        <v>3078</v>
      </c>
      <c r="S606" s="86" t="s">
        <v>2768</v>
      </c>
      <c r="T606" s="91">
        <v>0.75</v>
      </c>
      <c r="V606" s="93">
        <v>1</v>
      </c>
      <c r="Z606" s="86" t="s">
        <v>1439</v>
      </c>
      <c r="AC606" s="98" t="s">
        <v>3357</v>
      </c>
    </row>
    <row r="607" spans="1:29" x14ac:dyDescent="0.4">
      <c r="A607" s="102" t="s">
        <v>3355</v>
      </c>
      <c r="B607" s="85" t="s">
        <v>729</v>
      </c>
      <c r="C607" s="84" t="s">
        <v>2365</v>
      </c>
      <c r="D607" s="143" t="s">
        <v>4318</v>
      </c>
      <c r="E607" s="145"/>
      <c r="I607" s="106" t="s">
        <v>4027</v>
      </c>
      <c r="J607" s="86">
        <v>125</v>
      </c>
      <c r="L607" s="100">
        <v>2200</v>
      </c>
      <c r="M607" s="100">
        <v>3350</v>
      </c>
      <c r="N607" s="136">
        <f t="shared" si="24"/>
        <v>7.37</v>
      </c>
      <c r="R607" s="86" t="s">
        <v>3078</v>
      </c>
      <c r="S607" s="86" t="s">
        <v>2768</v>
      </c>
      <c r="T607" s="91">
        <v>0.75</v>
      </c>
      <c r="V607" s="93">
        <v>1</v>
      </c>
      <c r="Z607" s="86" t="s">
        <v>1439</v>
      </c>
      <c r="AC607" s="98" t="s">
        <v>3356</v>
      </c>
    </row>
    <row r="608" spans="1:29" x14ac:dyDescent="0.4">
      <c r="A608" s="102" t="s">
        <v>3358</v>
      </c>
      <c r="B608" s="85" t="s">
        <v>729</v>
      </c>
      <c r="C608" s="84" t="s">
        <v>2365</v>
      </c>
      <c r="D608" s="143" t="s">
        <v>4318</v>
      </c>
      <c r="E608" s="145"/>
      <c r="I608" s="106" t="s">
        <v>4027</v>
      </c>
      <c r="J608" s="86">
        <v>125</v>
      </c>
      <c r="L608" s="100">
        <v>2200</v>
      </c>
      <c r="M608" s="100">
        <v>3350</v>
      </c>
      <c r="N608" s="136">
        <f t="shared" si="24"/>
        <v>7.37</v>
      </c>
      <c r="R608" s="86" t="s">
        <v>3078</v>
      </c>
      <c r="S608" s="86" t="s">
        <v>2766</v>
      </c>
      <c r="T608" s="91">
        <v>0.75</v>
      </c>
      <c r="V608" s="93">
        <v>1</v>
      </c>
      <c r="Z608" s="86" t="s">
        <v>1439</v>
      </c>
      <c r="AC608" s="98" t="s">
        <v>3356</v>
      </c>
    </row>
    <row r="609" spans="1:29" x14ac:dyDescent="0.4">
      <c r="A609" s="102" t="s">
        <v>335</v>
      </c>
      <c r="B609" s="85" t="s">
        <v>2716</v>
      </c>
      <c r="C609" s="84" t="s">
        <v>2365</v>
      </c>
      <c r="D609" s="143" t="s">
        <v>4318</v>
      </c>
      <c r="E609" s="145"/>
      <c r="I609" s="106" t="s">
        <v>4027</v>
      </c>
      <c r="J609" s="86">
        <v>125</v>
      </c>
      <c r="L609" s="100">
        <v>1550</v>
      </c>
      <c r="M609" s="100">
        <v>2850</v>
      </c>
      <c r="N609" s="136">
        <f t="shared" si="24"/>
        <v>4.4175000000000004</v>
      </c>
      <c r="P609" s="90" t="s">
        <v>1132</v>
      </c>
      <c r="Q609" s="86" t="s">
        <v>3053</v>
      </c>
      <c r="R609" s="86"/>
      <c r="S609" s="86" t="s">
        <v>2768</v>
      </c>
      <c r="T609" s="91">
        <v>0.75</v>
      </c>
      <c r="V609" s="93">
        <v>0.5</v>
      </c>
      <c r="AC609" s="98" t="s">
        <v>2364</v>
      </c>
    </row>
    <row r="610" spans="1:29" x14ac:dyDescent="0.4">
      <c r="A610" s="102" t="s">
        <v>358</v>
      </c>
      <c r="B610" s="85" t="s">
        <v>779</v>
      </c>
      <c r="C610" s="84" t="s">
        <v>4260</v>
      </c>
      <c r="E610" s="145"/>
      <c r="I610" s="106" t="s">
        <v>1131</v>
      </c>
      <c r="J610" s="86">
        <v>150</v>
      </c>
      <c r="L610" s="89">
        <v>4200</v>
      </c>
      <c r="M610" s="89">
        <v>5000</v>
      </c>
      <c r="N610" s="136">
        <f t="shared" si="24"/>
        <v>21</v>
      </c>
      <c r="O610" s="88">
        <v>5500</v>
      </c>
      <c r="P610" s="90" t="s">
        <v>1132</v>
      </c>
      <c r="Q610" s="86" t="s">
        <v>3062</v>
      </c>
      <c r="R610" s="86"/>
      <c r="S610" s="86" t="s">
        <v>2766</v>
      </c>
      <c r="T610" s="91">
        <v>1.5</v>
      </c>
      <c r="U610" s="92">
        <v>13</v>
      </c>
      <c r="AA610" s="99" t="s">
        <v>3052</v>
      </c>
      <c r="AC610" s="98" t="s">
        <v>3019</v>
      </c>
    </row>
    <row r="611" spans="1:29" x14ac:dyDescent="0.4">
      <c r="A611" s="102" t="s">
        <v>3881</v>
      </c>
      <c r="B611" s="85" t="s">
        <v>2675</v>
      </c>
      <c r="C611" s="84" t="s">
        <v>879</v>
      </c>
      <c r="E611" s="145"/>
      <c r="I611" s="106" t="s">
        <v>4027</v>
      </c>
      <c r="L611" s="100">
        <v>2500</v>
      </c>
      <c r="M611" s="100">
        <v>3850</v>
      </c>
      <c r="N611" s="136">
        <f t="shared" si="24"/>
        <v>9.625</v>
      </c>
      <c r="R611" s="86"/>
      <c r="S611" s="86" t="s">
        <v>2766</v>
      </c>
      <c r="AC611" s="98" t="s">
        <v>3884</v>
      </c>
    </row>
    <row r="612" spans="1:29" x14ac:dyDescent="0.4">
      <c r="A612" s="102" t="s">
        <v>3882</v>
      </c>
      <c r="B612" s="85" t="s">
        <v>577</v>
      </c>
      <c r="C612" s="84" t="s">
        <v>879</v>
      </c>
      <c r="E612" s="145"/>
      <c r="I612" s="106" t="s">
        <v>1133</v>
      </c>
      <c r="L612" s="100">
        <v>2500</v>
      </c>
      <c r="M612" s="100">
        <v>3600</v>
      </c>
      <c r="N612" s="136">
        <f t="shared" si="24"/>
        <v>9</v>
      </c>
      <c r="R612" s="86"/>
      <c r="AC612" s="98" t="s">
        <v>3883</v>
      </c>
    </row>
    <row r="613" spans="1:29" x14ac:dyDescent="0.4">
      <c r="A613" s="102" t="s">
        <v>3509</v>
      </c>
      <c r="B613" s="85" t="s">
        <v>692</v>
      </c>
      <c r="C613" s="84" t="s">
        <v>3452</v>
      </c>
      <c r="E613" s="145"/>
      <c r="I613" s="106" t="s">
        <v>2998</v>
      </c>
      <c r="L613" s="89">
        <v>2500</v>
      </c>
      <c r="M613" s="89">
        <v>3500</v>
      </c>
      <c r="N613" s="136">
        <f t="shared" ref="N613:N644" si="25">L613*M613/1000000</f>
        <v>8.75</v>
      </c>
      <c r="R613" s="86"/>
      <c r="AC613" s="98" t="s">
        <v>3555</v>
      </c>
    </row>
    <row r="614" spans="1:29" x14ac:dyDescent="0.4">
      <c r="A614" s="102" t="s">
        <v>1680</v>
      </c>
      <c r="B614" s="85" t="s">
        <v>625</v>
      </c>
      <c r="C614" s="84" t="s">
        <v>1677</v>
      </c>
      <c r="E614" s="145"/>
      <c r="I614" s="106" t="s">
        <v>4027</v>
      </c>
      <c r="L614" s="100">
        <v>3500</v>
      </c>
      <c r="M614" s="100">
        <v>5000</v>
      </c>
      <c r="N614" s="136">
        <f t="shared" si="25"/>
        <v>17.5</v>
      </c>
      <c r="R614" s="86"/>
      <c r="S614" s="86" t="s">
        <v>2768</v>
      </c>
      <c r="AC614" s="98" t="s">
        <v>3569</v>
      </c>
    </row>
    <row r="615" spans="1:29" x14ac:dyDescent="0.4">
      <c r="A615" s="102" t="s">
        <v>1681</v>
      </c>
      <c r="B615" s="85" t="s">
        <v>625</v>
      </c>
      <c r="C615" s="84" t="s">
        <v>1677</v>
      </c>
      <c r="E615" s="145"/>
      <c r="I615" s="106" t="s">
        <v>4027</v>
      </c>
      <c r="L615" s="100">
        <v>2000</v>
      </c>
      <c r="M615" s="100">
        <v>3000</v>
      </c>
      <c r="N615" s="136">
        <f t="shared" si="25"/>
        <v>6</v>
      </c>
      <c r="R615" s="86"/>
      <c r="S615" s="86" t="s">
        <v>2768</v>
      </c>
      <c r="AC615" s="98" t="s">
        <v>3568</v>
      </c>
    </row>
    <row r="616" spans="1:29" x14ac:dyDescent="0.4">
      <c r="A616" s="102" t="s">
        <v>1761</v>
      </c>
      <c r="B616" s="85" t="s">
        <v>1779</v>
      </c>
      <c r="C616" s="84" t="s">
        <v>1760</v>
      </c>
      <c r="E616" s="145"/>
      <c r="I616" s="106" t="s">
        <v>1133</v>
      </c>
      <c r="L616" s="100">
        <v>4700</v>
      </c>
      <c r="M616" s="100">
        <v>5000</v>
      </c>
      <c r="N616" s="136">
        <f t="shared" si="25"/>
        <v>23.5</v>
      </c>
      <c r="R616" s="86"/>
      <c r="AC616" s="98" t="s">
        <v>3817</v>
      </c>
    </row>
    <row r="617" spans="1:29" x14ac:dyDescent="0.4">
      <c r="A617" s="102" t="s">
        <v>1762</v>
      </c>
      <c r="B617" s="85" t="s">
        <v>1779</v>
      </c>
      <c r="C617" s="84" t="s">
        <v>1760</v>
      </c>
      <c r="E617" s="145"/>
      <c r="I617" s="106" t="s">
        <v>4027</v>
      </c>
      <c r="L617" s="100">
        <v>4200</v>
      </c>
      <c r="M617" s="100">
        <v>4200</v>
      </c>
      <c r="N617" s="136">
        <f t="shared" si="25"/>
        <v>17.64</v>
      </c>
      <c r="R617" s="86"/>
      <c r="AC617" s="98" t="s">
        <v>3317</v>
      </c>
    </row>
    <row r="618" spans="1:29" x14ac:dyDescent="0.4">
      <c r="A618" s="102" t="s">
        <v>1763</v>
      </c>
      <c r="B618" s="85" t="s">
        <v>1779</v>
      </c>
      <c r="C618" s="84" t="s">
        <v>1760</v>
      </c>
      <c r="E618" s="145"/>
      <c r="I618" s="106" t="s">
        <v>4027</v>
      </c>
      <c r="L618" s="100">
        <v>2700</v>
      </c>
      <c r="M618" s="100">
        <v>3300</v>
      </c>
      <c r="N618" s="136">
        <f t="shared" si="25"/>
        <v>8.91</v>
      </c>
      <c r="R618" s="86"/>
      <c r="AC618" s="98" t="s">
        <v>3316</v>
      </c>
    </row>
    <row r="619" spans="1:29" x14ac:dyDescent="0.4">
      <c r="A619" s="102" t="s">
        <v>167</v>
      </c>
      <c r="B619" s="85" t="s">
        <v>648</v>
      </c>
      <c r="C619" s="84" t="s">
        <v>4152</v>
      </c>
      <c r="D619" s="143" t="s">
        <v>4151</v>
      </c>
      <c r="E619" s="145" t="s">
        <v>4408</v>
      </c>
      <c r="F619" s="143" t="s">
        <v>4150</v>
      </c>
      <c r="G619" s="143" t="s">
        <v>4149</v>
      </c>
      <c r="I619" s="106" t="s">
        <v>2998</v>
      </c>
      <c r="L619" s="100">
        <v>3000</v>
      </c>
      <c r="M619" s="100">
        <v>4200</v>
      </c>
      <c r="N619" s="136">
        <f t="shared" si="25"/>
        <v>12.6</v>
      </c>
      <c r="Q619" s="86" t="s">
        <v>3054</v>
      </c>
      <c r="R619" s="86" t="s">
        <v>4066</v>
      </c>
      <c r="S619" s="86" t="s">
        <v>2766</v>
      </c>
      <c r="T619" s="91">
        <v>0.75</v>
      </c>
      <c r="U619" s="92">
        <v>15</v>
      </c>
      <c r="AB619" s="86" t="s">
        <v>2769</v>
      </c>
      <c r="AC619" s="98" t="s">
        <v>1892</v>
      </c>
    </row>
    <row r="620" spans="1:29" x14ac:dyDescent="0.4">
      <c r="A620" s="102" t="s">
        <v>474</v>
      </c>
      <c r="B620" s="85" t="s">
        <v>835</v>
      </c>
      <c r="C620" s="84" t="s">
        <v>4152</v>
      </c>
      <c r="D620" s="143" t="s">
        <v>4151</v>
      </c>
      <c r="E620" s="145" t="s">
        <v>4408</v>
      </c>
      <c r="F620" s="143" t="s">
        <v>4150</v>
      </c>
      <c r="G620" s="143" t="s">
        <v>4149</v>
      </c>
      <c r="I620" s="106" t="s">
        <v>2765</v>
      </c>
      <c r="J620" s="86" t="s">
        <v>1439</v>
      </c>
      <c r="L620" s="100">
        <v>1900</v>
      </c>
      <c r="M620" s="100">
        <v>3000</v>
      </c>
      <c r="N620" s="136">
        <f t="shared" si="25"/>
        <v>5.7</v>
      </c>
      <c r="O620" s="88">
        <v>4100</v>
      </c>
      <c r="P620" s="90" t="s">
        <v>1132</v>
      </c>
      <c r="Q620" s="86" t="s">
        <v>3053</v>
      </c>
      <c r="R620" s="86"/>
      <c r="S620" s="86" t="s">
        <v>2768</v>
      </c>
      <c r="T620" s="91">
        <v>0.75</v>
      </c>
      <c r="U620" s="92">
        <v>15</v>
      </c>
      <c r="V620" s="93">
        <v>2</v>
      </c>
      <c r="W620" s="94" t="s">
        <v>3049</v>
      </c>
      <c r="AA620" s="99" t="s">
        <v>3052</v>
      </c>
      <c r="AB620" s="86" t="s">
        <v>2769</v>
      </c>
      <c r="AC620" s="98" t="s">
        <v>3911</v>
      </c>
    </row>
    <row r="621" spans="1:29" x14ac:dyDescent="0.4">
      <c r="A621" s="102" t="s">
        <v>12</v>
      </c>
      <c r="B621" s="85"/>
      <c r="C621" s="84" t="s">
        <v>1200</v>
      </c>
      <c r="E621" s="145"/>
      <c r="I621" s="106"/>
      <c r="L621" s="100">
        <v>3000</v>
      </c>
      <c r="M621" s="100">
        <v>3500</v>
      </c>
      <c r="N621" s="136">
        <f t="shared" si="25"/>
        <v>10.5</v>
      </c>
      <c r="R621" s="86"/>
      <c r="AC621" s="98" t="s">
        <v>1199</v>
      </c>
    </row>
    <row r="622" spans="1:29" x14ac:dyDescent="0.4">
      <c r="A622" s="102" t="s">
        <v>3709</v>
      </c>
      <c r="B622" s="85" t="s">
        <v>661</v>
      </c>
      <c r="C622" s="84" t="s">
        <v>3708</v>
      </c>
      <c r="D622" s="143" t="s">
        <v>4406</v>
      </c>
      <c r="E622" s="145" t="s">
        <v>4407</v>
      </c>
      <c r="I622" s="106" t="s">
        <v>4027</v>
      </c>
      <c r="J622" s="86">
        <v>100</v>
      </c>
      <c r="L622" s="100">
        <v>2500</v>
      </c>
      <c r="M622" s="100">
        <v>4100</v>
      </c>
      <c r="N622" s="136">
        <f t="shared" si="25"/>
        <v>10.25</v>
      </c>
      <c r="P622" s="90" t="s">
        <v>1132</v>
      </c>
      <c r="Q622" s="86" t="s">
        <v>3054</v>
      </c>
      <c r="R622" s="86" t="s">
        <v>3069</v>
      </c>
      <c r="S622" s="86" t="s">
        <v>2768</v>
      </c>
      <c r="T622" s="91">
        <v>0.75</v>
      </c>
      <c r="V622" s="93">
        <v>1</v>
      </c>
      <c r="Z622" s="87" t="s">
        <v>3051</v>
      </c>
      <c r="AB622" s="86" t="s">
        <v>2769</v>
      </c>
      <c r="AC622" s="98" t="s">
        <v>3480</v>
      </c>
    </row>
    <row r="623" spans="1:29" x14ac:dyDescent="0.4">
      <c r="A623" s="102" t="s">
        <v>3711</v>
      </c>
      <c r="B623" s="85" t="s">
        <v>661</v>
      </c>
      <c r="C623" s="84" t="s">
        <v>3708</v>
      </c>
      <c r="D623" s="143" t="s">
        <v>4406</v>
      </c>
      <c r="E623" s="145" t="s">
        <v>4407</v>
      </c>
      <c r="I623" s="106" t="s">
        <v>4027</v>
      </c>
      <c r="J623" s="86">
        <v>100</v>
      </c>
      <c r="L623" s="100">
        <v>2500</v>
      </c>
      <c r="M623" s="100">
        <v>4100</v>
      </c>
      <c r="N623" s="136">
        <f t="shared" si="25"/>
        <v>10.25</v>
      </c>
      <c r="P623" s="90" t="s">
        <v>1132</v>
      </c>
      <c r="Q623" s="86" t="s">
        <v>3054</v>
      </c>
      <c r="R623" s="86" t="s">
        <v>3069</v>
      </c>
      <c r="S623" s="86" t="s">
        <v>2766</v>
      </c>
      <c r="T623" s="91">
        <v>0.75</v>
      </c>
      <c r="V623" s="93">
        <v>1</v>
      </c>
      <c r="Z623" s="87" t="s">
        <v>3051</v>
      </c>
      <c r="AB623" s="86" t="s">
        <v>2769</v>
      </c>
      <c r="AC623" s="98" t="s">
        <v>3712</v>
      </c>
    </row>
    <row r="624" spans="1:29" x14ac:dyDescent="0.4">
      <c r="A624" s="102" t="s">
        <v>3710</v>
      </c>
      <c r="B624" s="85" t="s">
        <v>661</v>
      </c>
      <c r="C624" s="84" t="s">
        <v>3708</v>
      </c>
      <c r="D624" s="143" t="s">
        <v>4406</v>
      </c>
      <c r="E624" s="145" t="s">
        <v>4407</v>
      </c>
      <c r="I624" s="106" t="s">
        <v>4027</v>
      </c>
      <c r="J624" s="86">
        <v>125</v>
      </c>
      <c r="L624" s="100">
        <v>4000</v>
      </c>
      <c r="M624" s="100">
        <v>4400</v>
      </c>
      <c r="N624" s="136">
        <f t="shared" si="25"/>
        <v>17.600000000000001</v>
      </c>
      <c r="P624" s="90" t="s">
        <v>1132</v>
      </c>
      <c r="Q624" s="86" t="s">
        <v>3054</v>
      </c>
      <c r="R624" s="86" t="s">
        <v>3069</v>
      </c>
      <c r="S624" s="86" t="s">
        <v>2768</v>
      </c>
      <c r="T624" s="91">
        <v>0.75</v>
      </c>
      <c r="V624" s="93">
        <v>1</v>
      </c>
      <c r="Z624" s="87" t="s">
        <v>3051</v>
      </c>
      <c r="AB624" s="86" t="s">
        <v>2769</v>
      </c>
      <c r="AC624" s="98" t="s">
        <v>3545</v>
      </c>
    </row>
    <row r="625" spans="1:29" x14ac:dyDescent="0.4">
      <c r="A625" s="102" t="s">
        <v>3713</v>
      </c>
      <c r="B625" s="85" t="s">
        <v>661</v>
      </c>
      <c r="C625" s="84" t="s">
        <v>3708</v>
      </c>
      <c r="D625" s="143" t="s">
        <v>4406</v>
      </c>
      <c r="E625" s="145" t="s">
        <v>4407</v>
      </c>
      <c r="I625" s="106" t="s">
        <v>4027</v>
      </c>
      <c r="J625" s="86">
        <v>100</v>
      </c>
      <c r="L625" s="100">
        <v>2800</v>
      </c>
      <c r="M625" s="100">
        <v>3200</v>
      </c>
      <c r="N625" s="136">
        <f t="shared" si="25"/>
        <v>8.9600000000000009</v>
      </c>
      <c r="P625" s="90" t="s">
        <v>1132</v>
      </c>
      <c r="Q625" s="86" t="s">
        <v>3054</v>
      </c>
      <c r="R625" s="86" t="s">
        <v>3069</v>
      </c>
      <c r="S625" s="86" t="s">
        <v>2768</v>
      </c>
      <c r="T625" s="91">
        <v>0.75</v>
      </c>
      <c r="V625" s="93">
        <v>1</v>
      </c>
      <c r="Z625" s="87" t="s">
        <v>3051</v>
      </c>
      <c r="AB625" s="86" t="s">
        <v>2769</v>
      </c>
      <c r="AC625" s="98" t="s">
        <v>3714</v>
      </c>
    </row>
    <row r="626" spans="1:29" x14ac:dyDescent="0.4">
      <c r="A626" s="102" t="s">
        <v>450</v>
      </c>
      <c r="B626" s="85" t="s">
        <v>2742</v>
      </c>
      <c r="C626" s="84" t="s">
        <v>3708</v>
      </c>
      <c r="D626" s="143" t="s">
        <v>4406</v>
      </c>
      <c r="E626" s="145" t="s">
        <v>4407</v>
      </c>
      <c r="I626" s="106" t="s">
        <v>4027</v>
      </c>
      <c r="J626" s="86">
        <v>125</v>
      </c>
      <c r="L626" s="100">
        <v>2450</v>
      </c>
      <c r="M626" s="100">
        <v>3150</v>
      </c>
      <c r="N626" s="136">
        <f t="shared" si="25"/>
        <v>7.7175000000000002</v>
      </c>
      <c r="P626" s="90" t="s">
        <v>1132</v>
      </c>
      <c r="Q626" s="86" t="s">
        <v>3054</v>
      </c>
      <c r="R626" s="86" t="s">
        <v>3069</v>
      </c>
      <c r="S626" s="86" t="s">
        <v>2766</v>
      </c>
      <c r="T626" s="91">
        <v>0.75</v>
      </c>
      <c r="U626" s="92">
        <v>10</v>
      </c>
      <c r="V626" s="93">
        <v>1</v>
      </c>
      <c r="W626" s="94" t="s">
        <v>3050</v>
      </c>
      <c r="AB626" s="86" t="s">
        <v>2769</v>
      </c>
      <c r="AC626" s="98" t="s">
        <v>2165</v>
      </c>
    </row>
    <row r="627" spans="1:29" x14ac:dyDescent="0.4">
      <c r="A627" s="102" t="s">
        <v>202</v>
      </c>
      <c r="B627" s="85" t="s">
        <v>2683</v>
      </c>
      <c r="C627" s="84" t="s">
        <v>3702</v>
      </c>
      <c r="D627" s="143" t="s">
        <v>4406</v>
      </c>
      <c r="E627" s="145" t="s">
        <v>4407</v>
      </c>
      <c r="I627" s="106" t="s">
        <v>2765</v>
      </c>
      <c r="L627" s="100">
        <v>2800</v>
      </c>
      <c r="M627" s="100">
        <v>3600</v>
      </c>
      <c r="N627" s="136">
        <f t="shared" si="25"/>
        <v>10.08</v>
      </c>
      <c r="P627" s="63" t="s">
        <v>3177</v>
      </c>
      <c r="Q627" s="86" t="s">
        <v>3054</v>
      </c>
      <c r="R627" s="86"/>
      <c r="T627" s="91">
        <v>1.5</v>
      </c>
      <c r="Z627" s="87" t="s">
        <v>3051</v>
      </c>
      <c r="AC627" s="98" t="s">
        <v>3976</v>
      </c>
    </row>
    <row r="628" spans="1:29" x14ac:dyDescent="0.4">
      <c r="A628" s="102" t="s">
        <v>150</v>
      </c>
      <c r="B628" s="85" t="s">
        <v>637</v>
      </c>
      <c r="C628" s="84" t="s">
        <v>1809</v>
      </c>
      <c r="E628" s="145"/>
      <c r="I628" s="106" t="s">
        <v>1133</v>
      </c>
      <c r="L628" s="100">
        <v>4200</v>
      </c>
      <c r="M628" s="100">
        <v>4800</v>
      </c>
      <c r="N628" s="136">
        <f t="shared" si="25"/>
        <v>20.16</v>
      </c>
      <c r="R628" s="86"/>
      <c r="AC628" s="98" t="s">
        <v>1822</v>
      </c>
    </row>
    <row r="629" spans="1:29" x14ac:dyDescent="0.4">
      <c r="A629" s="102" t="s">
        <v>323</v>
      </c>
      <c r="B629" s="85" t="s">
        <v>759</v>
      </c>
      <c r="C629" s="84" t="s">
        <v>4384</v>
      </c>
      <c r="D629" s="143" t="s">
        <v>4383</v>
      </c>
      <c r="E629" s="145" t="s">
        <v>4385</v>
      </c>
      <c r="I629" s="106" t="s">
        <v>4027</v>
      </c>
      <c r="J629" s="86">
        <v>150</v>
      </c>
      <c r="L629" s="100">
        <v>4600</v>
      </c>
      <c r="M629" s="100">
        <v>3450</v>
      </c>
      <c r="N629" s="136">
        <f t="shared" si="25"/>
        <v>15.87</v>
      </c>
      <c r="P629" s="90" t="s">
        <v>1132</v>
      </c>
      <c r="Q629" s="86" t="s">
        <v>3053</v>
      </c>
      <c r="R629" s="86"/>
      <c r="S629" s="86" t="s">
        <v>2766</v>
      </c>
      <c r="T629" s="91">
        <v>1.5</v>
      </c>
      <c r="V629" s="93">
        <v>0.5</v>
      </c>
      <c r="AA629" s="99" t="s">
        <v>3052</v>
      </c>
      <c r="AB629" s="86" t="s">
        <v>2769</v>
      </c>
      <c r="AC629" s="98" t="s">
        <v>3946</v>
      </c>
    </row>
    <row r="630" spans="1:29" x14ac:dyDescent="0.4">
      <c r="A630" s="102" t="s">
        <v>448</v>
      </c>
      <c r="B630" s="85" t="s">
        <v>825</v>
      </c>
      <c r="C630" s="84" t="s">
        <v>4384</v>
      </c>
      <c r="D630" s="143" t="s">
        <v>4383</v>
      </c>
      <c r="E630" s="145" t="s">
        <v>4385</v>
      </c>
      <c r="I630" s="106" t="s">
        <v>4027</v>
      </c>
      <c r="J630" s="86">
        <v>125</v>
      </c>
      <c r="L630" s="100">
        <v>2300</v>
      </c>
      <c r="M630" s="100">
        <v>3150</v>
      </c>
      <c r="N630" s="136">
        <f t="shared" si="25"/>
        <v>7.2450000000000001</v>
      </c>
      <c r="P630" s="90" t="s">
        <v>1132</v>
      </c>
      <c r="Q630" s="86" t="s">
        <v>3053</v>
      </c>
      <c r="R630" s="86"/>
      <c r="S630" s="86" t="s">
        <v>2768</v>
      </c>
      <c r="T630" s="91">
        <v>0.75</v>
      </c>
      <c r="U630" s="92">
        <v>10</v>
      </c>
      <c r="V630" s="93">
        <v>0.5</v>
      </c>
      <c r="W630" s="94" t="s">
        <v>3050</v>
      </c>
      <c r="AC630" s="98" t="s">
        <v>2892</v>
      </c>
    </row>
    <row r="631" spans="1:29" x14ac:dyDescent="0.4">
      <c r="A631" s="102" t="s">
        <v>471</v>
      </c>
      <c r="B631" s="85" t="s">
        <v>833</v>
      </c>
      <c r="C631" s="84" t="s">
        <v>4384</v>
      </c>
      <c r="D631" s="143" t="s">
        <v>4383</v>
      </c>
      <c r="E631" s="145" t="s">
        <v>4385</v>
      </c>
      <c r="H631" s="86">
        <v>4</v>
      </c>
      <c r="I631" s="106" t="s">
        <v>1131</v>
      </c>
      <c r="J631" s="86">
        <v>150</v>
      </c>
      <c r="L631" s="100">
        <v>5500</v>
      </c>
      <c r="M631" s="100">
        <v>5750</v>
      </c>
      <c r="N631" s="136">
        <f t="shared" si="25"/>
        <v>31.625</v>
      </c>
      <c r="P631" s="90" t="s">
        <v>1132</v>
      </c>
      <c r="Q631" s="86" t="s">
        <v>3053</v>
      </c>
      <c r="R631" s="86"/>
      <c r="S631" s="86" t="s">
        <v>2768</v>
      </c>
      <c r="T631" s="91">
        <v>1.5</v>
      </c>
      <c r="U631" s="92">
        <v>15</v>
      </c>
      <c r="V631" s="93">
        <v>1</v>
      </c>
      <c r="AB631" s="86" t="s">
        <v>2769</v>
      </c>
      <c r="AC631" s="98" t="s">
        <v>3913</v>
      </c>
    </row>
    <row r="632" spans="1:29" x14ac:dyDescent="0.4">
      <c r="A632" s="102" t="s">
        <v>2856</v>
      </c>
      <c r="B632" s="85" t="s">
        <v>833</v>
      </c>
      <c r="C632" s="84" t="s">
        <v>4384</v>
      </c>
      <c r="D632" s="143" t="s">
        <v>4383</v>
      </c>
      <c r="E632" s="145" t="s">
        <v>4385</v>
      </c>
      <c r="I632" s="106" t="s">
        <v>1133</v>
      </c>
      <c r="J632" s="86">
        <v>200</v>
      </c>
      <c r="L632" s="100">
        <v>8000</v>
      </c>
      <c r="M632" s="100">
        <v>6100</v>
      </c>
      <c r="N632" s="136">
        <f t="shared" si="25"/>
        <v>48.8</v>
      </c>
      <c r="O632" s="88">
        <v>6350</v>
      </c>
      <c r="P632" s="90" t="s">
        <v>1132</v>
      </c>
      <c r="Q632" s="86" t="s">
        <v>3053</v>
      </c>
      <c r="R632" s="86"/>
      <c r="S632" s="86" t="s">
        <v>2766</v>
      </c>
      <c r="T632" s="91">
        <v>3</v>
      </c>
      <c r="U632" s="92" t="s">
        <v>3041</v>
      </c>
      <c r="V632" s="93">
        <v>1.5</v>
      </c>
      <c r="AB632" s="86" t="s">
        <v>2769</v>
      </c>
      <c r="AC632" s="98" t="s">
        <v>3914</v>
      </c>
    </row>
    <row r="633" spans="1:29" x14ac:dyDescent="0.4">
      <c r="A633" s="102" t="s">
        <v>2857</v>
      </c>
      <c r="B633" s="85" t="s">
        <v>833</v>
      </c>
      <c r="C633" s="84" t="s">
        <v>4384</v>
      </c>
      <c r="D633" s="143" t="s">
        <v>4383</v>
      </c>
      <c r="E633" s="145" t="s">
        <v>4385</v>
      </c>
      <c r="H633" s="86">
        <v>2</v>
      </c>
      <c r="I633" s="106" t="s">
        <v>4027</v>
      </c>
      <c r="J633" s="86">
        <v>125</v>
      </c>
      <c r="L633" s="100">
        <v>2300</v>
      </c>
      <c r="M633" s="100">
        <v>3150</v>
      </c>
      <c r="N633" s="136">
        <f t="shared" si="25"/>
        <v>7.2450000000000001</v>
      </c>
      <c r="R633" s="86"/>
      <c r="S633" s="86" t="s">
        <v>2768</v>
      </c>
      <c r="AC633" s="98" t="s">
        <v>2854</v>
      </c>
    </row>
    <row r="634" spans="1:29" x14ac:dyDescent="0.4">
      <c r="A634" s="102" t="s">
        <v>2858</v>
      </c>
      <c r="B634" s="85" t="s">
        <v>833</v>
      </c>
      <c r="C634" s="84" t="s">
        <v>4384</v>
      </c>
      <c r="D634" s="143" t="s">
        <v>4383</v>
      </c>
      <c r="E634" s="145" t="s">
        <v>4385</v>
      </c>
      <c r="H634" s="86">
        <v>2</v>
      </c>
      <c r="I634" s="106" t="s">
        <v>4027</v>
      </c>
      <c r="J634" s="86">
        <v>125</v>
      </c>
      <c r="L634" s="100">
        <v>2300</v>
      </c>
      <c r="M634" s="100">
        <v>3150</v>
      </c>
      <c r="N634" s="136">
        <f t="shared" si="25"/>
        <v>7.2450000000000001</v>
      </c>
      <c r="R634" s="86"/>
      <c r="S634" s="86" t="s">
        <v>2766</v>
      </c>
      <c r="AC634" s="98" t="s">
        <v>2855</v>
      </c>
    </row>
    <row r="635" spans="1:29" x14ac:dyDescent="0.4">
      <c r="A635" s="102" t="s">
        <v>495</v>
      </c>
      <c r="B635" s="85" t="s">
        <v>845</v>
      </c>
      <c r="C635" s="84" t="s">
        <v>4384</v>
      </c>
      <c r="D635" s="143" t="s">
        <v>4383</v>
      </c>
      <c r="E635" s="145" t="s">
        <v>4385</v>
      </c>
      <c r="H635" s="86">
        <v>2</v>
      </c>
      <c r="I635" s="106" t="s">
        <v>4027</v>
      </c>
      <c r="J635" s="86">
        <v>125</v>
      </c>
      <c r="L635" s="100">
        <v>2300</v>
      </c>
      <c r="M635" s="100">
        <v>3150</v>
      </c>
      <c r="N635" s="136">
        <f t="shared" si="25"/>
        <v>7.2450000000000001</v>
      </c>
      <c r="P635" s="90" t="s">
        <v>1132</v>
      </c>
      <c r="Q635" s="86" t="s">
        <v>3053</v>
      </c>
      <c r="R635" s="86" t="s">
        <v>3077</v>
      </c>
      <c r="S635" s="86" t="s">
        <v>2766</v>
      </c>
      <c r="T635" s="91">
        <v>0.75</v>
      </c>
      <c r="U635" s="92">
        <v>10</v>
      </c>
      <c r="AA635" s="99" t="s">
        <v>3052</v>
      </c>
      <c r="AC635" s="98" t="s">
        <v>2823</v>
      </c>
    </row>
    <row r="636" spans="1:29" x14ac:dyDescent="0.4">
      <c r="A636" s="102" t="s">
        <v>451</v>
      </c>
      <c r="B636" s="85" t="s">
        <v>2754</v>
      </c>
      <c r="C636" s="84" t="s">
        <v>4384</v>
      </c>
      <c r="D636" s="143" t="s">
        <v>4383</v>
      </c>
      <c r="E636" s="145" t="s">
        <v>4385</v>
      </c>
      <c r="I636" s="106" t="s">
        <v>4027</v>
      </c>
      <c r="J636" s="86">
        <v>125</v>
      </c>
      <c r="L636" s="100">
        <v>2300</v>
      </c>
      <c r="M636" s="100">
        <v>3150</v>
      </c>
      <c r="N636" s="136">
        <f t="shared" si="25"/>
        <v>7.2450000000000001</v>
      </c>
      <c r="P636" s="90" t="s">
        <v>1132</v>
      </c>
      <c r="Q636" s="86" t="s">
        <v>3053</v>
      </c>
      <c r="R636" s="86" t="s">
        <v>3077</v>
      </c>
      <c r="S636" s="86" t="s">
        <v>2768</v>
      </c>
      <c r="T636" s="91">
        <v>0.75</v>
      </c>
      <c r="U636" s="92">
        <v>10</v>
      </c>
      <c r="AA636" s="99" t="s">
        <v>3052</v>
      </c>
      <c r="AC636" s="98" t="s">
        <v>2817</v>
      </c>
    </row>
    <row r="637" spans="1:29" x14ac:dyDescent="0.4">
      <c r="A637" s="102" t="s">
        <v>1153</v>
      </c>
      <c r="B637" s="85" t="s">
        <v>731</v>
      </c>
      <c r="C637" s="84" t="s">
        <v>2585</v>
      </c>
      <c r="D637" s="143" t="s">
        <v>4164</v>
      </c>
      <c r="E637" s="145"/>
      <c r="I637" s="106" t="s">
        <v>4027</v>
      </c>
      <c r="J637" s="86">
        <v>125</v>
      </c>
      <c r="L637" s="100">
        <v>2400</v>
      </c>
      <c r="M637" s="100">
        <v>3150</v>
      </c>
      <c r="N637" s="136">
        <f t="shared" si="25"/>
        <v>7.56</v>
      </c>
      <c r="P637" s="90" t="s">
        <v>1132</v>
      </c>
      <c r="Q637" s="86" t="s">
        <v>3069</v>
      </c>
      <c r="R637" s="86" t="s">
        <v>3078</v>
      </c>
      <c r="S637" s="86" t="s">
        <v>2766</v>
      </c>
      <c r="T637" s="91">
        <v>0.75</v>
      </c>
      <c r="Z637" s="87" t="s">
        <v>3051</v>
      </c>
      <c r="AB637" s="86" t="s">
        <v>2769</v>
      </c>
      <c r="AC637" s="98" t="s">
        <v>3278</v>
      </c>
    </row>
    <row r="638" spans="1:29" x14ac:dyDescent="0.4">
      <c r="A638" s="102" t="s">
        <v>3213</v>
      </c>
      <c r="B638" s="85" t="s">
        <v>749</v>
      </c>
      <c r="C638" s="84" t="s">
        <v>2585</v>
      </c>
      <c r="D638" s="143" t="s">
        <v>4164</v>
      </c>
      <c r="E638" s="145"/>
      <c r="I638" s="106" t="s">
        <v>1131</v>
      </c>
      <c r="J638" s="86">
        <v>150</v>
      </c>
      <c r="L638" s="100">
        <v>5500</v>
      </c>
      <c r="M638" s="100">
        <v>4000</v>
      </c>
      <c r="N638" s="136">
        <f t="shared" si="25"/>
        <v>22</v>
      </c>
      <c r="P638" s="90" t="s">
        <v>1132</v>
      </c>
      <c r="Q638" s="86" t="s">
        <v>3053</v>
      </c>
      <c r="R638" s="86" t="s">
        <v>3078</v>
      </c>
      <c r="S638" s="86" t="s">
        <v>2766</v>
      </c>
      <c r="T638" s="91">
        <v>1.5</v>
      </c>
      <c r="V638" s="93">
        <v>1</v>
      </c>
      <c r="W638" s="94" t="s">
        <v>3050</v>
      </c>
      <c r="Z638" s="87" t="s">
        <v>3051</v>
      </c>
      <c r="AB638" s="86" t="s">
        <v>2769</v>
      </c>
      <c r="AC638" s="98" t="s">
        <v>3215</v>
      </c>
    </row>
    <row r="639" spans="1:29" x14ac:dyDescent="0.4">
      <c r="A639" s="102" t="s">
        <v>3214</v>
      </c>
      <c r="B639" s="85" t="s">
        <v>749</v>
      </c>
      <c r="C639" s="84" t="s">
        <v>2585</v>
      </c>
      <c r="D639" s="143" t="s">
        <v>4164</v>
      </c>
      <c r="E639" s="145"/>
      <c r="I639" s="106" t="s">
        <v>4027</v>
      </c>
      <c r="J639" s="86">
        <v>125</v>
      </c>
      <c r="L639" s="100">
        <v>3600</v>
      </c>
      <c r="M639" s="100">
        <v>3000</v>
      </c>
      <c r="N639" s="136">
        <f t="shared" si="25"/>
        <v>10.8</v>
      </c>
      <c r="P639" s="90" t="s">
        <v>1132</v>
      </c>
      <c r="Q639" s="86" t="s">
        <v>3053</v>
      </c>
      <c r="R639" s="86"/>
      <c r="S639" s="86" t="s">
        <v>2768</v>
      </c>
      <c r="T639" s="91">
        <v>0.75</v>
      </c>
      <c r="V639" s="93">
        <v>1</v>
      </c>
      <c r="Z639" s="87" t="s">
        <v>3051</v>
      </c>
      <c r="AB639" s="86" t="s">
        <v>2769</v>
      </c>
      <c r="AC639" s="98" t="s">
        <v>3216</v>
      </c>
    </row>
    <row r="640" spans="1:29" x14ac:dyDescent="0.4">
      <c r="A640" s="102" t="s">
        <v>453</v>
      </c>
      <c r="B640" s="85" t="s">
        <v>826</v>
      </c>
      <c r="C640" s="84" t="s">
        <v>2585</v>
      </c>
      <c r="D640" s="143" t="s">
        <v>4164</v>
      </c>
      <c r="E640" s="145"/>
      <c r="I640" s="106" t="s">
        <v>4027</v>
      </c>
      <c r="J640" s="86">
        <v>125</v>
      </c>
      <c r="L640" s="89">
        <v>2600</v>
      </c>
      <c r="M640" s="89">
        <v>2500</v>
      </c>
      <c r="N640" s="136">
        <f t="shared" si="25"/>
        <v>6.5</v>
      </c>
      <c r="P640" s="90" t="s">
        <v>1132</v>
      </c>
      <c r="Q640" s="86" t="s">
        <v>3053</v>
      </c>
      <c r="R640" s="86"/>
      <c r="S640" s="86" t="s">
        <v>2768</v>
      </c>
      <c r="T640" s="91">
        <v>0.75</v>
      </c>
      <c r="U640" s="92">
        <v>10</v>
      </c>
      <c r="V640" s="93">
        <v>1</v>
      </c>
      <c r="AB640" s="86" t="s">
        <v>2769</v>
      </c>
      <c r="AC640" s="98" t="s">
        <v>2162</v>
      </c>
    </row>
    <row r="641" spans="1:29" x14ac:dyDescent="0.4">
      <c r="A641" s="102" t="s">
        <v>475</v>
      </c>
      <c r="B641" s="85" t="s">
        <v>836</v>
      </c>
      <c r="C641" s="84" t="s">
        <v>2585</v>
      </c>
      <c r="D641" s="143" t="s">
        <v>4164</v>
      </c>
      <c r="E641" s="145"/>
      <c r="I641" s="106" t="s">
        <v>4027</v>
      </c>
      <c r="J641" s="86">
        <v>125</v>
      </c>
      <c r="L641" s="100">
        <v>3100</v>
      </c>
      <c r="M641" s="100">
        <v>3150</v>
      </c>
      <c r="N641" s="136">
        <f t="shared" si="25"/>
        <v>9.7650000000000006</v>
      </c>
      <c r="P641" s="90" t="s">
        <v>1132</v>
      </c>
      <c r="Q641" s="86" t="s">
        <v>3053</v>
      </c>
      <c r="R641" s="86"/>
      <c r="S641" s="86" t="s">
        <v>2766</v>
      </c>
      <c r="T641" s="91">
        <v>0.75</v>
      </c>
      <c r="U641" s="92">
        <v>10</v>
      </c>
      <c r="V641" s="93">
        <v>1</v>
      </c>
      <c r="AB641" s="86" t="s">
        <v>2769</v>
      </c>
      <c r="AC641" s="98" t="s">
        <v>2120</v>
      </c>
    </row>
    <row r="642" spans="1:29" x14ac:dyDescent="0.4">
      <c r="A642" s="83" t="s">
        <v>4078</v>
      </c>
      <c r="B642" s="64" t="s">
        <v>4080</v>
      </c>
      <c r="C642" s="84" t="s">
        <v>2585</v>
      </c>
      <c r="D642" s="143" t="s">
        <v>4164</v>
      </c>
      <c r="E642" s="145" t="s">
        <v>4411</v>
      </c>
      <c r="F642" s="143" t="s">
        <v>4117</v>
      </c>
      <c r="G642" s="143" t="s">
        <v>4116</v>
      </c>
      <c r="H642" s="86">
        <v>1</v>
      </c>
      <c r="I642" s="106" t="s">
        <v>4027</v>
      </c>
      <c r="J642" s="86">
        <v>125</v>
      </c>
      <c r="L642" s="89">
        <v>2000</v>
      </c>
      <c r="M642" s="89">
        <v>2350</v>
      </c>
      <c r="N642" s="136">
        <f t="shared" si="25"/>
        <v>4.7</v>
      </c>
      <c r="P642" s="90" t="s">
        <v>1132</v>
      </c>
      <c r="Q642" s="86" t="s">
        <v>3062</v>
      </c>
      <c r="R642" s="86" t="s">
        <v>4030</v>
      </c>
      <c r="S642" s="86" t="s">
        <v>2768</v>
      </c>
      <c r="T642" s="91">
        <v>0.75</v>
      </c>
      <c r="U642" s="92">
        <f>IF(T642="NA","-",IF(T642&gt;=1.5,15,IF(T642=0.75,10,"")))</f>
        <v>10</v>
      </c>
      <c r="V642" s="93">
        <v>1</v>
      </c>
      <c r="W642" s="94" t="s">
        <v>4065</v>
      </c>
      <c r="X642" s="86" t="s">
        <v>4037</v>
      </c>
      <c r="AB642" s="86" t="s">
        <v>2769</v>
      </c>
    </row>
    <row r="643" spans="1:29" x14ac:dyDescent="0.4">
      <c r="A643" s="83" t="s">
        <v>4161</v>
      </c>
      <c r="B643" s="64" t="s">
        <v>4162</v>
      </c>
      <c r="C643" s="84" t="s">
        <v>2585</v>
      </c>
      <c r="D643" s="143" t="s">
        <v>4164</v>
      </c>
      <c r="E643" s="143" t="s">
        <v>4412</v>
      </c>
      <c r="F643" s="146" t="s">
        <v>4163</v>
      </c>
      <c r="G643" s="143" t="s">
        <v>4165</v>
      </c>
      <c r="H643" s="86">
        <v>1</v>
      </c>
      <c r="I643" s="106" t="s">
        <v>4027</v>
      </c>
      <c r="J643" s="86">
        <v>125</v>
      </c>
      <c r="L643" s="89">
        <v>2450</v>
      </c>
      <c r="M643" s="89">
        <v>2500</v>
      </c>
      <c r="N643" s="136">
        <f t="shared" si="25"/>
        <v>6.125</v>
      </c>
      <c r="P643" s="90" t="s">
        <v>1132</v>
      </c>
      <c r="Q643" s="86" t="s">
        <v>4112</v>
      </c>
      <c r="R643" s="86" t="s">
        <v>4030</v>
      </c>
      <c r="S643" s="86" t="s">
        <v>2766</v>
      </c>
      <c r="T643" s="91">
        <v>0.75</v>
      </c>
      <c r="U643" s="92">
        <f>IF(T643="NA","-",IF(T643&gt;=1.5,15,IF(T643=0.75,10,"")))</f>
        <v>10</v>
      </c>
      <c r="V643" s="93">
        <v>1</v>
      </c>
      <c r="W643" s="94" t="s">
        <v>4065</v>
      </c>
      <c r="X643" s="86" t="s">
        <v>4037</v>
      </c>
      <c r="Y643" s="99" t="s">
        <v>3046</v>
      </c>
      <c r="AB643" s="86" t="s">
        <v>2769</v>
      </c>
      <c r="AC643" s="98" t="s">
        <v>4166</v>
      </c>
    </row>
    <row r="644" spans="1:29" x14ac:dyDescent="0.4">
      <c r="A644" s="102" t="s">
        <v>2799</v>
      </c>
      <c r="B644" s="85" t="s">
        <v>852</v>
      </c>
      <c r="C644" s="84" t="s">
        <v>2805</v>
      </c>
      <c r="E644" s="145"/>
      <c r="H644" s="86">
        <v>3</v>
      </c>
      <c r="I644" s="106" t="s">
        <v>4027</v>
      </c>
      <c r="J644" s="86">
        <v>125</v>
      </c>
      <c r="L644" s="100">
        <v>3500</v>
      </c>
      <c r="M644" s="100">
        <v>4150</v>
      </c>
      <c r="N644" s="136">
        <f t="shared" si="25"/>
        <v>14.525</v>
      </c>
      <c r="P644" s="90" t="s">
        <v>1132</v>
      </c>
      <c r="Q644" s="86" t="s">
        <v>3053</v>
      </c>
      <c r="R644" s="86"/>
      <c r="S644" s="86" t="s">
        <v>2768</v>
      </c>
      <c r="T644" s="91">
        <v>0.75</v>
      </c>
      <c r="U644" s="92">
        <v>10</v>
      </c>
      <c r="V644" s="93">
        <v>1.5</v>
      </c>
      <c r="W644" s="86" t="s">
        <v>3050</v>
      </c>
      <c r="Z644" s="99" t="s">
        <v>3051</v>
      </c>
      <c r="AB644" s="86" t="s">
        <v>2769</v>
      </c>
      <c r="AC644" s="98" t="s">
        <v>2808</v>
      </c>
    </row>
    <row r="645" spans="1:29" x14ac:dyDescent="0.4">
      <c r="A645" s="102" t="s">
        <v>2801</v>
      </c>
      <c r="B645" s="85" t="s">
        <v>852</v>
      </c>
      <c r="C645" s="84" t="s">
        <v>2805</v>
      </c>
      <c r="E645" s="145"/>
      <c r="H645" s="86">
        <v>5</v>
      </c>
      <c r="I645" s="106" t="s">
        <v>4027</v>
      </c>
      <c r="J645" s="86">
        <v>125</v>
      </c>
      <c r="L645" s="100">
        <v>3500</v>
      </c>
      <c r="M645" s="100">
        <v>4150</v>
      </c>
      <c r="N645" s="136">
        <f t="shared" ref="N645:N652" si="26">L645*M645/1000000</f>
        <v>14.525</v>
      </c>
      <c r="P645" s="90" t="s">
        <v>1132</v>
      </c>
      <c r="Q645" s="86" t="s">
        <v>3053</v>
      </c>
      <c r="R645" s="86"/>
      <c r="S645" s="86" t="s">
        <v>2766</v>
      </c>
      <c r="T645" s="91">
        <v>0.75</v>
      </c>
      <c r="U645" s="92">
        <v>10</v>
      </c>
      <c r="V645" s="93">
        <v>1.5</v>
      </c>
      <c r="W645" s="86" t="s">
        <v>3050</v>
      </c>
      <c r="Z645" s="99" t="s">
        <v>3051</v>
      </c>
      <c r="AB645" s="86" t="s">
        <v>2769</v>
      </c>
      <c r="AC645" s="98" t="s">
        <v>2810</v>
      </c>
    </row>
    <row r="646" spans="1:29" x14ac:dyDescent="0.4">
      <c r="A646" s="102" t="s">
        <v>2802</v>
      </c>
      <c r="B646" s="85" t="s">
        <v>852</v>
      </c>
      <c r="C646" s="84" t="s">
        <v>2805</v>
      </c>
      <c r="E646" s="145"/>
      <c r="H646" s="86">
        <v>2</v>
      </c>
      <c r="I646" s="106" t="s">
        <v>1131</v>
      </c>
      <c r="J646" s="86">
        <v>150</v>
      </c>
      <c r="L646" s="100">
        <v>5000</v>
      </c>
      <c r="M646" s="100">
        <v>5000</v>
      </c>
      <c r="N646" s="136">
        <f t="shared" si="26"/>
        <v>25</v>
      </c>
      <c r="P646" s="90" t="s">
        <v>1132</v>
      </c>
      <c r="Q646" s="86" t="s">
        <v>3053</v>
      </c>
      <c r="R646" s="86"/>
      <c r="S646" s="86" t="s">
        <v>2768</v>
      </c>
      <c r="T646" s="91">
        <v>1.5</v>
      </c>
      <c r="U646" s="92">
        <v>15</v>
      </c>
      <c r="V646" s="93">
        <v>1.5</v>
      </c>
      <c r="W646" s="86" t="s">
        <v>3050</v>
      </c>
      <c r="AB646" s="86" t="s">
        <v>2769</v>
      </c>
      <c r="AC646" s="98" t="s">
        <v>2809</v>
      </c>
    </row>
    <row r="647" spans="1:29" x14ac:dyDescent="0.4">
      <c r="A647" s="102" t="s">
        <v>2803</v>
      </c>
      <c r="B647" s="85" t="s">
        <v>2800</v>
      </c>
      <c r="C647" s="84" t="s">
        <v>2805</v>
      </c>
      <c r="E647" s="145"/>
      <c r="H647" s="86">
        <v>1</v>
      </c>
      <c r="I647" s="106" t="s">
        <v>4027</v>
      </c>
      <c r="J647" s="86">
        <v>125</v>
      </c>
      <c r="L647" s="100">
        <v>2500</v>
      </c>
      <c r="M647" s="100">
        <v>3250</v>
      </c>
      <c r="N647" s="136">
        <f t="shared" si="26"/>
        <v>8.125</v>
      </c>
      <c r="P647" s="90" t="s">
        <v>1132</v>
      </c>
      <c r="Q647" s="86" t="s">
        <v>3054</v>
      </c>
      <c r="R647" s="86"/>
      <c r="S647" s="86" t="s">
        <v>2768</v>
      </c>
      <c r="T647" s="91">
        <v>0.75</v>
      </c>
      <c r="U647" s="92">
        <v>10</v>
      </c>
      <c r="V647" s="93">
        <v>1</v>
      </c>
      <c r="W647" s="86" t="s">
        <v>3050</v>
      </c>
      <c r="AB647" s="86" t="s">
        <v>2769</v>
      </c>
      <c r="AC647" s="98" t="s">
        <v>2806</v>
      </c>
    </row>
    <row r="648" spans="1:29" x14ac:dyDescent="0.4">
      <c r="A648" s="102" t="s">
        <v>2804</v>
      </c>
      <c r="B648" s="85" t="s">
        <v>2800</v>
      </c>
      <c r="C648" s="84" t="s">
        <v>2805</v>
      </c>
      <c r="E648" s="145"/>
      <c r="H648" s="86">
        <v>1</v>
      </c>
      <c r="I648" s="106" t="s">
        <v>4027</v>
      </c>
      <c r="J648" s="86">
        <v>125</v>
      </c>
      <c r="L648" s="100">
        <v>3000</v>
      </c>
      <c r="M648" s="100">
        <v>3650</v>
      </c>
      <c r="N648" s="136">
        <f t="shared" si="26"/>
        <v>10.95</v>
      </c>
      <c r="P648" s="90" t="s">
        <v>1132</v>
      </c>
      <c r="Q648" s="86" t="s">
        <v>3054</v>
      </c>
      <c r="R648" s="86"/>
      <c r="S648" s="86" t="s">
        <v>2766</v>
      </c>
      <c r="T648" s="91">
        <v>0.75</v>
      </c>
      <c r="U648" s="92">
        <v>10</v>
      </c>
      <c r="V648" s="93">
        <v>1</v>
      </c>
      <c r="W648" s="86" t="s">
        <v>3050</v>
      </c>
      <c r="AB648" s="86" t="s">
        <v>2769</v>
      </c>
      <c r="AC648" s="98" t="s">
        <v>2807</v>
      </c>
    </row>
    <row r="649" spans="1:29" x14ac:dyDescent="0.4">
      <c r="A649" s="102" t="s">
        <v>4124</v>
      </c>
      <c r="B649" s="85" t="s">
        <v>4126</v>
      </c>
      <c r="C649" s="84" t="s">
        <v>2805</v>
      </c>
      <c r="E649" s="145"/>
      <c r="H649" s="86">
        <v>3</v>
      </c>
      <c r="I649" s="106" t="s">
        <v>4027</v>
      </c>
      <c r="J649" s="86">
        <v>125</v>
      </c>
      <c r="L649" s="100">
        <v>3500</v>
      </c>
      <c r="M649" s="100">
        <v>4150</v>
      </c>
      <c r="N649" s="136">
        <f t="shared" si="26"/>
        <v>14.525</v>
      </c>
      <c r="P649" s="90" t="s">
        <v>1132</v>
      </c>
      <c r="Q649" s="86" t="s">
        <v>3053</v>
      </c>
      <c r="R649" s="86"/>
      <c r="S649" s="86" t="s">
        <v>2768</v>
      </c>
      <c r="T649" s="91">
        <v>0.75</v>
      </c>
      <c r="U649" s="92">
        <v>10</v>
      </c>
      <c r="V649" s="93">
        <v>1.5</v>
      </c>
      <c r="W649" s="86" t="s">
        <v>3050</v>
      </c>
      <c r="Z649" s="99" t="s">
        <v>3051</v>
      </c>
      <c r="AB649" s="86" t="s">
        <v>2769</v>
      </c>
      <c r="AC649" s="98" t="s">
        <v>2808</v>
      </c>
    </row>
    <row r="650" spans="1:29" x14ac:dyDescent="0.4">
      <c r="A650" s="102" t="s">
        <v>4125</v>
      </c>
      <c r="B650" s="85" t="s">
        <v>4126</v>
      </c>
      <c r="C650" s="84" t="s">
        <v>2805</v>
      </c>
      <c r="E650" s="145"/>
      <c r="H650" s="86">
        <v>2</v>
      </c>
      <c r="I650" s="106" t="s">
        <v>1131</v>
      </c>
      <c r="J650" s="86">
        <v>150</v>
      </c>
      <c r="L650" s="100">
        <v>5000</v>
      </c>
      <c r="M650" s="100">
        <v>5000</v>
      </c>
      <c r="N650" s="136">
        <f t="shared" si="26"/>
        <v>25</v>
      </c>
      <c r="P650" s="90" t="s">
        <v>1132</v>
      </c>
      <c r="Q650" s="86" t="s">
        <v>3053</v>
      </c>
      <c r="R650" s="86"/>
      <c r="S650" s="86" t="s">
        <v>2768</v>
      </c>
      <c r="T650" s="91">
        <v>1.5</v>
      </c>
      <c r="U650" s="92">
        <v>15</v>
      </c>
      <c r="V650" s="93">
        <v>1.5</v>
      </c>
      <c r="W650" s="86" t="s">
        <v>3050</v>
      </c>
      <c r="AB650" s="86" t="s">
        <v>2769</v>
      </c>
      <c r="AC650" s="98" t="s">
        <v>2809</v>
      </c>
    </row>
    <row r="651" spans="1:29" x14ac:dyDescent="0.4">
      <c r="A651" s="102" t="s">
        <v>4127</v>
      </c>
      <c r="B651" s="85" t="s">
        <v>2800</v>
      </c>
      <c r="C651" s="84" t="s">
        <v>4129</v>
      </c>
      <c r="E651" s="145"/>
      <c r="I651" s="106" t="s">
        <v>4027</v>
      </c>
      <c r="J651" s="86">
        <v>125</v>
      </c>
      <c r="L651" s="100">
        <v>2500</v>
      </c>
      <c r="M651" s="100">
        <v>3250</v>
      </c>
      <c r="N651" s="136">
        <f t="shared" si="26"/>
        <v>8.125</v>
      </c>
      <c r="P651" s="90" t="s">
        <v>1132</v>
      </c>
      <c r="Q651" s="86" t="s">
        <v>3054</v>
      </c>
      <c r="R651" s="86" t="s">
        <v>3078</v>
      </c>
      <c r="S651" s="86" t="s">
        <v>2768</v>
      </c>
      <c r="T651" s="91">
        <v>0.75</v>
      </c>
      <c r="U651" s="92">
        <v>10</v>
      </c>
      <c r="V651" s="93">
        <v>1</v>
      </c>
      <c r="W651" s="86" t="s">
        <v>3049</v>
      </c>
      <c r="AB651" s="86" t="s">
        <v>2769</v>
      </c>
    </row>
    <row r="652" spans="1:29" x14ac:dyDescent="0.4">
      <c r="A652" s="102" t="s">
        <v>4128</v>
      </c>
      <c r="B652" s="85" t="s">
        <v>2800</v>
      </c>
      <c r="C652" s="84" t="s">
        <v>4129</v>
      </c>
      <c r="E652" s="145"/>
      <c r="I652" s="106" t="s">
        <v>4027</v>
      </c>
      <c r="J652" s="86">
        <v>125</v>
      </c>
      <c r="L652" s="100">
        <v>3000</v>
      </c>
      <c r="M652" s="100">
        <v>3650</v>
      </c>
      <c r="N652" s="136">
        <f t="shared" si="26"/>
        <v>10.95</v>
      </c>
      <c r="P652" s="90" t="s">
        <v>1132</v>
      </c>
      <c r="Q652" s="86" t="s">
        <v>3054</v>
      </c>
      <c r="R652" s="86" t="s">
        <v>3078</v>
      </c>
      <c r="S652" s="86" t="s">
        <v>2766</v>
      </c>
      <c r="T652" s="91">
        <v>0.75</v>
      </c>
      <c r="U652" s="92">
        <v>10</v>
      </c>
      <c r="V652" s="93">
        <v>1</v>
      </c>
      <c r="W652" s="86" t="s">
        <v>3049</v>
      </c>
      <c r="AB652" s="86" t="s">
        <v>2769</v>
      </c>
    </row>
    <row r="653" spans="1:29" x14ac:dyDescent="0.4">
      <c r="A653" s="102" t="s">
        <v>57</v>
      </c>
      <c r="B653" s="85" t="s">
        <v>1432</v>
      </c>
      <c r="C653" s="84" t="s">
        <v>876</v>
      </c>
      <c r="E653" s="145"/>
      <c r="I653" s="106" t="s">
        <v>2998</v>
      </c>
      <c r="R653" s="86"/>
      <c r="AC653" s="98" t="s">
        <v>556</v>
      </c>
    </row>
    <row r="654" spans="1:29" x14ac:dyDescent="0.4">
      <c r="A654" s="102" t="s">
        <v>3888</v>
      </c>
      <c r="B654" s="85" t="s">
        <v>1259</v>
      </c>
      <c r="C654" s="84" t="s">
        <v>1221</v>
      </c>
      <c r="E654" s="145"/>
      <c r="H654" s="86">
        <v>3</v>
      </c>
      <c r="I654" s="106" t="s">
        <v>2765</v>
      </c>
      <c r="L654" s="100">
        <v>3450</v>
      </c>
      <c r="N654" s="136">
        <f>L654*M654/1000000</f>
        <v>0</v>
      </c>
      <c r="O654" s="88">
        <v>4550</v>
      </c>
      <c r="R654" s="86"/>
      <c r="AC654" s="98" t="s">
        <v>3891</v>
      </c>
    </row>
    <row r="655" spans="1:29" x14ac:dyDescent="0.4">
      <c r="A655" s="102" t="s">
        <v>3889</v>
      </c>
      <c r="B655" s="85" t="s">
        <v>1259</v>
      </c>
      <c r="C655" s="84" t="s">
        <v>1221</v>
      </c>
      <c r="E655" s="145"/>
      <c r="H655" s="86">
        <v>2</v>
      </c>
      <c r="I655" s="106" t="s">
        <v>4027</v>
      </c>
      <c r="L655" s="100">
        <v>2700</v>
      </c>
      <c r="M655" s="100">
        <v>4000</v>
      </c>
      <c r="N655" s="136">
        <f>L655*M655/1000000</f>
        <v>10.8</v>
      </c>
      <c r="R655" s="86"/>
      <c r="AC655" s="98" t="s">
        <v>3890</v>
      </c>
    </row>
    <row r="656" spans="1:29" x14ac:dyDescent="0.4">
      <c r="A656" s="102" t="s">
        <v>1611</v>
      </c>
      <c r="B656" s="85" t="s">
        <v>1600</v>
      </c>
      <c r="C656" s="84" t="s">
        <v>3825</v>
      </c>
      <c r="E656" s="145"/>
      <c r="H656" s="86">
        <v>3</v>
      </c>
      <c r="I656" s="106" t="s">
        <v>4027</v>
      </c>
      <c r="L656" s="100">
        <v>2500</v>
      </c>
      <c r="M656" s="100">
        <v>3100</v>
      </c>
      <c r="N656" s="136">
        <f>L656*M656/1000000</f>
        <v>7.75</v>
      </c>
      <c r="R656" s="86"/>
      <c r="S656" s="86" t="s">
        <v>2766</v>
      </c>
      <c r="AC656" s="98" t="s">
        <v>3594</v>
      </c>
    </row>
    <row r="657" spans="1:29" x14ac:dyDescent="0.4">
      <c r="A657" s="102" t="s">
        <v>1612</v>
      </c>
      <c r="B657" s="85" t="s">
        <v>1600</v>
      </c>
      <c r="C657" s="84" t="s">
        <v>3825</v>
      </c>
      <c r="E657" s="145"/>
      <c r="I657" s="106" t="s">
        <v>4027</v>
      </c>
      <c r="L657" s="100">
        <v>2500</v>
      </c>
      <c r="M657" s="100">
        <v>3100</v>
      </c>
      <c r="N657" s="136">
        <f>L657*M657/1000000</f>
        <v>7.75</v>
      </c>
      <c r="R657" s="86"/>
      <c r="S657" s="86" t="s">
        <v>2766</v>
      </c>
      <c r="AC657" s="98" t="s">
        <v>3593</v>
      </c>
    </row>
    <row r="658" spans="1:29" x14ac:dyDescent="0.4">
      <c r="A658" s="102" t="s">
        <v>1613</v>
      </c>
      <c r="B658" s="85" t="s">
        <v>1600</v>
      </c>
      <c r="C658" s="84" t="s">
        <v>4207</v>
      </c>
      <c r="E658" s="145"/>
      <c r="I658" s="106" t="s">
        <v>1133</v>
      </c>
      <c r="R658" s="86"/>
      <c r="AC658" s="98" t="s">
        <v>1610</v>
      </c>
    </row>
    <row r="659" spans="1:29" x14ac:dyDescent="0.4">
      <c r="A659" s="102" t="s">
        <v>43</v>
      </c>
      <c r="B659" s="85" t="s">
        <v>584</v>
      </c>
      <c r="C659" s="84" t="s">
        <v>1395</v>
      </c>
      <c r="E659" s="145"/>
      <c r="I659" s="106" t="s">
        <v>2998</v>
      </c>
      <c r="R659" s="86"/>
      <c r="AC659" s="98" t="s">
        <v>1394</v>
      </c>
    </row>
    <row r="660" spans="1:29" x14ac:dyDescent="0.4">
      <c r="A660" s="102" t="s">
        <v>81</v>
      </c>
      <c r="B660" s="85" t="s">
        <v>1494</v>
      </c>
      <c r="C660" s="84" t="s">
        <v>1395</v>
      </c>
      <c r="E660" s="145"/>
      <c r="I660" s="106" t="s">
        <v>2998</v>
      </c>
      <c r="R660" s="86"/>
      <c r="AC660" s="98" t="s">
        <v>556</v>
      </c>
    </row>
    <row r="661" spans="1:29" x14ac:dyDescent="0.4">
      <c r="A661" s="102" t="s">
        <v>147</v>
      </c>
      <c r="B661" s="85" t="s">
        <v>636</v>
      </c>
      <c r="C661" s="84" t="s">
        <v>1808</v>
      </c>
      <c r="E661" s="145"/>
      <c r="I661" s="106" t="s">
        <v>3001</v>
      </c>
      <c r="R661" s="86"/>
      <c r="AC661" s="98" t="s">
        <v>1818</v>
      </c>
    </row>
    <row r="662" spans="1:29" x14ac:dyDescent="0.4">
      <c r="A662" s="102" t="s">
        <v>371</v>
      </c>
      <c r="B662" s="85" t="s">
        <v>785</v>
      </c>
      <c r="C662" s="84" t="s">
        <v>4262</v>
      </c>
      <c r="E662" s="145"/>
      <c r="I662" s="106" t="s">
        <v>4027</v>
      </c>
      <c r="J662" s="86">
        <v>125</v>
      </c>
      <c r="L662" s="100">
        <v>3000</v>
      </c>
      <c r="M662" s="100">
        <v>4100</v>
      </c>
      <c r="N662" s="136">
        <f t="shared" ref="N662:N671" si="27">L662*M662/1000000</f>
        <v>12.3</v>
      </c>
      <c r="P662" s="90" t="s">
        <v>1132</v>
      </c>
      <c r="Q662" s="86" t="s">
        <v>3056</v>
      </c>
      <c r="R662" s="86"/>
      <c r="S662" s="86" t="s">
        <v>2766</v>
      </c>
      <c r="T662" s="91">
        <v>0.75</v>
      </c>
      <c r="U662" s="92">
        <v>10</v>
      </c>
      <c r="V662" s="93">
        <v>1</v>
      </c>
      <c r="Z662" s="87" t="s">
        <v>3051</v>
      </c>
      <c r="AB662" s="86" t="s">
        <v>2769</v>
      </c>
      <c r="AC662" s="98" t="s">
        <v>3014</v>
      </c>
    </row>
    <row r="663" spans="1:29" x14ac:dyDescent="0.4">
      <c r="A663" s="102" t="s">
        <v>113</v>
      </c>
      <c r="B663" s="85" t="s">
        <v>1683</v>
      </c>
      <c r="C663" s="84" t="s">
        <v>1693</v>
      </c>
      <c r="D663" s="143" t="s">
        <v>4409</v>
      </c>
      <c r="E663" s="145" t="s">
        <v>4410</v>
      </c>
      <c r="I663" s="106" t="s">
        <v>4027</v>
      </c>
      <c r="L663" s="100">
        <v>3200</v>
      </c>
      <c r="M663" s="100">
        <v>3500</v>
      </c>
      <c r="N663" s="136">
        <f t="shared" si="27"/>
        <v>11.2</v>
      </c>
      <c r="P663" s="63" t="s">
        <v>3375</v>
      </c>
      <c r="R663" s="86"/>
      <c r="S663" s="86" t="s">
        <v>2768</v>
      </c>
      <c r="AC663" s="98" t="s">
        <v>3566</v>
      </c>
    </row>
    <row r="664" spans="1:29" x14ac:dyDescent="0.4">
      <c r="A664" s="102" t="s">
        <v>1734</v>
      </c>
      <c r="B664" s="85" t="s">
        <v>629</v>
      </c>
      <c r="C664" s="84" t="s">
        <v>1693</v>
      </c>
      <c r="D664" s="143" t="s">
        <v>4409</v>
      </c>
      <c r="E664" s="145" t="s">
        <v>4410</v>
      </c>
      <c r="I664" s="106" t="s">
        <v>4027</v>
      </c>
      <c r="J664" s="86">
        <v>100</v>
      </c>
      <c r="L664" s="100">
        <v>2600</v>
      </c>
      <c r="M664" s="100">
        <v>2850</v>
      </c>
      <c r="N664" s="136">
        <f t="shared" si="27"/>
        <v>7.41</v>
      </c>
      <c r="P664" s="63" t="s">
        <v>3818</v>
      </c>
      <c r="R664" s="86"/>
      <c r="S664" s="86" t="s">
        <v>2768</v>
      </c>
      <c r="AC664" s="98" t="s">
        <v>3328</v>
      </c>
    </row>
    <row r="665" spans="1:29" x14ac:dyDescent="0.4">
      <c r="A665" s="102" t="s">
        <v>1735</v>
      </c>
      <c r="B665" s="85" t="s">
        <v>629</v>
      </c>
      <c r="C665" s="84" t="s">
        <v>1693</v>
      </c>
      <c r="D665" s="143" t="s">
        <v>4409</v>
      </c>
      <c r="E665" s="145" t="s">
        <v>4410</v>
      </c>
      <c r="I665" s="106" t="s">
        <v>4027</v>
      </c>
      <c r="J665" s="86">
        <v>100</v>
      </c>
      <c r="L665" s="100">
        <v>3000</v>
      </c>
      <c r="M665" s="100">
        <v>3150</v>
      </c>
      <c r="N665" s="136">
        <f t="shared" si="27"/>
        <v>9.4499999999999993</v>
      </c>
      <c r="P665" s="63" t="s">
        <v>3818</v>
      </c>
      <c r="R665" s="86"/>
      <c r="S665" s="86" t="s">
        <v>2768</v>
      </c>
      <c r="AC665" s="98" t="s">
        <v>3327</v>
      </c>
    </row>
    <row r="666" spans="1:29" x14ac:dyDescent="0.4">
      <c r="A666" s="102" t="s">
        <v>1736</v>
      </c>
      <c r="B666" s="85" t="s">
        <v>629</v>
      </c>
      <c r="C666" s="84" t="s">
        <v>1693</v>
      </c>
      <c r="D666" s="143" t="s">
        <v>4409</v>
      </c>
      <c r="E666" s="145" t="s">
        <v>4410</v>
      </c>
      <c r="I666" s="106" t="s">
        <v>4027</v>
      </c>
      <c r="J666" s="86">
        <v>100</v>
      </c>
      <c r="L666" s="100">
        <v>3050</v>
      </c>
      <c r="M666" s="100">
        <v>2750</v>
      </c>
      <c r="N666" s="136">
        <f t="shared" si="27"/>
        <v>8.3874999999999993</v>
      </c>
      <c r="P666" s="63" t="s">
        <v>3818</v>
      </c>
      <c r="R666" s="86"/>
      <c r="S666" s="86" t="s">
        <v>2768</v>
      </c>
      <c r="AC666" s="98" t="s">
        <v>3326</v>
      </c>
    </row>
    <row r="667" spans="1:29" x14ac:dyDescent="0.4">
      <c r="A667" s="102" t="s">
        <v>1558</v>
      </c>
      <c r="B667" s="85" t="s">
        <v>1232</v>
      </c>
      <c r="C667" s="84" t="s">
        <v>872</v>
      </c>
      <c r="E667" s="145"/>
      <c r="I667" s="106" t="s">
        <v>4027</v>
      </c>
      <c r="L667" s="100">
        <v>2700</v>
      </c>
      <c r="M667" s="100">
        <v>3300</v>
      </c>
      <c r="N667" s="136">
        <f t="shared" si="27"/>
        <v>8.91</v>
      </c>
      <c r="Q667" s="86" t="s">
        <v>3056</v>
      </c>
      <c r="R667" s="86"/>
      <c r="S667" s="125" t="s">
        <v>2768</v>
      </c>
      <c r="AC667" s="98" t="s">
        <v>3895</v>
      </c>
    </row>
    <row r="668" spans="1:29" x14ac:dyDescent="0.4">
      <c r="A668" s="102" t="s">
        <v>42</v>
      </c>
      <c r="B668" s="85" t="s">
        <v>583</v>
      </c>
      <c r="C668" s="84" t="s">
        <v>872</v>
      </c>
      <c r="E668" s="145"/>
      <c r="H668" s="86">
        <v>2</v>
      </c>
      <c r="I668" s="106" t="s">
        <v>4027</v>
      </c>
      <c r="L668" s="100">
        <v>2000</v>
      </c>
      <c r="M668" s="100">
        <v>3300</v>
      </c>
      <c r="N668" s="136">
        <f t="shared" si="27"/>
        <v>6.6</v>
      </c>
      <c r="R668" s="86"/>
      <c r="S668" s="86" t="s">
        <v>2768</v>
      </c>
      <c r="AC668" s="98" t="s">
        <v>3648</v>
      </c>
    </row>
    <row r="669" spans="1:29" x14ac:dyDescent="0.4">
      <c r="A669" s="102" t="s">
        <v>1406</v>
      </c>
      <c r="B669" s="85" t="s">
        <v>588</v>
      </c>
      <c r="C669" s="84" t="s">
        <v>872</v>
      </c>
      <c r="E669" s="145"/>
      <c r="I669" s="106" t="s">
        <v>4027</v>
      </c>
      <c r="L669" s="100">
        <v>2500</v>
      </c>
      <c r="M669" s="100">
        <v>3950</v>
      </c>
      <c r="N669" s="136">
        <f t="shared" si="27"/>
        <v>9.875</v>
      </c>
      <c r="R669" s="86"/>
      <c r="S669" s="86" t="s">
        <v>2768</v>
      </c>
      <c r="AC669" s="98" t="s">
        <v>3645</v>
      </c>
    </row>
    <row r="670" spans="1:29" x14ac:dyDescent="0.4">
      <c r="A670" s="102" t="s">
        <v>1410</v>
      </c>
      <c r="B670" s="85" t="s">
        <v>588</v>
      </c>
      <c r="C670" s="84" t="s">
        <v>872</v>
      </c>
      <c r="E670" s="145"/>
      <c r="I670" s="106" t="s">
        <v>4027</v>
      </c>
      <c r="L670" s="100">
        <v>2700</v>
      </c>
      <c r="M670" s="100">
        <v>3200</v>
      </c>
      <c r="N670" s="136">
        <f t="shared" si="27"/>
        <v>8.64</v>
      </c>
      <c r="R670" s="86"/>
      <c r="S670" s="86" t="s">
        <v>2766</v>
      </c>
      <c r="AC670" s="98" t="s">
        <v>3644</v>
      </c>
    </row>
    <row r="671" spans="1:29" x14ac:dyDescent="0.4">
      <c r="A671" s="102" t="s">
        <v>1411</v>
      </c>
      <c r="B671" s="85" t="s">
        <v>588</v>
      </c>
      <c r="C671" s="84" t="s">
        <v>872</v>
      </c>
      <c r="E671" s="145"/>
      <c r="I671" s="106" t="s">
        <v>1133</v>
      </c>
      <c r="L671" s="100">
        <v>4100</v>
      </c>
      <c r="M671" s="100">
        <v>4500</v>
      </c>
      <c r="N671" s="136">
        <f t="shared" si="27"/>
        <v>18.45</v>
      </c>
      <c r="R671" s="86"/>
      <c r="S671" s="86" t="s">
        <v>2768</v>
      </c>
      <c r="AC671" s="98" t="s">
        <v>1407</v>
      </c>
    </row>
    <row r="672" spans="1:29" x14ac:dyDescent="0.4">
      <c r="A672" s="102" t="s">
        <v>214</v>
      </c>
      <c r="B672" s="85" t="s">
        <v>673</v>
      </c>
      <c r="C672" s="84" t="s">
        <v>3692</v>
      </c>
      <c r="E672" s="145"/>
      <c r="I672" s="106" t="s">
        <v>3002</v>
      </c>
      <c r="L672" s="108"/>
      <c r="R672" s="86"/>
      <c r="AC672" s="98" t="s">
        <v>2399</v>
      </c>
    </row>
    <row r="673" spans="1:29" x14ac:dyDescent="0.4">
      <c r="A673" s="124" t="s">
        <v>4413</v>
      </c>
      <c r="B673" s="85" t="s">
        <v>639</v>
      </c>
      <c r="C673" s="84" t="s">
        <v>3803</v>
      </c>
      <c r="E673" s="145"/>
      <c r="I673" s="106" t="s">
        <v>4027</v>
      </c>
      <c r="L673" s="100">
        <v>2450</v>
      </c>
      <c r="M673" s="100">
        <v>3200</v>
      </c>
      <c r="N673" s="136">
        <f t="shared" ref="N673:N679" si="28">L673*M673/1000000</f>
        <v>7.84</v>
      </c>
      <c r="R673" s="86"/>
      <c r="S673" s="86" t="s">
        <v>2766</v>
      </c>
      <c r="AC673" s="98" t="s">
        <v>1058</v>
      </c>
    </row>
    <row r="674" spans="1:29" x14ac:dyDescent="0.4">
      <c r="A674" s="124" t="s">
        <v>4414</v>
      </c>
      <c r="B674" s="85" t="s">
        <v>639</v>
      </c>
      <c r="C674" s="84" t="s">
        <v>3803</v>
      </c>
      <c r="E674" s="145"/>
      <c r="H674" s="86">
        <v>2</v>
      </c>
      <c r="I674" s="106" t="s">
        <v>4027</v>
      </c>
      <c r="L674" s="100">
        <v>2400</v>
      </c>
      <c r="M674" s="100">
        <v>3100</v>
      </c>
      <c r="N674" s="136">
        <f t="shared" si="28"/>
        <v>7.44</v>
      </c>
      <c r="R674" s="86"/>
      <c r="S674" s="86" t="s">
        <v>2768</v>
      </c>
      <c r="AC674" s="98" t="s">
        <v>3804</v>
      </c>
    </row>
    <row r="675" spans="1:29" x14ac:dyDescent="0.4">
      <c r="A675" s="124" t="s">
        <v>4415</v>
      </c>
      <c r="B675" s="85" t="s">
        <v>639</v>
      </c>
      <c r="C675" s="84" t="s">
        <v>3803</v>
      </c>
      <c r="E675" s="145"/>
      <c r="I675" s="106" t="s">
        <v>4027</v>
      </c>
      <c r="L675" s="100">
        <v>2550</v>
      </c>
      <c r="M675" s="100">
        <v>3200</v>
      </c>
      <c r="N675" s="136">
        <f t="shared" si="28"/>
        <v>8.16</v>
      </c>
      <c r="R675" s="86"/>
      <c r="S675" s="86" t="s">
        <v>2766</v>
      </c>
      <c r="AC675" s="98" t="s">
        <v>3805</v>
      </c>
    </row>
    <row r="676" spans="1:29" x14ac:dyDescent="0.4">
      <c r="A676" s="102" t="s">
        <v>1514</v>
      </c>
      <c r="B676" s="85" t="s">
        <v>602</v>
      </c>
      <c r="C676" s="84" t="s">
        <v>906</v>
      </c>
      <c r="E676" s="145"/>
      <c r="I676" s="106" t="s">
        <v>4027</v>
      </c>
      <c r="L676" s="100">
        <v>2000</v>
      </c>
      <c r="M676" s="100">
        <v>3000</v>
      </c>
      <c r="N676" s="136">
        <f t="shared" si="28"/>
        <v>6</v>
      </c>
      <c r="R676" s="86"/>
      <c r="S676" s="86" t="s">
        <v>2768</v>
      </c>
      <c r="AC676" s="98" t="s">
        <v>3615</v>
      </c>
    </row>
    <row r="677" spans="1:29" x14ac:dyDescent="0.4">
      <c r="A677" s="102" t="s">
        <v>1516</v>
      </c>
      <c r="B677" s="85" t="s">
        <v>602</v>
      </c>
      <c r="C677" s="84" t="s">
        <v>906</v>
      </c>
      <c r="E677" s="145"/>
      <c r="H677" s="86">
        <v>2</v>
      </c>
      <c r="I677" s="106" t="s">
        <v>4027</v>
      </c>
      <c r="L677" s="100">
        <v>2000</v>
      </c>
      <c r="M677" s="100">
        <v>3000</v>
      </c>
      <c r="N677" s="136">
        <f t="shared" si="28"/>
        <v>6</v>
      </c>
      <c r="R677" s="86"/>
      <c r="S677" s="86" t="s">
        <v>2766</v>
      </c>
      <c r="AC677" s="98" t="s">
        <v>3614</v>
      </c>
    </row>
    <row r="678" spans="1:29" x14ac:dyDescent="0.4">
      <c r="A678" s="102" t="s">
        <v>221</v>
      </c>
      <c r="B678" s="85" t="s">
        <v>2686</v>
      </c>
      <c r="C678" s="84" t="s">
        <v>3461</v>
      </c>
      <c r="E678" s="145"/>
      <c r="I678" s="106" t="s">
        <v>1133</v>
      </c>
      <c r="L678" s="100">
        <v>4520</v>
      </c>
      <c r="M678" s="100">
        <v>5020</v>
      </c>
      <c r="N678" s="136">
        <f t="shared" si="28"/>
        <v>22.6904</v>
      </c>
      <c r="O678" s="88">
        <v>5920</v>
      </c>
      <c r="Q678" s="86" t="s">
        <v>3066</v>
      </c>
      <c r="R678" s="86" t="s">
        <v>3066</v>
      </c>
      <c r="S678" s="86" t="s">
        <v>2766</v>
      </c>
      <c r="T678" s="91">
        <v>1.5</v>
      </c>
      <c r="V678" s="93">
        <v>1</v>
      </c>
      <c r="AA678" s="116" t="s">
        <v>3052</v>
      </c>
      <c r="AC678" s="98" t="s">
        <v>3966</v>
      </c>
    </row>
    <row r="679" spans="1:29" x14ac:dyDescent="0.4">
      <c r="A679" s="102" t="s">
        <v>95</v>
      </c>
      <c r="B679" s="85" t="s">
        <v>618</v>
      </c>
      <c r="C679" s="84" t="s">
        <v>882</v>
      </c>
      <c r="E679" s="145"/>
      <c r="I679" s="106" t="s">
        <v>4027</v>
      </c>
      <c r="L679" s="100">
        <v>3000</v>
      </c>
      <c r="M679" s="100">
        <v>3100</v>
      </c>
      <c r="N679" s="136">
        <f t="shared" si="28"/>
        <v>9.3000000000000007</v>
      </c>
      <c r="P679" s="63" t="s">
        <v>3818</v>
      </c>
      <c r="R679" s="86"/>
      <c r="AC679" s="98" t="s">
        <v>3585</v>
      </c>
    </row>
    <row r="680" spans="1:29" x14ac:dyDescent="0.4">
      <c r="A680" s="102" t="s">
        <v>246</v>
      </c>
      <c r="B680" s="85" t="s">
        <v>690</v>
      </c>
      <c r="C680" s="84" t="s">
        <v>2456</v>
      </c>
      <c r="E680" s="145"/>
      <c r="I680" s="106" t="s">
        <v>3028</v>
      </c>
      <c r="L680" s="89"/>
      <c r="M680" s="89"/>
      <c r="N680" s="89"/>
      <c r="R680" s="86"/>
      <c r="U680" s="93" t="s">
        <v>3511</v>
      </c>
      <c r="AC680" s="98" t="s">
        <v>566</v>
      </c>
    </row>
    <row r="681" spans="1:29" x14ac:dyDescent="0.4">
      <c r="A681" s="102" t="s">
        <v>499</v>
      </c>
      <c r="B681" s="85" t="s">
        <v>2753</v>
      </c>
      <c r="C681" s="84" t="s">
        <v>2819</v>
      </c>
      <c r="E681" s="145"/>
      <c r="I681" s="106" t="s">
        <v>4027</v>
      </c>
      <c r="J681" s="86">
        <v>125</v>
      </c>
      <c r="L681" s="100">
        <v>3000</v>
      </c>
      <c r="M681" s="100">
        <v>3600</v>
      </c>
      <c r="N681" s="136">
        <f t="shared" ref="N681:N712" si="29">L681*M681/1000000</f>
        <v>10.8</v>
      </c>
      <c r="P681" s="90" t="s">
        <v>1132</v>
      </c>
      <c r="Q681" s="86" t="s">
        <v>3053</v>
      </c>
      <c r="R681" s="86"/>
      <c r="S681" s="86" t="s">
        <v>2766</v>
      </c>
      <c r="T681" s="91">
        <v>0.75</v>
      </c>
      <c r="U681" s="92">
        <v>10</v>
      </c>
      <c r="V681" s="93">
        <v>2</v>
      </c>
      <c r="W681" s="94" t="s">
        <v>3050</v>
      </c>
      <c r="AB681" s="86" t="s">
        <v>2769</v>
      </c>
      <c r="AC681" s="98" t="s">
        <v>2079</v>
      </c>
    </row>
    <row r="682" spans="1:29" x14ac:dyDescent="0.4">
      <c r="A682" s="102" t="s">
        <v>232</v>
      </c>
      <c r="B682" s="85" t="s">
        <v>2689</v>
      </c>
      <c r="C682" s="84" t="s">
        <v>3456</v>
      </c>
      <c r="E682" s="145"/>
      <c r="I682" s="106" t="s">
        <v>4027</v>
      </c>
      <c r="J682" s="86">
        <v>100</v>
      </c>
      <c r="L682" s="100">
        <v>2125</v>
      </c>
      <c r="M682" s="100">
        <v>3150</v>
      </c>
      <c r="N682" s="136">
        <f t="shared" si="29"/>
        <v>6.6937499999999996</v>
      </c>
      <c r="P682" s="63" t="s">
        <v>3177</v>
      </c>
      <c r="Q682" s="86" t="s">
        <v>3053</v>
      </c>
      <c r="R682" s="86" t="s">
        <v>3078</v>
      </c>
      <c r="V682" s="93">
        <v>2.2000000000000002</v>
      </c>
      <c r="Z682" s="87" t="s">
        <v>3051</v>
      </c>
      <c r="AC682" s="98" t="s">
        <v>3541</v>
      </c>
    </row>
    <row r="683" spans="1:29" x14ac:dyDescent="0.4">
      <c r="A683" s="102" t="s">
        <v>3798</v>
      </c>
      <c r="B683" s="85" t="s">
        <v>642</v>
      </c>
      <c r="C683" s="84" t="s">
        <v>1849</v>
      </c>
      <c r="E683" s="145"/>
      <c r="H683" s="86">
        <v>2</v>
      </c>
      <c r="I683" s="106" t="s">
        <v>4027</v>
      </c>
      <c r="J683" s="86">
        <v>100</v>
      </c>
      <c r="L683" s="100">
        <v>2600</v>
      </c>
      <c r="M683" s="100">
        <v>2850</v>
      </c>
      <c r="N683" s="136">
        <f t="shared" si="29"/>
        <v>7.41</v>
      </c>
      <c r="Q683" s="86" t="s">
        <v>3053</v>
      </c>
      <c r="R683" s="86" t="s">
        <v>3039</v>
      </c>
      <c r="S683" s="86" t="s">
        <v>2768</v>
      </c>
      <c r="Z683" s="87" t="s">
        <v>3051</v>
      </c>
      <c r="AB683" s="86" t="s">
        <v>2769</v>
      </c>
      <c r="AC683" s="98" t="s">
        <v>3796</v>
      </c>
    </row>
    <row r="684" spans="1:29" x14ac:dyDescent="0.4">
      <c r="A684" s="102" t="s">
        <v>3797</v>
      </c>
      <c r="B684" s="85" t="s">
        <v>642</v>
      </c>
      <c r="C684" s="84" t="s">
        <v>1849</v>
      </c>
      <c r="E684" s="145"/>
      <c r="I684" s="106" t="s">
        <v>4027</v>
      </c>
      <c r="J684" s="86">
        <v>100</v>
      </c>
      <c r="L684" s="123">
        <v>2850</v>
      </c>
      <c r="M684" s="100">
        <v>2850</v>
      </c>
      <c r="N684" s="136">
        <f t="shared" si="29"/>
        <v>8.1225000000000005</v>
      </c>
      <c r="Q684" s="86" t="s">
        <v>3053</v>
      </c>
      <c r="R684" s="86" t="s">
        <v>3039</v>
      </c>
      <c r="S684" s="86" t="s">
        <v>2766</v>
      </c>
      <c r="Z684" s="87" t="s">
        <v>3051</v>
      </c>
      <c r="AB684" s="86" t="s">
        <v>2769</v>
      </c>
      <c r="AC684" s="98" t="s">
        <v>3799</v>
      </c>
    </row>
    <row r="685" spans="1:29" x14ac:dyDescent="0.4">
      <c r="A685" s="102" t="s">
        <v>463</v>
      </c>
      <c r="B685" s="85" t="s">
        <v>2746</v>
      </c>
      <c r="C685" s="84" t="s">
        <v>4263</v>
      </c>
      <c r="E685" s="145"/>
      <c r="I685" s="106" t="s">
        <v>4027</v>
      </c>
      <c r="J685" s="86">
        <v>125</v>
      </c>
      <c r="L685" s="100">
        <v>2400</v>
      </c>
      <c r="M685" s="100">
        <v>4200</v>
      </c>
      <c r="N685" s="136">
        <f t="shared" si="29"/>
        <v>10.08</v>
      </c>
      <c r="P685" s="90" t="s">
        <v>1132</v>
      </c>
      <c r="Q685" s="86" t="s">
        <v>3053</v>
      </c>
      <c r="R685" s="86"/>
      <c r="S685" s="86" t="s">
        <v>2768</v>
      </c>
      <c r="T685" s="91">
        <v>0.75</v>
      </c>
      <c r="U685" s="92">
        <v>10</v>
      </c>
      <c r="V685" s="93">
        <v>1</v>
      </c>
      <c r="W685" s="94" t="s">
        <v>3050</v>
      </c>
      <c r="AB685" s="86" t="s">
        <v>2769</v>
      </c>
      <c r="AC685" s="98" t="s">
        <v>2143</v>
      </c>
    </row>
    <row r="686" spans="1:29" x14ac:dyDescent="0.4">
      <c r="A686" s="102" t="s">
        <v>535</v>
      </c>
      <c r="B686" s="85" t="s">
        <v>2763</v>
      </c>
      <c r="C686" s="84" t="s">
        <v>2772</v>
      </c>
      <c r="E686" s="145"/>
      <c r="H686" s="86">
        <v>1</v>
      </c>
      <c r="I686" s="106" t="s">
        <v>4027</v>
      </c>
      <c r="J686" s="86">
        <v>125</v>
      </c>
      <c r="L686" s="100">
        <v>2600</v>
      </c>
      <c r="M686" s="100">
        <v>3150</v>
      </c>
      <c r="N686" s="136">
        <f t="shared" si="29"/>
        <v>8.19</v>
      </c>
      <c r="P686" s="90" t="s">
        <v>1132</v>
      </c>
      <c r="Q686" s="86" t="s">
        <v>3055</v>
      </c>
      <c r="R686" s="86"/>
      <c r="S686" s="86" t="s">
        <v>2766</v>
      </c>
      <c r="T686" s="91">
        <v>0.75</v>
      </c>
      <c r="U686" s="92">
        <v>10</v>
      </c>
      <c r="V686" s="93">
        <v>1</v>
      </c>
      <c r="Z686" s="99" t="s">
        <v>3051</v>
      </c>
      <c r="AB686" s="86" t="s">
        <v>2769</v>
      </c>
      <c r="AC686" s="98" t="s">
        <v>2776</v>
      </c>
    </row>
    <row r="687" spans="1:29" x14ac:dyDescent="0.4">
      <c r="A687" s="102" t="s">
        <v>34</v>
      </c>
      <c r="B687" s="85" t="s">
        <v>1292</v>
      </c>
      <c r="C687" s="84" t="s">
        <v>1299</v>
      </c>
      <c r="E687" s="145"/>
      <c r="I687" s="106" t="s">
        <v>1133</v>
      </c>
      <c r="L687" s="100">
        <v>4200</v>
      </c>
      <c r="M687" s="100">
        <v>4500</v>
      </c>
      <c r="N687" s="136">
        <f t="shared" si="29"/>
        <v>18.899999999999999</v>
      </c>
      <c r="R687" s="86"/>
      <c r="S687" s="86" t="s">
        <v>2768</v>
      </c>
      <c r="AC687" s="98" t="s">
        <v>1298</v>
      </c>
    </row>
    <row r="688" spans="1:29" x14ac:dyDescent="0.4">
      <c r="A688" s="83" t="s">
        <v>4033</v>
      </c>
      <c r="B688" s="64" t="s">
        <v>4034</v>
      </c>
      <c r="C688" s="84" t="s">
        <v>4264</v>
      </c>
      <c r="D688" s="143" t="s">
        <v>4290</v>
      </c>
      <c r="E688" s="145"/>
      <c r="H688" s="86">
        <v>1</v>
      </c>
      <c r="I688" s="106" t="s">
        <v>1131</v>
      </c>
      <c r="J688" s="86">
        <v>150</v>
      </c>
      <c r="L688" s="89">
        <v>5020</v>
      </c>
      <c r="M688" s="89">
        <v>4500</v>
      </c>
      <c r="N688" s="136">
        <f t="shared" si="29"/>
        <v>22.59</v>
      </c>
      <c r="P688" s="90" t="s">
        <v>1132</v>
      </c>
      <c r="Q688" s="86" t="s">
        <v>3053</v>
      </c>
      <c r="R688" s="86" t="s">
        <v>4030</v>
      </c>
      <c r="S688" s="86" t="s">
        <v>2768</v>
      </c>
      <c r="T688" s="91">
        <v>1.5</v>
      </c>
      <c r="U688" s="92">
        <v>15</v>
      </c>
      <c r="V688" s="93">
        <v>1</v>
      </c>
      <c r="W688" s="94" t="s">
        <v>3049</v>
      </c>
      <c r="X688" s="86" t="s">
        <v>4038</v>
      </c>
      <c r="AB688" s="86" t="s">
        <v>2769</v>
      </c>
      <c r="AC688" s="98" t="s">
        <v>4035</v>
      </c>
    </row>
    <row r="689" spans="1:29" x14ac:dyDescent="0.4">
      <c r="A689" s="83" t="s">
        <v>4197</v>
      </c>
      <c r="B689" s="64" t="s">
        <v>4195</v>
      </c>
      <c r="C689" s="84" t="s">
        <v>4264</v>
      </c>
      <c r="D689" s="143" t="s">
        <v>4290</v>
      </c>
      <c r="H689" s="86">
        <v>1</v>
      </c>
      <c r="I689" s="106" t="s">
        <v>2765</v>
      </c>
      <c r="J689" s="86">
        <v>150</v>
      </c>
      <c r="L689" s="89">
        <v>2450</v>
      </c>
      <c r="M689" s="89">
        <v>3000</v>
      </c>
      <c r="N689" s="136">
        <f t="shared" si="29"/>
        <v>7.35</v>
      </c>
      <c r="P689" s="90" t="s">
        <v>1132</v>
      </c>
      <c r="Q689" s="86" t="s">
        <v>3053</v>
      </c>
      <c r="R689" s="86" t="s">
        <v>4030</v>
      </c>
      <c r="S689" s="86" t="s">
        <v>2766</v>
      </c>
      <c r="T689" s="91">
        <v>0.75</v>
      </c>
      <c r="U689" s="92">
        <f>IF(T689="NA","-",IF(T689&gt;=1.5,15,IF(T689=0.75,10,"")))</f>
        <v>10</v>
      </c>
      <c r="V689" s="93">
        <v>1</v>
      </c>
      <c r="W689" s="94" t="s">
        <v>4065</v>
      </c>
      <c r="X689" s="86" t="s">
        <v>4037</v>
      </c>
      <c r="AB689" s="86" t="s">
        <v>2769</v>
      </c>
    </row>
    <row r="690" spans="1:29" x14ac:dyDescent="0.4">
      <c r="A690" s="83" t="s">
        <v>4196</v>
      </c>
      <c r="B690" s="64" t="s">
        <v>4195</v>
      </c>
      <c r="C690" s="84" t="s">
        <v>4264</v>
      </c>
      <c r="D690" s="143" t="s">
        <v>4290</v>
      </c>
      <c r="H690" s="86">
        <v>1</v>
      </c>
      <c r="I690" s="106" t="s">
        <v>2765</v>
      </c>
      <c r="J690" s="86">
        <v>150</v>
      </c>
      <c r="L690" s="89">
        <v>1850</v>
      </c>
      <c r="M690" s="89">
        <v>2800</v>
      </c>
      <c r="N690" s="136">
        <f t="shared" si="29"/>
        <v>5.18</v>
      </c>
      <c r="P690" s="90" t="s">
        <v>1132</v>
      </c>
      <c r="Q690" s="86" t="s">
        <v>3053</v>
      </c>
      <c r="R690" s="86" t="s">
        <v>4030</v>
      </c>
      <c r="S690" s="86" t="s">
        <v>2766</v>
      </c>
      <c r="T690" s="91">
        <v>0.75</v>
      </c>
      <c r="U690" s="92">
        <f>IF(T690="NA","-",IF(T690&gt;=1.5,15,IF(T690=0.75,10,"")))</f>
        <v>10</v>
      </c>
      <c r="V690" s="93">
        <v>1</v>
      </c>
      <c r="W690" s="94" t="s">
        <v>4065</v>
      </c>
      <c r="X690" s="86" t="s">
        <v>4037</v>
      </c>
      <c r="AB690" s="86" t="s">
        <v>2769</v>
      </c>
    </row>
    <row r="691" spans="1:29" x14ac:dyDescent="0.4">
      <c r="A691" s="102" t="s">
        <v>67</v>
      </c>
      <c r="B691" s="85" t="s">
        <v>1458</v>
      </c>
      <c r="C691" s="84" t="s">
        <v>4265</v>
      </c>
      <c r="E691" s="145"/>
      <c r="I691" s="106" t="s">
        <v>4027</v>
      </c>
      <c r="L691" s="100">
        <v>4300</v>
      </c>
      <c r="M691" s="100">
        <v>4300</v>
      </c>
      <c r="N691" s="136">
        <f t="shared" si="29"/>
        <v>18.489999999999998</v>
      </c>
      <c r="R691" s="86"/>
      <c r="AC691" s="98" t="s">
        <v>3631</v>
      </c>
    </row>
    <row r="692" spans="1:29" x14ac:dyDescent="0.4">
      <c r="A692" s="102" t="s">
        <v>1242</v>
      </c>
      <c r="B692" s="85" t="s">
        <v>1245</v>
      </c>
      <c r="C692" s="84" t="s">
        <v>1243</v>
      </c>
      <c r="E692" s="145"/>
      <c r="I692" s="106" t="s">
        <v>4027</v>
      </c>
      <c r="L692" s="100">
        <v>3000</v>
      </c>
      <c r="M692" s="100">
        <v>3800</v>
      </c>
      <c r="N692" s="136">
        <f t="shared" si="29"/>
        <v>11.4</v>
      </c>
      <c r="R692" s="86"/>
      <c r="AC692" s="98" t="s">
        <v>3896</v>
      </c>
    </row>
    <row r="693" spans="1:29" x14ac:dyDescent="0.4">
      <c r="A693" s="102" t="s">
        <v>403</v>
      </c>
      <c r="B693" s="85" t="s">
        <v>2732</v>
      </c>
      <c r="C693" s="84" t="s">
        <v>2246</v>
      </c>
      <c r="E693" s="145"/>
      <c r="I693" s="106" t="s">
        <v>2998</v>
      </c>
      <c r="L693" s="100">
        <v>4550</v>
      </c>
      <c r="M693" s="100">
        <v>6400</v>
      </c>
      <c r="N693" s="136">
        <f t="shared" si="29"/>
        <v>29.12</v>
      </c>
      <c r="R693" s="86"/>
      <c r="AC693" s="98" t="s">
        <v>2974</v>
      </c>
    </row>
    <row r="694" spans="1:29" x14ac:dyDescent="0.4">
      <c r="A694" s="102" t="s">
        <v>50</v>
      </c>
      <c r="B694" s="85" t="s">
        <v>589</v>
      </c>
      <c r="C694" s="84" t="s">
        <v>4013</v>
      </c>
      <c r="E694" s="145"/>
      <c r="I694" s="106" t="s">
        <v>1133</v>
      </c>
      <c r="L694" s="100">
        <v>4950</v>
      </c>
      <c r="M694" s="100">
        <v>4550</v>
      </c>
      <c r="N694" s="136">
        <f t="shared" si="29"/>
        <v>22.522500000000001</v>
      </c>
      <c r="R694" s="86"/>
      <c r="S694" s="86" t="s">
        <v>2766</v>
      </c>
      <c r="AC694" s="98" t="s">
        <v>1421</v>
      </c>
    </row>
    <row r="695" spans="1:29" x14ac:dyDescent="0.4">
      <c r="A695" s="102" t="s">
        <v>145</v>
      </c>
      <c r="B695" s="85" t="s">
        <v>635</v>
      </c>
      <c r="C695" s="84" t="s">
        <v>1803</v>
      </c>
      <c r="E695" s="145"/>
      <c r="I695" s="106" t="s">
        <v>4027</v>
      </c>
      <c r="L695" s="100">
        <v>2300</v>
      </c>
      <c r="M695" s="100">
        <v>3500</v>
      </c>
      <c r="N695" s="136">
        <f t="shared" si="29"/>
        <v>8.0500000000000007</v>
      </c>
      <c r="Q695" s="86" t="s">
        <v>3250</v>
      </c>
      <c r="R695" s="86"/>
      <c r="Z695" s="87" t="s">
        <v>3051</v>
      </c>
      <c r="AB695" s="86" t="s">
        <v>2769</v>
      </c>
      <c r="AC695" s="98" t="s">
        <v>3306</v>
      </c>
    </row>
    <row r="696" spans="1:29" x14ac:dyDescent="0.4">
      <c r="A696" s="102" t="s">
        <v>1814</v>
      </c>
      <c r="B696" s="85" t="s">
        <v>1813</v>
      </c>
      <c r="C696" s="84" t="s">
        <v>1807</v>
      </c>
      <c r="E696" s="145"/>
      <c r="I696" s="106" t="s">
        <v>4027</v>
      </c>
      <c r="K696" s="88">
        <v>3450</v>
      </c>
      <c r="N696" s="136">
        <f t="shared" si="29"/>
        <v>0</v>
      </c>
      <c r="O696" s="88">
        <v>4020</v>
      </c>
      <c r="Q696" s="86" t="s">
        <v>3053</v>
      </c>
      <c r="R696" s="86"/>
      <c r="S696" s="86" t="s">
        <v>2766</v>
      </c>
      <c r="Z696" s="87" t="s">
        <v>3051</v>
      </c>
      <c r="AB696" s="86" t="s">
        <v>2769</v>
      </c>
      <c r="AC696" s="98" t="s">
        <v>3808</v>
      </c>
    </row>
    <row r="697" spans="1:29" x14ac:dyDescent="0.4">
      <c r="A697" s="102" t="s">
        <v>1815</v>
      </c>
      <c r="B697" s="85" t="s">
        <v>1813</v>
      </c>
      <c r="C697" s="84" t="s">
        <v>1807</v>
      </c>
      <c r="E697" s="145"/>
      <c r="I697" s="106" t="s">
        <v>4027</v>
      </c>
      <c r="K697" s="88">
        <v>4000</v>
      </c>
      <c r="N697" s="136">
        <f t="shared" si="29"/>
        <v>0</v>
      </c>
      <c r="O697" s="88">
        <v>3620</v>
      </c>
      <c r="Q697" s="86" t="s">
        <v>3053</v>
      </c>
      <c r="R697" s="86"/>
      <c r="S697" s="86" t="s">
        <v>2766</v>
      </c>
      <c r="Z697" s="87" t="s">
        <v>3051</v>
      </c>
      <c r="AB697" s="86" t="s">
        <v>2769</v>
      </c>
      <c r="AC697" s="98" t="s">
        <v>3304</v>
      </c>
    </row>
    <row r="698" spans="1:29" x14ac:dyDescent="0.4">
      <c r="A698" s="102" t="s">
        <v>38</v>
      </c>
      <c r="B698" s="85" t="s">
        <v>1360</v>
      </c>
      <c r="C698" s="84" t="s">
        <v>4266</v>
      </c>
      <c r="D698" s="143" t="s">
        <v>4320</v>
      </c>
      <c r="E698" s="145"/>
      <c r="H698" s="86">
        <v>2</v>
      </c>
      <c r="I698" s="106" t="s">
        <v>4027</v>
      </c>
      <c r="L698" s="100">
        <v>3000</v>
      </c>
      <c r="M698" s="100">
        <v>3500</v>
      </c>
      <c r="N698" s="136">
        <f t="shared" si="29"/>
        <v>10.5</v>
      </c>
      <c r="Q698" s="86" t="s">
        <v>3063</v>
      </c>
      <c r="R698" s="86"/>
      <c r="S698" s="86" t="s">
        <v>2766</v>
      </c>
      <c r="Z698" s="99" t="s">
        <v>3051</v>
      </c>
      <c r="AC698" s="98" t="s">
        <v>3853</v>
      </c>
    </row>
    <row r="699" spans="1:29" x14ac:dyDescent="0.4">
      <c r="A699" s="102" t="s">
        <v>1459</v>
      </c>
      <c r="B699" s="85" t="s">
        <v>1458</v>
      </c>
      <c r="C699" s="84" t="s">
        <v>4266</v>
      </c>
      <c r="D699" s="143" t="s">
        <v>4320</v>
      </c>
      <c r="E699" s="145"/>
      <c r="I699" s="106" t="s">
        <v>4027</v>
      </c>
      <c r="L699" s="100">
        <v>1530</v>
      </c>
      <c r="M699" s="100">
        <v>2100</v>
      </c>
      <c r="N699" s="136">
        <f t="shared" si="29"/>
        <v>3.2130000000000001</v>
      </c>
      <c r="R699" s="86"/>
      <c r="S699" s="86" t="s">
        <v>2766</v>
      </c>
      <c r="AC699" s="98" t="s">
        <v>3630</v>
      </c>
    </row>
    <row r="700" spans="1:29" x14ac:dyDescent="0.4">
      <c r="A700" s="102" t="s">
        <v>1461</v>
      </c>
      <c r="B700" s="85" t="s">
        <v>1458</v>
      </c>
      <c r="C700" s="84" t="s">
        <v>4266</v>
      </c>
      <c r="D700" s="143" t="s">
        <v>4320</v>
      </c>
      <c r="E700" s="145"/>
      <c r="I700" s="106" t="s">
        <v>4027</v>
      </c>
      <c r="L700" s="100">
        <v>1690</v>
      </c>
      <c r="M700" s="100">
        <v>2400</v>
      </c>
      <c r="N700" s="136">
        <f t="shared" si="29"/>
        <v>4.056</v>
      </c>
      <c r="R700" s="86"/>
      <c r="S700" s="86" t="s">
        <v>2768</v>
      </c>
      <c r="AC700" s="98" t="s">
        <v>3629</v>
      </c>
    </row>
    <row r="701" spans="1:29" x14ac:dyDescent="0.4">
      <c r="A701" s="102" t="s">
        <v>1462</v>
      </c>
      <c r="B701" s="85" t="s">
        <v>1458</v>
      </c>
      <c r="C701" s="84" t="s">
        <v>4266</v>
      </c>
      <c r="D701" s="143" t="s">
        <v>4320</v>
      </c>
      <c r="E701" s="145"/>
      <c r="I701" s="106" t="s">
        <v>4027</v>
      </c>
      <c r="L701" s="100">
        <v>1640</v>
      </c>
      <c r="M701" s="100">
        <v>2950</v>
      </c>
      <c r="N701" s="136">
        <f t="shared" si="29"/>
        <v>4.8380000000000001</v>
      </c>
      <c r="R701" s="86"/>
      <c r="S701" s="86" t="s">
        <v>2766</v>
      </c>
      <c r="AC701" s="98" t="s">
        <v>3628</v>
      </c>
    </row>
    <row r="702" spans="1:29" x14ac:dyDescent="0.4">
      <c r="A702" s="102" t="s">
        <v>1463</v>
      </c>
      <c r="B702" s="85" t="s">
        <v>1458</v>
      </c>
      <c r="C702" s="84" t="s">
        <v>4266</v>
      </c>
      <c r="D702" s="143" t="s">
        <v>4320</v>
      </c>
      <c r="E702" s="145"/>
      <c r="I702" s="106" t="s">
        <v>4027</v>
      </c>
      <c r="L702" s="100">
        <v>1800</v>
      </c>
      <c r="M702" s="100">
        <v>3000</v>
      </c>
      <c r="N702" s="136">
        <f t="shared" si="29"/>
        <v>5.4</v>
      </c>
      <c r="R702" s="86"/>
      <c r="S702" s="86" t="s">
        <v>2768</v>
      </c>
      <c r="AC702" s="98" t="s">
        <v>3627</v>
      </c>
    </row>
    <row r="703" spans="1:29" x14ac:dyDescent="0.4">
      <c r="A703" s="102" t="s">
        <v>1464</v>
      </c>
      <c r="B703" s="85" t="s">
        <v>1458</v>
      </c>
      <c r="C703" s="84" t="s">
        <v>4266</v>
      </c>
      <c r="D703" s="143" t="s">
        <v>4320</v>
      </c>
      <c r="E703" s="145"/>
      <c r="I703" s="106" t="s">
        <v>4027</v>
      </c>
      <c r="L703" s="100">
        <v>1800</v>
      </c>
      <c r="M703" s="100">
        <v>2300</v>
      </c>
      <c r="N703" s="136">
        <f t="shared" si="29"/>
        <v>4.1399999999999997</v>
      </c>
      <c r="R703" s="86"/>
      <c r="S703" s="86" t="s">
        <v>2766</v>
      </c>
      <c r="AC703" s="98" t="s">
        <v>3626</v>
      </c>
    </row>
    <row r="704" spans="1:29" x14ac:dyDescent="0.4">
      <c r="A704" s="102" t="s">
        <v>1504</v>
      </c>
      <c r="B704" s="85" t="s">
        <v>1502</v>
      </c>
      <c r="C704" s="84" t="s">
        <v>902</v>
      </c>
      <c r="E704" s="145"/>
      <c r="H704" s="86">
        <v>3</v>
      </c>
      <c r="I704" s="106" t="s">
        <v>2765</v>
      </c>
      <c r="L704" s="100">
        <v>2750</v>
      </c>
      <c r="M704" s="100">
        <v>4400</v>
      </c>
      <c r="N704" s="136">
        <f t="shared" si="29"/>
        <v>12.1</v>
      </c>
      <c r="R704" s="86"/>
      <c r="AC704" s="98" t="s">
        <v>1658</v>
      </c>
    </row>
    <row r="705" spans="1:29" x14ac:dyDescent="0.4">
      <c r="A705" s="102" t="s">
        <v>1519</v>
      </c>
      <c r="B705" s="85" t="s">
        <v>1510</v>
      </c>
      <c r="C705" s="84" t="s">
        <v>902</v>
      </c>
      <c r="E705" s="145"/>
      <c r="I705" s="106" t="s">
        <v>2765</v>
      </c>
      <c r="L705" s="100">
        <v>2400</v>
      </c>
      <c r="M705" s="100">
        <v>3000</v>
      </c>
      <c r="N705" s="136">
        <f t="shared" si="29"/>
        <v>7.2</v>
      </c>
      <c r="R705" s="86"/>
      <c r="AC705" s="98" t="s">
        <v>1513</v>
      </c>
    </row>
    <row r="706" spans="1:29" x14ac:dyDescent="0.4">
      <c r="A706" s="102" t="s">
        <v>3822</v>
      </c>
      <c r="B706" s="85" t="s">
        <v>622</v>
      </c>
      <c r="C706" s="84" t="s">
        <v>902</v>
      </c>
      <c r="E706" s="145"/>
      <c r="I706" s="106" t="s">
        <v>2765</v>
      </c>
      <c r="L706" s="100">
        <v>2750</v>
      </c>
      <c r="M706" s="100">
        <v>4400</v>
      </c>
      <c r="N706" s="136">
        <f t="shared" si="29"/>
        <v>12.1</v>
      </c>
      <c r="Q706" s="86" t="s">
        <v>3054</v>
      </c>
      <c r="R706" s="86"/>
      <c r="AC706" s="98" t="s">
        <v>1659</v>
      </c>
    </row>
    <row r="707" spans="1:29" x14ac:dyDescent="0.4">
      <c r="A707" s="102" t="s">
        <v>369</v>
      </c>
      <c r="B707" s="85" t="s">
        <v>784</v>
      </c>
      <c r="C707" s="84" t="s">
        <v>4267</v>
      </c>
      <c r="E707" s="145"/>
      <c r="I707" s="106" t="s">
        <v>4027</v>
      </c>
      <c r="J707" s="86">
        <v>125</v>
      </c>
      <c r="L707" s="100">
        <v>2530</v>
      </c>
      <c r="M707" s="100">
        <v>3000</v>
      </c>
      <c r="N707" s="136">
        <f t="shared" si="29"/>
        <v>7.59</v>
      </c>
      <c r="P707" s="90" t="s">
        <v>1132</v>
      </c>
      <c r="Q707" s="86" t="s">
        <v>3056</v>
      </c>
      <c r="R707" s="86"/>
      <c r="S707" s="86" t="s">
        <v>2768</v>
      </c>
      <c r="T707" s="91">
        <v>0.75</v>
      </c>
      <c r="U707" s="92">
        <v>10</v>
      </c>
      <c r="V707" s="93">
        <v>3</v>
      </c>
      <c r="AB707" s="86" t="s">
        <v>2769</v>
      </c>
      <c r="AC707" s="98" t="s">
        <v>3113</v>
      </c>
    </row>
    <row r="708" spans="1:29" x14ac:dyDescent="0.4">
      <c r="A708" s="102" t="s">
        <v>3180</v>
      </c>
      <c r="B708" s="85" t="s">
        <v>767</v>
      </c>
      <c r="C708" s="84" t="s">
        <v>2361</v>
      </c>
      <c r="D708" s="143" t="s">
        <v>4319</v>
      </c>
      <c r="E708" s="145"/>
      <c r="I708" s="106" t="s">
        <v>4027</v>
      </c>
      <c r="J708" s="86">
        <v>125</v>
      </c>
      <c r="L708" s="100">
        <v>2500</v>
      </c>
      <c r="M708" s="100">
        <v>3150</v>
      </c>
      <c r="N708" s="136">
        <f t="shared" si="29"/>
        <v>7.875</v>
      </c>
      <c r="Q708" s="86" t="s">
        <v>3053</v>
      </c>
      <c r="R708" s="86"/>
      <c r="S708" s="86" t="s">
        <v>2768</v>
      </c>
      <c r="T708" s="91">
        <v>0.75</v>
      </c>
      <c r="V708" s="93">
        <v>0.5</v>
      </c>
      <c r="Z708" s="87" t="s">
        <v>3051</v>
      </c>
      <c r="AB708" s="86" t="s">
        <v>2769</v>
      </c>
      <c r="AC708" s="98" t="s">
        <v>3026</v>
      </c>
    </row>
    <row r="709" spans="1:29" x14ac:dyDescent="0.4">
      <c r="A709" s="102" t="s">
        <v>3181</v>
      </c>
      <c r="B709" s="85" t="s">
        <v>767</v>
      </c>
      <c r="C709" s="84" t="s">
        <v>2361</v>
      </c>
      <c r="D709" s="143" t="s">
        <v>4319</v>
      </c>
      <c r="E709" s="145"/>
      <c r="I709" s="106" t="s">
        <v>4027</v>
      </c>
      <c r="J709" s="86">
        <v>125</v>
      </c>
      <c r="K709" s="88">
        <v>2750</v>
      </c>
      <c r="M709" s="100">
        <v>3100</v>
      </c>
      <c r="N709" s="136">
        <f t="shared" si="29"/>
        <v>0</v>
      </c>
      <c r="Q709" s="86" t="s">
        <v>3053</v>
      </c>
      <c r="R709" s="86"/>
      <c r="S709" s="86" t="s">
        <v>2768</v>
      </c>
      <c r="T709" s="91">
        <v>0.75</v>
      </c>
      <c r="V709" s="93">
        <v>2.2999999999999998</v>
      </c>
      <c r="W709" s="94" t="s">
        <v>3049</v>
      </c>
      <c r="AB709" s="86" t="s">
        <v>2769</v>
      </c>
      <c r="AC709" s="98" t="s">
        <v>3182</v>
      </c>
    </row>
    <row r="710" spans="1:29" x14ac:dyDescent="0.4">
      <c r="A710" s="102" t="s">
        <v>105</v>
      </c>
      <c r="B710" s="85" t="s">
        <v>622</v>
      </c>
      <c r="C710" s="84" t="s">
        <v>4321</v>
      </c>
      <c r="D710" s="143" t="s">
        <v>4322</v>
      </c>
      <c r="E710" s="145"/>
      <c r="I710" s="106" t="s">
        <v>4027</v>
      </c>
      <c r="L710" s="100">
        <v>2750</v>
      </c>
      <c r="M710" s="100">
        <v>3650</v>
      </c>
      <c r="N710" s="136">
        <f t="shared" si="29"/>
        <v>10.0375</v>
      </c>
      <c r="Q710" s="86" t="s">
        <v>3069</v>
      </c>
      <c r="R710" s="86" t="s">
        <v>3054</v>
      </c>
      <c r="S710" s="86" t="s">
        <v>2768</v>
      </c>
      <c r="AC710" s="98" t="s">
        <v>3576</v>
      </c>
    </row>
    <row r="711" spans="1:29" x14ac:dyDescent="0.4">
      <c r="A711" s="102" t="s">
        <v>1838</v>
      </c>
      <c r="B711" s="85" t="s">
        <v>641</v>
      </c>
      <c r="C711" s="84" t="s">
        <v>4321</v>
      </c>
      <c r="D711" s="143" t="s">
        <v>4322</v>
      </c>
      <c r="E711" s="145"/>
      <c r="I711" s="106" t="s">
        <v>4027</v>
      </c>
      <c r="L711" s="100">
        <v>3950</v>
      </c>
      <c r="M711" s="100">
        <v>3750</v>
      </c>
      <c r="N711" s="136">
        <f t="shared" si="29"/>
        <v>14.8125</v>
      </c>
      <c r="P711" s="63" t="s">
        <v>3177</v>
      </c>
      <c r="Q711" s="86" t="s">
        <v>3069</v>
      </c>
      <c r="R711" s="86"/>
      <c r="S711" s="86" t="s">
        <v>2766</v>
      </c>
      <c r="T711" s="91">
        <v>0.75</v>
      </c>
      <c r="Z711" s="87" t="s">
        <v>3051</v>
      </c>
      <c r="AB711" s="86" t="s">
        <v>2769</v>
      </c>
      <c r="AC711" s="98" t="s">
        <v>3301</v>
      </c>
    </row>
    <row r="712" spans="1:29" x14ac:dyDescent="0.4">
      <c r="A712" s="102" t="s">
        <v>1840</v>
      </c>
      <c r="B712" s="85" t="s">
        <v>641</v>
      </c>
      <c r="C712" s="84" t="s">
        <v>4321</v>
      </c>
      <c r="D712" s="143" t="s">
        <v>4322</v>
      </c>
      <c r="E712" s="145"/>
      <c r="I712" s="106" t="s">
        <v>4027</v>
      </c>
      <c r="L712" s="100">
        <v>3950</v>
      </c>
      <c r="M712" s="100">
        <v>3750</v>
      </c>
      <c r="N712" s="136">
        <f t="shared" si="29"/>
        <v>14.8125</v>
      </c>
      <c r="P712" s="63" t="s">
        <v>3177</v>
      </c>
      <c r="Q712" s="86" t="s">
        <v>3069</v>
      </c>
      <c r="R712" s="86"/>
      <c r="S712" s="86" t="s">
        <v>2768</v>
      </c>
      <c r="T712" s="91">
        <v>0.75</v>
      </c>
      <c r="Z712" s="87" t="s">
        <v>3051</v>
      </c>
      <c r="AB712" s="86" t="s">
        <v>2769</v>
      </c>
      <c r="AC712" s="98" t="s">
        <v>3300</v>
      </c>
    </row>
    <row r="713" spans="1:29" x14ac:dyDescent="0.4">
      <c r="A713" s="102" t="s">
        <v>1842</v>
      </c>
      <c r="B713" s="85" t="s">
        <v>641</v>
      </c>
      <c r="C713" s="84" t="s">
        <v>4321</v>
      </c>
      <c r="D713" s="143" t="s">
        <v>4322</v>
      </c>
      <c r="E713" s="145"/>
      <c r="H713" s="86">
        <v>5</v>
      </c>
      <c r="I713" s="106" t="s">
        <v>4027</v>
      </c>
      <c r="L713" s="100">
        <v>4000</v>
      </c>
      <c r="M713" s="100">
        <v>3750</v>
      </c>
      <c r="N713" s="136">
        <f t="shared" ref="N713:N730" si="30">L713*M713/1000000</f>
        <v>15</v>
      </c>
      <c r="P713" s="63" t="s">
        <v>3177</v>
      </c>
      <c r="Q713" s="86" t="s">
        <v>3069</v>
      </c>
      <c r="R713" s="86"/>
      <c r="S713" s="86" t="s">
        <v>2766</v>
      </c>
      <c r="T713" s="91">
        <v>0.75</v>
      </c>
      <c r="Z713" s="87" t="s">
        <v>3051</v>
      </c>
      <c r="AB713" s="86" t="s">
        <v>2769</v>
      </c>
      <c r="AC713" s="98" t="s">
        <v>3299</v>
      </c>
    </row>
    <row r="714" spans="1:29" x14ac:dyDescent="0.4">
      <c r="A714" s="102" t="s">
        <v>1845</v>
      </c>
      <c r="B714" s="85" t="s">
        <v>641</v>
      </c>
      <c r="C714" s="84" t="s">
        <v>4321</v>
      </c>
      <c r="D714" s="143" t="s">
        <v>4322</v>
      </c>
      <c r="E714" s="145"/>
      <c r="I714" s="106" t="s">
        <v>4027</v>
      </c>
      <c r="L714" s="100">
        <v>4000</v>
      </c>
      <c r="M714" s="100">
        <v>3750</v>
      </c>
      <c r="N714" s="136">
        <f t="shared" si="30"/>
        <v>15</v>
      </c>
      <c r="P714" s="63" t="s">
        <v>3177</v>
      </c>
      <c r="Q714" s="86" t="s">
        <v>3069</v>
      </c>
      <c r="R714" s="86"/>
      <c r="S714" s="86" t="s">
        <v>2768</v>
      </c>
      <c r="T714" s="91">
        <v>0.75</v>
      </c>
      <c r="Z714" s="87" t="s">
        <v>3051</v>
      </c>
      <c r="AB714" s="86" t="s">
        <v>2769</v>
      </c>
      <c r="AC714" s="98" t="s">
        <v>3298</v>
      </c>
    </row>
    <row r="715" spans="1:29" x14ac:dyDescent="0.4">
      <c r="A715" s="102" t="s">
        <v>364</v>
      </c>
      <c r="B715" s="85" t="s">
        <v>2722</v>
      </c>
      <c r="C715" s="84" t="s">
        <v>4321</v>
      </c>
      <c r="D715" s="143" t="s">
        <v>4322</v>
      </c>
      <c r="E715" s="145"/>
      <c r="I715" s="106" t="s">
        <v>4027</v>
      </c>
      <c r="J715" s="86">
        <v>125</v>
      </c>
      <c r="L715" s="100">
        <v>4000</v>
      </c>
      <c r="M715" s="100">
        <v>3750</v>
      </c>
      <c r="N715" s="136">
        <f t="shared" si="30"/>
        <v>15</v>
      </c>
      <c r="P715" s="63" t="s">
        <v>3177</v>
      </c>
      <c r="Q715" s="86" t="s">
        <v>3062</v>
      </c>
      <c r="R715" s="86" t="s">
        <v>3077</v>
      </c>
      <c r="S715" s="86" t="s">
        <v>2768</v>
      </c>
      <c r="T715" s="91">
        <v>0.75</v>
      </c>
      <c r="V715" s="93">
        <v>0.5</v>
      </c>
      <c r="AA715" s="99" t="s">
        <v>3052</v>
      </c>
      <c r="AB715" s="86" t="s">
        <v>2769</v>
      </c>
      <c r="AC715" s="98" t="s">
        <v>3017</v>
      </c>
    </row>
    <row r="716" spans="1:29" x14ac:dyDescent="0.4">
      <c r="A716" s="102" t="s">
        <v>2983</v>
      </c>
      <c r="B716" s="85" t="s">
        <v>2730</v>
      </c>
      <c r="C716" s="84" t="s">
        <v>4321</v>
      </c>
      <c r="D716" s="143" t="s">
        <v>4322</v>
      </c>
      <c r="E716" s="145"/>
      <c r="H716" s="86">
        <v>2</v>
      </c>
      <c r="I716" s="106" t="s">
        <v>1131</v>
      </c>
      <c r="J716" s="86">
        <v>150</v>
      </c>
      <c r="L716" s="108">
        <v>4750</v>
      </c>
      <c r="M716" s="108">
        <v>4550</v>
      </c>
      <c r="N716" s="136">
        <f t="shared" si="30"/>
        <v>21.612500000000001</v>
      </c>
      <c r="P716" s="63" t="s">
        <v>3177</v>
      </c>
      <c r="Q716" s="86" t="s">
        <v>3068</v>
      </c>
      <c r="R716" s="86"/>
      <c r="S716" s="86" t="s">
        <v>2768</v>
      </c>
      <c r="T716" s="91">
        <v>1.5</v>
      </c>
      <c r="U716" s="92">
        <v>15</v>
      </c>
      <c r="V716" s="93">
        <v>1.5</v>
      </c>
      <c r="AB716" s="86" t="s">
        <v>2769</v>
      </c>
      <c r="AC716" s="98" t="s">
        <v>2982</v>
      </c>
    </row>
    <row r="717" spans="1:29" x14ac:dyDescent="0.4">
      <c r="A717" s="102" t="s">
        <v>2984</v>
      </c>
      <c r="B717" s="85" t="s">
        <v>2730</v>
      </c>
      <c r="C717" s="84" t="s">
        <v>4321</v>
      </c>
      <c r="D717" s="143" t="s">
        <v>4322</v>
      </c>
      <c r="E717" s="145"/>
      <c r="I717" s="106" t="s">
        <v>4027</v>
      </c>
      <c r="J717" s="86">
        <v>125</v>
      </c>
      <c r="L717" s="108">
        <v>1850</v>
      </c>
      <c r="M717" s="108">
        <v>2300</v>
      </c>
      <c r="N717" s="136">
        <f t="shared" si="30"/>
        <v>4.2549999999999999</v>
      </c>
      <c r="P717" s="63" t="s">
        <v>3177</v>
      </c>
      <c r="Q717" s="86" t="s">
        <v>3056</v>
      </c>
      <c r="R717" s="86"/>
      <c r="S717" s="86" t="s">
        <v>2768</v>
      </c>
      <c r="T717" s="91">
        <v>0.75</v>
      </c>
      <c r="U717" s="92">
        <v>10</v>
      </c>
      <c r="V717" s="93">
        <v>1</v>
      </c>
      <c r="AB717" s="86" t="s">
        <v>2769</v>
      </c>
      <c r="AC717" s="98" t="s">
        <v>2985</v>
      </c>
    </row>
    <row r="718" spans="1:29" x14ac:dyDescent="0.4">
      <c r="A718" s="102" t="s">
        <v>426</v>
      </c>
      <c r="B718" s="85" t="s">
        <v>813</v>
      </c>
      <c r="C718" s="84" t="s">
        <v>4321</v>
      </c>
      <c r="D718" s="143" t="s">
        <v>4322</v>
      </c>
      <c r="E718" s="145"/>
      <c r="I718" s="106" t="s">
        <v>4027</v>
      </c>
      <c r="J718" s="86">
        <v>125</v>
      </c>
      <c r="L718" s="100">
        <v>3950</v>
      </c>
      <c r="M718" s="100">
        <v>3800</v>
      </c>
      <c r="N718" s="136">
        <f t="shared" si="30"/>
        <v>15.01</v>
      </c>
      <c r="P718" s="63" t="s">
        <v>3177</v>
      </c>
      <c r="Q718" s="86" t="s">
        <v>3062</v>
      </c>
      <c r="R718" s="86" t="s">
        <v>3078</v>
      </c>
      <c r="S718" s="86" t="s">
        <v>2768</v>
      </c>
      <c r="T718" s="91">
        <v>0.75</v>
      </c>
      <c r="U718" s="92">
        <v>10</v>
      </c>
      <c r="V718" s="93">
        <v>1</v>
      </c>
      <c r="AB718" s="86" t="s">
        <v>2769</v>
      </c>
      <c r="AC718" s="98" t="s">
        <v>2936</v>
      </c>
    </row>
    <row r="719" spans="1:29" x14ac:dyDescent="0.4">
      <c r="A719" s="102" t="s">
        <v>2876</v>
      </c>
      <c r="B719" s="85" t="s">
        <v>827</v>
      </c>
      <c r="C719" s="84" t="s">
        <v>4321</v>
      </c>
      <c r="D719" s="143" t="s">
        <v>4322</v>
      </c>
      <c r="E719" s="145"/>
      <c r="H719" s="86">
        <v>2</v>
      </c>
      <c r="I719" s="106" t="s">
        <v>4027</v>
      </c>
      <c r="J719" s="86">
        <v>125</v>
      </c>
      <c r="L719" s="100">
        <v>4000</v>
      </c>
      <c r="M719" s="100">
        <v>3800</v>
      </c>
      <c r="N719" s="136">
        <f t="shared" si="30"/>
        <v>15.2</v>
      </c>
      <c r="P719" s="63" t="s">
        <v>3177</v>
      </c>
      <c r="Q719" s="86" t="s">
        <v>3059</v>
      </c>
      <c r="R719" s="86"/>
      <c r="S719" s="86" t="s">
        <v>2766</v>
      </c>
      <c r="T719" s="91">
        <v>0.75</v>
      </c>
      <c r="U719" s="92">
        <v>15</v>
      </c>
      <c r="V719" s="93">
        <v>1</v>
      </c>
      <c r="W719" s="94" t="s">
        <v>3050</v>
      </c>
      <c r="AB719" s="86" t="s">
        <v>2769</v>
      </c>
      <c r="AC719" s="98" t="s">
        <v>2877</v>
      </c>
    </row>
    <row r="720" spans="1:29" x14ac:dyDescent="0.4">
      <c r="A720" s="102" t="s">
        <v>2878</v>
      </c>
      <c r="B720" s="85" t="s">
        <v>827</v>
      </c>
      <c r="C720" s="84" t="s">
        <v>4321</v>
      </c>
      <c r="D720" s="143" t="s">
        <v>4322</v>
      </c>
      <c r="E720" s="145"/>
      <c r="H720" s="86">
        <v>2</v>
      </c>
      <c r="I720" s="106" t="s">
        <v>4027</v>
      </c>
      <c r="J720" s="86">
        <v>125</v>
      </c>
      <c r="L720" s="100">
        <v>4000</v>
      </c>
      <c r="M720" s="100">
        <v>3800</v>
      </c>
      <c r="N720" s="136">
        <f t="shared" si="30"/>
        <v>15.2</v>
      </c>
      <c r="P720" s="63" t="s">
        <v>3177</v>
      </c>
      <c r="Q720" s="86" t="s">
        <v>3062</v>
      </c>
      <c r="R720" s="86"/>
      <c r="S720" s="86" t="s">
        <v>2766</v>
      </c>
      <c r="T720" s="91">
        <v>0.75</v>
      </c>
      <c r="U720" s="92">
        <v>15</v>
      </c>
      <c r="V720" s="93">
        <v>1</v>
      </c>
      <c r="W720" s="94" t="s">
        <v>3050</v>
      </c>
      <c r="AB720" s="86" t="s">
        <v>2769</v>
      </c>
      <c r="AC720" s="98" t="s">
        <v>2879</v>
      </c>
    </row>
    <row r="721" spans="1:29" x14ac:dyDescent="0.4">
      <c r="A721" s="102" t="s">
        <v>410</v>
      </c>
      <c r="B721" s="85" t="s">
        <v>804</v>
      </c>
      <c r="C721" s="84" t="s">
        <v>2236</v>
      </c>
      <c r="E721" s="145"/>
      <c r="I721" s="106" t="s">
        <v>4027</v>
      </c>
      <c r="J721" s="86">
        <v>125</v>
      </c>
      <c r="L721" s="100">
        <v>3620</v>
      </c>
      <c r="M721" s="100">
        <v>3700</v>
      </c>
      <c r="N721" s="136">
        <f t="shared" si="30"/>
        <v>13.394</v>
      </c>
      <c r="P721" s="90" t="s">
        <v>1132</v>
      </c>
      <c r="Q721" s="86" t="s">
        <v>3053</v>
      </c>
      <c r="R721" s="86" t="s">
        <v>3078</v>
      </c>
      <c r="S721" s="86" t="s">
        <v>2768</v>
      </c>
      <c r="T721" s="91">
        <v>0.75</v>
      </c>
      <c r="U721" s="92">
        <v>15</v>
      </c>
      <c r="V721" s="93">
        <v>2.5</v>
      </c>
      <c r="AB721" s="86" t="s">
        <v>2769</v>
      </c>
      <c r="AC721" s="98" t="s">
        <v>2959</v>
      </c>
    </row>
    <row r="722" spans="1:29" x14ac:dyDescent="0.4">
      <c r="A722" s="102" t="s">
        <v>1240</v>
      </c>
      <c r="B722" s="85" t="s">
        <v>1237</v>
      </c>
      <c r="C722" s="84" t="s">
        <v>1239</v>
      </c>
      <c r="E722" s="145"/>
      <c r="I722" s="106" t="s">
        <v>4027</v>
      </c>
      <c r="L722" s="100">
        <v>2550</v>
      </c>
      <c r="M722" s="100">
        <v>3500</v>
      </c>
      <c r="N722" s="136">
        <f t="shared" si="30"/>
        <v>8.9250000000000007</v>
      </c>
      <c r="R722" s="86"/>
      <c r="S722" s="86" t="s">
        <v>2768</v>
      </c>
      <c r="AC722" s="98" t="s">
        <v>3672</v>
      </c>
    </row>
    <row r="723" spans="1:29" x14ac:dyDescent="0.4">
      <c r="A723" s="102" t="s">
        <v>362</v>
      </c>
      <c r="B723" s="85" t="s">
        <v>2721</v>
      </c>
      <c r="C723" s="84" t="s">
        <v>2194</v>
      </c>
      <c r="D723" s="143" t="s">
        <v>4353</v>
      </c>
      <c r="E723" s="145"/>
      <c r="I723" s="106" t="s">
        <v>4027</v>
      </c>
      <c r="J723" s="86">
        <v>125</v>
      </c>
      <c r="L723" s="100">
        <v>2990</v>
      </c>
      <c r="M723" s="100">
        <v>4550</v>
      </c>
      <c r="N723" s="136">
        <f t="shared" si="30"/>
        <v>13.6045</v>
      </c>
      <c r="P723" s="90" t="s">
        <v>1132</v>
      </c>
      <c r="Q723" s="86" t="s">
        <v>3062</v>
      </c>
      <c r="R723" s="86" t="s">
        <v>3078</v>
      </c>
      <c r="S723" s="86" t="s">
        <v>2768</v>
      </c>
      <c r="V723" s="93">
        <v>1</v>
      </c>
      <c r="Z723" s="87" t="s">
        <v>3051</v>
      </c>
      <c r="AB723" s="86" t="s">
        <v>2769</v>
      </c>
      <c r="AC723" s="98" t="s">
        <v>3940</v>
      </c>
    </row>
    <row r="724" spans="1:29" x14ac:dyDescent="0.4">
      <c r="A724" s="102" t="s">
        <v>446</v>
      </c>
      <c r="B724" s="85" t="s">
        <v>2741</v>
      </c>
      <c r="C724" s="84" t="s">
        <v>2194</v>
      </c>
      <c r="D724" s="143" t="s">
        <v>4353</v>
      </c>
      <c r="E724" s="145"/>
      <c r="I724" s="106" t="s">
        <v>4027</v>
      </c>
      <c r="J724" s="86">
        <v>125</v>
      </c>
      <c r="L724" s="100">
        <v>2475</v>
      </c>
      <c r="M724" s="100">
        <v>3150</v>
      </c>
      <c r="N724" s="136">
        <f t="shared" si="30"/>
        <v>7.7962499999999997</v>
      </c>
      <c r="P724" s="90" t="s">
        <v>1132</v>
      </c>
      <c r="Q724" s="86" t="s">
        <v>3062</v>
      </c>
      <c r="R724" s="86"/>
      <c r="S724" s="86" t="s">
        <v>2768</v>
      </c>
      <c r="T724" s="91">
        <v>0.75</v>
      </c>
      <c r="U724" s="92">
        <v>10</v>
      </c>
      <c r="V724" s="93">
        <v>1</v>
      </c>
      <c r="W724" s="94" t="s">
        <v>3050</v>
      </c>
      <c r="AB724" s="86" t="s">
        <v>2769</v>
      </c>
      <c r="AC724" s="98" t="s">
        <v>2896</v>
      </c>
    </row>
    <row r="725" spans="1:29" x14ac:dyDescent="0.4">
      <c r="A725" s="102" t="s">
        <v>2911</v>
      </c>
      <c r="B725" s="85" t="s">
        <v>818</v>
      </c>
      <c r="C725" s="84" t="s">
        <v>2916</v>
      </c>
      <c r="D725" s="143" t="s">
        <v>4353</v>
      </c>
      <c r="E725" s="145"/>
      <c r="I725" s="106" t="s">
        <v>4027</v>
      </c>
      <c r="J725" s="86">
        <v>125</v>
      </c>
      <c r="L725" s="100">
        <v>3000</v>
      </c>
      <c r="M725" s="100">
        <v>3150</v>
      </c>
      <c r="N725" s="136">
        <f t="shared" si="30"/>
        <v>9.4499999999999993</v>
      </c>
      <c r="P725" s="90" t="s">
        <v>1132</v>
      </c>
      <c r="Q725" s="86" t="s">
        <v>3053</v>
      </c>
      <c r="R725" s="86"/>
      <c r="S725" s="86" t="s">
        <v>2768</v>
      </c>
      <c r="T725" s="91">
        <v>0.75</v>
      </c>
      <c r="U725" s="92">
        <v>10</v>
      </c>
      <c r="V725" s="93">
        <v>1</v>
      </c>
      <c r="AB725" s="86" t="s">
        <v>2769</v>
      </c>
      <c r="AC725" s="98" t="s">
        <v>2917</v>
      </c>
    </row>
    <row r="726" spans="1:29" x14ac:dyDescent="0.4">
      <c r="A726" s="102" t="s">
        <v>2910</v>
      </c>
      <c r="B726" s="85" t="s">
        <v>818</v>
      </c>
      <c r="C726" s="84" t="s">
        <v>2916</v>
      </c>
      <c r="D726" s="143" t="s">
        <v>4353</v>
      </c>
      <c r="E726" s="145"/>
      <c r="I726" s="106" t="s">
        <v>4027</v>
      </c>
      <c r="J726" s="86">
        <v>125</v>
      </c>
      <c r="L726" s="100">
        <v>3000</v>
      </c>
      <c r="M726" s="100">
        <v>3150</v>
      </c>
      <c r="N726" s="136">
        <f t="shared" si="30"/>
        <v>9.4499999999999993</v>
      </c>
      <c r="P726" s="90" t="s">
        <v>1132</v>
      </c>
      <c r="Q726" s="86" t="s">
        <v>3053</v>
      </c>
      <c r="R726" s="86"/>
      <c r="S726" s="86" t="s">
        <v>2766</v>
      </c>
      <c r="T726" s="91">
        <v>0.75</v>
      </c>
      <c r="U726" s="92">
        <v>10</v>
      </c>
      <c r="V726" s="93">
        <v>1</v>
      </c>
      <c r="AB726" s="86" t="s">
        <v>2769</v>
      </c>
      <c r="AC726" s="98" t="s">
        <v>2918</v>
      </c>
    </row>
    <row r="727" spans="1:29" x14ac:dyDescent="0.4">
      <c r="A727" s="102" t="s">
        <v>156</v>
      </c>
      <c r="B727" s="85" t="s">
        <v>641</v>
      </c>
      <c r="C727" s="84" t="s">
        <v>1837</v>
      </c>
      <c r="E727" s="145"/>
      <c r="I727" s="106" t="s">
        <v>4027</v>
      </c>
      <c r="L727" s="100">
        <v>2750</v>
      </c>
      <c r="M727" s="100">
        <v>3500</v>
      </c>
      <c r="N727" s="136">
        <f t="shared" si="30"/>
        <v>9.625</v>
      </c>
      <c r="R727" s="86" t="s">
        <v>3039</v>
      </c>
      <c r="S727" s="86" t="s">
        <v>2768</v>
      </c>
      <c r="Z727" s="87" t="s">
        <v>3051</v>
      </c>
      <c r="AB727" s="86" t="s">
        <v>2769</v>
      </c>
      <c r="AC727" s="98" t="s">
        <v>3297</v>
      </c>
    </row>
    <row r="728" spans="1:29" x14ac:dyDescent="0.4">
      <c r="A728" s="102" t="s">
        <v>3699</v>
      </c>
      <c r="B728" s="85" t="s">
        <v>667</v>
      </c>
      <c r="C728" s="84" t="s">
        <v>1837</v>
      </c>
      <c r="E728" s="145"/>
      <c r="I728" s="106" t="s">
        <v>2998</v>
      </c>
      <c r="L728" s="100">
        <v>2390</v>
      </c>
      <c r="M728" s="100">
        <v>3100</v>
      </c>
      <c r="N728" s="136">
        <f t="shared" si="30"/>
        <v>7.4089999999999998</v>
      </c>
      <c r="R728" s="86"/>
      <c r="AC728" s="98" t="s">
        <v>2385</v>
      </c>
    </row>
    <row r="729" spans="1:29" x14ac:dyDescent="0.4">
      <c r="A729" s="102" t="s">
        <v>507</v>
      </c>
      <c r="B729" s="85" t="s">
        <v>853</v>
      </c>
      <c r="C729" s="84" t="s">
        <v>1837</v>
      </c>
      <c r="E729" s="145"/>
      <c r="I729" s="106" t="s">
        <v>4027</v>
      </c>
      <c r="J729" s="86">
        <v>125</v>
      </c>
      <c r="L729" s="100">
        <v>3000</v>
      </c>
      <c r="M729" s="100">
        <v>3900</v>
      </c>
      <c r="N729" s="136">
        <f t="shared" si="30"/>
        <v>11.7</v>
      </c>
      <c r="P729" s="90" t="s">
        <v>1132</v>
      </c>
      <c r="Q729" s="86" t="s">
        <v>3053</v>
      </c>
      <c r="R729" s="86"/>
      <c r="S729" s="86" t="s">
        <v>2766</v>
      </c>
      <c r="T729" s="91">
        <v>0.75</v>
      </c>
      <c r="U729" s="92">
        <v>10</v>
      </c>
      <c r="V729" s="93">
        <v>1</v>
      </c>
      <c r="W729" s="86" t="s">
        <v>3049</v>
      </c>
      <c r="AB729" s="86" t="s">
        <v>2769</v>
      </c>
      <c r="AC729" s="98" t="s">
        <v>2061</v>
      </c>
    </row>
    <row r="730" spans="1:29" x14ac:dyDescent="0.4">
      <c r="A730" s="102" t="s">
        <v>321</v>
      </c>
      <c r="B730" s="85" t="s">
        <v>758</v>
      </c>
      <c r="C730" s="84" t="s">
        <v>2659</v>
      </c>
      <c r="E730" s="145"/>
      <c r="I730" s="106" t="s">
        <v>1131</v>
      </c>
      <c r="J730" s="86">
        <v>150</v>
      </c>
      <c r="K730" s="88">
        <v>4960</v>
      </c>
      <c r="M730" s="100">
        <v>5500</v>
      </c>
      <c r="N730" s="136">
        <f t="shared" si="30"/>
        <v>0</v>
      </c>
      <c r="P730" s="90" t="s">
        <v>1132</v>
      </c>
      <c r="Q730" s="86" t="s">
        <v>3054</v>
      </c>
      <c r="R730" s="86"/>
      <c r="S730" s="86" t="s">
        <v>2766</v>
      </c>
      <c r="T730" s="91">
        <v>1.5</v>
      </c>
      <c r="U730" s="92">
        <v>15</v>
      </c>
      <c r="V730" s="93">
        <v>1</v>
      </c>
      <c r="AA730" s="99" t="s">
        <v>3052</v>
      </c>
      <c r="AB730" s="86" t="s">
        <v>2769</v>
      </c>
      <c r="AC730" s="98" t="s">
        <v>3191</v>
      </c>
    </row>
    <row r="731" spans="1:29" x14ac:dyDescent="0.4">
      <c r="A731" s="102" t="s">
        <v>66</v>
      </c>
      <c r="B731" s="85" t="s">
        <v>1452</v>
      </c>
      <c r="C731" s="84" t="s">
        <v>3838</v>
      </c>
      <c r="E731" s="145"/>
      <c r="I731" s="106"/>
      <c r="R731" s="86"/>
      <c r="AC731" s="98" t="s">
        <v>3839</v>
      </c>
    </row>
    <row r="732" spans="1:29" x14ac:dyDescent="0.4">
      <c r="A732" s="102" t="s">
        <v>3448</v>
      </c>
      <c r="B732" s="85" t="s">
        <v>2692</v>
      </c>
      <c r="C732" s="84" t="s">
        <v>3427</v>
      </c>
      <c r="E732" s="145"/>
      <c r="I732" s="106" t="s">
        <v>2765</v>
      </c>
      <c r="L732" s="115">
        <v>4970</v>
      </c>
      <c r="M732" s="115"/>
      <c r="N732" s="136">
        <f t="shared" ref="N732:N748" si="31">L732*M732/1000000</f>
        <v>0</v>
      </c>
      <c r="O732" s="88">
        <v>5040</v>
      </c>
      <c r="P732" s="90" t="s">
        <v>1132</v>
      </c>
      <c r="Q732" s="86" t="s">
        <v>3053</v>
      </c>
      <c r="R732" s="86"/>
      <c r="S732" s="86" t="s">
        <v>2766</v>
      </c>
      <c r="T732" s="91">
        <v>1.5</v>
      </c>
      <c r="V732" s="93">
        <v>0</v>
      </c>
      <c r="Z732" s="87" t="s">
        <v>3051</v>
      </c>
      <c r="AB732" s="86" t="s">
        <v>2769</v>
      </c>
      <c r="AC732" s="98" t="s">
        <v>3445</v>
      </c>
    </row>
    <row r="733" spans="1:29" x14ac:dyDescent="0.4">
      <c r="A733" s="83" t="s">
        <v>4176</v>
      </c>
      <c r="B733" s="64" t="s">
        <v>4168</v>
      </c>
      <c r="C733" s="84" t="s">
        <v>4169</v>
      </c>
      <c r="D733" s="143" t="s">
        <v>4172</v>
      </c>
      <c r="E733" s="143">
        <v>409245252</v>
      </c>
      <c r="F733" s="143" t="s">
        <v>4171</v>
      </c>
      <c r="G733" s="143" t="s">
        <v>4170</v>
      </c>
      <c r="H733" s="86">
        <v>1</v>
      </c>
      <c r="I733" s="106" t="s">
        <v>4027</v>
      </c>
      <c r="J733" s="86">
        <v>125</v>
      </c>
      <c r="L733" s="89">
        <v>1650</v>
      </c>
      <c r="M733" s="89">
        <v>2600</v>
      </c>
      <c r="N733" s="136">
        <f t="shared" si="31"/>
        <v>4.29</v>
      </c>
      <c r="P733" s="90" t="s">
        <v>1132</v>
      </c>
      <c r="Q733" s="86" t="s">
        <v>3053</v>
      </c>
      <c r="R733" s="86" t="s">
        <v>4030</v>
      </c>
      <c r="S733" s="86" t="s">
        <v>2766</v>
      </c>
      <c r="T733" s="91">
        <v>0.75</v>
      </c>
      <c r="U733" s="92">
        <f>IF(T733="NA","-",IF(T733&gt;=1.5,15,IF(T733=0.75,10,"")))</f>
        <v>10</v>
      </c>
      <c r="V733" s="93">
        <v>1</v>
      </c>
      <c r="W733" s="94" t="s">
        <v>4173</v>
      </c>
      <c r="X733" s="86" t="s">
        <v>4037</v>
      </c>
      <c r="AB733" s="86" t="s">
        <v>2769</v>
      </c>
      <c r="AC733" s="98" t="s">
        <v>4175</v>
      </c>
    </row>
    <row r="734" spans="1:29" x14ac:dyDescent="0.4">
      <c r="A734" s="102" t="s">
        <v>350</v>
      </c>
      <c r="B734" s="85" t="s">
        <v>2336</v>
      </c>
      <c r="C734" s="84" t="s">
        <v>4190</v>
      </c>
      <c r="E734" s="145"/>
      <c r="I734" s="106" t="s">
        <v>4027</v>
      </c>
      <c r="J734" s="86">
        <v>125</v>
      </c>
      <c r="L734" s="100">
        <v>2800</v>
      </c>
      <c r="M734" s="100">
        <v>3950</v>
      </c>
      <c r="N734" s="136">
        <f t="shared" si="31"/>
        <v>11.06</v>
      </c>
      <c r="P734" s="90" t="s">
        <v>1132</v>
      </c>
      <c r="Q734" s="86" t="s">
        <v>3148</v>
      </c>
      <c r="R734" s="86"/>
      <c r="S734" s="86" t="s">
        <v>2766</v>
      </c>
      <c r="T734" s="91">
        <v>0.75</v>
      </c>
      <c r="U734" s="92">
        <v>10</v>
      </c>
      <c r="V734" s="93">
        <v>3</v>
      </c>
      <c r="AA734" s="99" t="s">
        <v>3052</v>
      </c>
      <c r="AB734" s="86" t="s">
        <v>2769</v>
      </c>
      <c r="AC734" s="98" t="s">
        <v>3942</v>
      </c>
    </row>
    <row r="735" spans="1:29" x14ac:dyDescent="0.4">
      <c r="A735" s="102" t="s">
        <v>3363</v>
      </c>
      <c r="B735" s="85" t="s">
        <v>724</v>
      </c>
      <c r="C735" s="84" t="s">
        <v>4191</v>
      </c>
      <c r="E735" s="145"/>
      <c r="I735" s="106" t="s">
        <v>4027</v>
      </c>
      <c r="J735" s="86">
        <v>125</v>
      </c>
      <c r="L735" s="100">
        <v>3000</v>
      </c>
      <c r="M735" s="100">
        <v>4100</v>
      </c>
      <c r="N735" s="136">
        <f t="shared" si="31"/>
        <v>12.3</v>
      </c>
      <c r="P735" s="63" t="s">
        <v>3177</v>
      </c>
      <c r="Q735" s="86" t="s">
        <v>3053</v>
      </c>
      <c r="R735" s="86" t="s">
        <v>3078</v>
      </c>
      <c r="S735" s="86" t="s">
        <v>2766</v>
      </c>
      <c r="T735" s="91">
        <v>0.75</v>
      </c>
      <c r="V735" s="93">
        <v>0.5</v>
      </c>
      <c r="AC735" s="98" t="s">
        <v>3365</v>
      </c>
    </row>
    <row r="736" spans="1:29" x14ac:dyDescent="0.4">
      <c r="A736" s="102" t="s">
        <v>3364</v>
      </c>
      <c r="B736" s="85" t="s">
        <v>724</v>
      </c>
      <c r="C736" s="84" t="s">
        <v>4191</v>
      </c>
      <c r="E736" s="145"/>
      <c r="H736" s="86">
        <v>2</v>
      </c>
      <c r="I736" s="106" t="s">
        <v>4027</v>
      </c>
      <c r="J736" s="86">
        <v>125</v>
      </c>
      <c r="L736" s="100">
        <v>2400</v>
      </c>
      <c r="M736" s="100">
        <v>4100</v>
      </c>
      <c r="N736" s="136">
        <f t="shared" si="31"/>
        <v>9.84</v>
      </c>
      <c r="P736" s="63" t="s">
        <v>3177</v>
      </c>
      <c r="Q736" s="86" t="s">
        <v>3053</v>
      </c>
      <c r="R736" s="86" t="s">
        <v>3078</v>
      </c>
      <c r="S736" s="86" t="s">
        <v>2768</v>
      </c>
      <c r="T736" s="91">
        <v>0.75</v>
      </c>
      <c r="V736" s="93">
        <v>0.5</v>
      </c>
      <c r="AC736" s="98" t="s">
        <v>3366</v>
      </c>
    </row>
    <row r="737" spans="1:29" x14ac:dyDescent="0.4">
      <c r="A737" s="102" t="s">
        <v>3367</v>
      </c>
      <c r="B737" s="85" t="s">
        <v>724</v>
      </c>
      <c r="C737" s="84" t="s">
        <v>4191</v>
      </c>
      <c r="E737" s="145"/>
      <c r="H737" s="86">
        <v>2</v>
      </c>
      <c r="I737" s="106" t="s">
        <v>4027</v>
      </c>
      <c r="J737" s="86">
        <v>125</v>
      </c>
      <c r="L737" s="100">
        <v>1800</v>
      </c>
      <c r="M737" s="100">
        <v>4100</v>
      </c>
      <c r="N737" s="136">
        <f t="shared" si="31"/>
        <v>7.38</v>
      </c>
      <c r="P737" s="63" t="s">
        <v>3177</v>
      </c>
      <c r="Q737" s="86" t="s">
        <v>3053</v>
      </c>
      <c r="R737" s="86" t="s">
        <v>3078</v>
      </c>
      <c r="S737" s="86" t="s">
        <v>2768</v>
      </c>
      <c r="T737" s="91">
        <v>0.75</v>
      </c>
      <c r="V737" s="93">
        <v>0.5</v>
      </c>
      <c r="AC737" s="98" t="s">
        <v>3366</v>
      </c>
    </row>
    <row r="738" spans="1:29" x14ac:dyDescent="0.4">
      <c r="A738" s="102" t="s">
        <v>135</v>
      </c>
      <c r="B738" s="85" t="s">
        <v>1782</v>
      </c>
      <c r="C738" s="84" t="s">
        <v>3812</v>
      </c>
      <c r="E738" s="145"/>
      <c r="I738" s="106" t="s">
        <v>2765</v>
      </c>
      <c r="L738" s="100">
        <v>3300</v>
      </c>
      <c r="M738" s="100">
        <v>3600</v>
      </c>
      <c r="N738" s="136">
        <f t="shared" si="31"/>
        <v>11.88</v>
      </c>
      <c r="Q738" s="86" t="s">
        <v>3774</v>
      </c>
      <c r="R738" s="86"/>
      <c r="Z738" s="87" t="s">
        <v>3051</v>
      </c>
      <c r="AC738" s="98" t="s">
        <v>1788</v>
      </c>
    </row>
    <row r="739" spans="1:29" x14ac:dyDescent="0.4">
      <c r="A739" s="102" t="s">
        <v>16</v>
      </c>
      <c r="B739" s="85" t="s">
        <v>569</v>
      </c>
      <c r="C739" s="84" t="s">
        <v>547</v>
      </c>
      <c r="D739" s="143" t="s">
        <v>4354</v>
      </c>
      <c r="E739" s="145"/>
      <c r="I739" s="106" t="s">
        <v>4027</v>
      </c>
      <c r="L739" s="100">
        <v>2500</v>
      </c>
      <c r="M739" s="100">
        <v>3600</v>
      </c>
      <c r="N739" s="136">
        <f t="shared" si="31"/>
        <v>9</v>
      </c>
      <c r="R739" s="86"/>
      <c r="AC739" s="98" t="s">
        <v>3677</v>
      </c>
    </row>
    <row r="740" spans="1:29" x14ac:dyDescent="0.4">
      <c r="A740" s="102" t="s">
        <v>1620</v>
      </c>
      <c r="B740" s="85" t="s">
        <v>1618</v>
      </c>
      <c r="C740" s="84" t="s">
        <v>547</v>
      </c>
      <c r="D740" s="143" t="s">
        <v>4354</v>
      </c>
      <c r="E740" s="145"/>
      <c r="H740" s="86">
        <v>2</v>
      </c>
      <c r="I740" s="106" t="s">
        <v>1133</v>
      </c>
      <c r="L740" s="100">
        <v>4500</v>
      </c>
      <c r="M740" s="100">
        <v>4100</v>
      </c>
      <c r="N740" s="136">
        <f t="shared" si="31"/>
        <v>18.45</v>
      </c>
      <c r="R740" s="86"/>
      <c r="AC740" s="98" t="s">
        <v>1619</v>
      </c>
    </row>
    <row r="741" spans="1:29" x14ac:dyDescent="0.4">
      <c r="A741" s="102" t="s">
        <v>1621</v>
      </c>
      <c r="B741" s="85" t="s">
        <v>1618</v>
      </c>
      <c r="C741" s="84" t="s">
        <v>547</v>
      </c>
      <c r="D741" s="143" t="s">
        <v>4354</v>
      </c>
      <c r="E741" s="145"/>
      <c r="I741" s="106" t="s">
        <v>4027</v>
      </c>
      <c r="L741" s="100">
        <v>3500</v>
      </c>
      <c r="M741" s="100">
        <v>2500</v>
      </c>
      <c r="N741" s="136">
        <f t="shared" si="31"/>
        <v>8.75</v>
      </c>
      <c r="R741" s="86"/>
      <c r="AC741" s="98" t="s">
        <v>3590</v>
      </c>
    </row>
    <row r="742" spans="1:29" x14ac:dyDescent="0.4">
      <c r="A742" s="102" t="s">
        <v>280</v>
      </c>
      <c r="B742" s="85" t="s">
        <v>2697</v>
      </c>
      <c r="C742" s="84" t="s">
        <v>547</v>
      </c>
      <c r="D742" s="143" t="s">
        <v>4354</v>
      </c>
      <c r="E742" s="145"/>
      <c r="I742" s="106" t="s">
        <v>1131</v>
      </c>
      <c r="L742" s="100">
        <v>4600</v>
      </c>
      <c r="M742" s="100">
        <v>4600</v>
      </c>
      <c r="N742" s="136">
        <f t="shared" si="31"/>
        <v>21.16</v>
      </c>
      <c r="R742" s="86"/>
      <c r="AC742" s="98" t="s">
        <v>3553</v>
      </c>
    </row>
    <row r="743" spans="1:29" x14ac:dyDescent="0.4">
      <c r="A743" s="102" t="s">
        <v>482</v>
      </c>
      <c r="B743" s="85" t="s">
        <v>838</v>
      </c>
      <c r="C743" s="84" t="s">
        <v>547</v>
      </c>
      <c r="D743" s="143" t="s">
        <v>4354</v>
      </c>
      <c r="E743" s="145"/>
      <c r="I743" s="106" t="s">
        <v>4027</v>
      </c>
      <c r="J743" s="86">
        <v>125</v>
      </c>
      <c r="L743" s="100">
        <v>4930</v>
      </c>
      <c r="M743" s="100">
        <v>4150</v>
      </c>
      <c r="N743" s="136">
        <f t="shared" si="31"/>
        <v>20.459499999999998</v>
      </c>
      <c r="P743" s="90" t="s">
        <v>1132</v>
      </c>
      <c r="Q743" s="86" t="s">
        <v>3053</v>
      </c>
      <c r="R743" s="86"/>
      <c r="S743" s="86" t="s">
        <v>2766</v>
      </c>
      <c r="T743" s="91">
        <v>0.75</v>
      </c>
      <c r="U743" s="92">
        <v>15</v>
      </c>
      <c r="V743" s="93">
        <v>1</v>
      </c>
      <c r="W743" s="94" t="s">
        <v>3049</v>
      </c>
      <c r="AB743" s="86" t="s">
        <v>2769</v>
      </c>
      <c r="AC743" s="98" t="s">
        <v>2110</v>
      </c>
    </row>
    <row r="744" spans="1:29" x14ac:dyDescent="0.4">
      <c r="A744" s="102" t="s">
        <v>326</v>
      </c>
      <c r="B744" s="85" t="s">
        <v>761</v>
      </c>
      <c r="C744" s="84" t="s">
        <v>4355</v>
      </c>
      <c r="D744" s="143" t="s">
        <v>4356</v>
      </c>
      <c r="E744" s="145"/>
      <c r="I744" s="106" t="s">
        <v>1131</v>
      </c>
      <c r="J744" s="86">
        <v>150</v>
      </c>
      <c r="L744" s="100">
        <v>5600</v>
      </c>
      <c r="M744" s="100">
        <v>4700</v>
      </c>
      <c r="N744" s="136">
        <f t="shared" si="31"/>
        <v>26.32</v>
      </c>
      <c r="P744" s="90" t="s">
        <v>1132</v>
      </c>
      <c r="Q744" s="86" t="s">
        <v>3053</v>
      </c>
      <c r="R744" s="86" t="s">
        <v>3078</v>
      </c>
      <c r="S744" s="86" t="s">
        <v>2768</v>
      </c>
      <c r="T744" s="91">
        <v>1.5</v>
      </c>
      <c r="V744" s="93">
        <v>1.5</v>
      </c>
      <c r="Z744" s="87" t="s">
        <v>3051</v>
      </c>
      <c r="AA744" s="99" t="s">
        <v>3052</v>
      </c>
      <c r="AB744" s="86" t="s">
        <v>2769</v>
      </c>
      <c r="AC744" s="98" t="s">
        <v>2381</v>
      </c>
    </row>
    <row r="745" spans="1:29" x14ac:dyDescent="0.4">
      <c r="A745" s="102" t="s">
        <v>3118</v>
      </c>
      <c r="B745" s="85" t="s">
        <v>2723</v>
      </c>
      <c r="C745" s="84" t="s">
        <v>4355</v>
      </c>
      <c r="D745" s="143" t="s">
        <v>4356</v>
      </c>
      <c r="E745" s="145"/>
      <c r="H745" s="86">
        <v>4</v>
      </c>
      <c r="I745" s="106" t="s">
        <v>4027</v>
      </c>
      <c r="J745" s="86">
        <v>125</v>
      </c>
      <c r="L745" s="100">
        <v>3000</v>
      </c>
      <c r="M745" s="100">
        <v>3150</v>
      </c>
      <c r="N745" s="136">
        <f t="shared" si="31"/>
        <v>9.4499999999999993</v>
      </c>
      <c r="P745" s="90" t="s">
        <v>1132</v>
      </c>
      <c r="Q745" s="86" t="s">
        <v>3053</v>
      </c>
      <c r="R745" s="86"/>
      <c r="S745" s="86" t="s">
        <v>2768</v>
      </c>
      <c r="T745" s="91">
        <v>0.75</v>
      </c>
      <c r="U745" s="92">
        <v>10</v>
      </c>
      <c r="V745" s="93">
        <v>1</v>
      </c>
      <c r="Z745" s="87" t="s">
        <v>3121</v>
      </c>
      <c r="AB745" s="86" t="s">
        <v>2769</v>
      </c>
      <c r="AC745" s="98" t="s">
        <v>3119</v>
      </c>
    </row>
    <row r="746" spans="1:29" x14ac:dyDescent="0.4">
      <c r="A746" s="102" t="s">
        <v>4109</v>
      </c>
      <c r="B746" s="85" t="s">
        <v>2723</v>
      </c>
      <c r="C746" s="84" t="s">
        <v>4355</v>
      </c>
      <c r="D746" s="143" t="s">
        <v>4356</v>
      </c>
      <c r="E746" s="145"/>
      <c r="H746" s="86">
        <v>4</v>
      </c>
      <c r="I746" s="106" t="s">
        <v>4027</v>
      </c>
      <c r="J746" s="86">
        <v>125</v>
      </c>
      <c r="L746" s="100">
        <v>3000</v>
      </c>
      <c r="M746" s="100">
        <v>3150</v>
      </c>
      <c r="N746" s="136">
        <f t="shared" si="31"/>
        <v>9.4499999999999993</v>
      </c>
      <c r="P746" s="90" t="s">
        <v>1132</v>
      </c>
      <c r="Q746" s="86" t="s">
        <v>3053</v>
      </c>
      <c r="R746" s="86"/>
      <c r="S746" s="86" t="s">
        <v>2766</v>
      </c>
      <c r="T746" s="91">
        <v>0.75</v>
      </c>
      <c r="U746" s="92">
        <v>10</v>
      </c>
      <c r="V746" s="93">
        <v>1</v>
      </c>
      <c r="Z746" s="87" t="s">
        <v>3121</v>
      </c>
      <c r="AB746" s="86" t="s">
        <v>2769</v>
      </c>
      <c r="AC746" s="98" t="s">
        <v>3120</v>
      </c>
    </row>
    <row r="747" spans="1:29" x14ac:dyDescent="0.4">
      <c r="A747" s="102" t="s">
        <v>4108</v>
      </c>
      <c r="B747" s="85" t="s">
        <v>2723</v>
      </c>
      <c r="C747" s="84" t="s">
        <v>4355</v>
      </c>
      <c r="D747" s="143" t="s">
        <v>4356</v>
      </c>
      <c r="E747" s="145"/>
      <c r="I747" s="106" t="s">
        <v>1131</v>
      </c>
      <c r="J747" s="86">
        <v>150</v>
      </c>
      <c r="L747" s="100">
        <v>5000</v>
      </c>
      <c r="M747" s="100">
        <v>5150</v>
      </c>
      <c r="N747" s="136">
        <f t="shared" si="31"/>
        <v>25.75</v>
      </c>
      <c r="P747" s="90" t="s">
        <v>1132</v>
      </c>
      <c r="Q747" s="86" t="s">
        <v>3053</v>
      </c>
      <c r="R747" s="86"/>
      <c r="S747" s="86" t="s">
        <v>2768</v>
      </c>
      <c r="T747" s="91">
        <v>1.5</v>
      </c>
      <c r="U747" s="92">
        <v>15</v>
      </c>
      <c r="V747" s="93">
        <v>1</v>
      </c>
      <c r="AB747" s="86" t="s">
        <v>2769</v>
      </c>
      <c r="AC747" s="98" t="s">
        <v>3122</v>
      </c>
    </row>
    <row r="748" spans="1:29" x14ac:dyDescent="0.4">
      <c r="A748" s="102" t="s">
        <v>1149</v>
      </c>
      <c r="B748" s="85" t="s">
        <v>727</v>
      </c>
      <c r="C748" s="84" t="s">
        <v>2579</v>
      </c>
      <c r="E748" s="145"/>
      <c r="I748" s="106" t="s">
        <v>4027</v>
      </c>
      <c r="J748" s="86">
        <v>125</v>
      </c>
      <c r="L748" s="100">
        <v>3600</v>
      </c>
      <c r="M748" s="100">
        <v>3900</v>
      </c>
      <c r="N748" s="136">
        <f t="shared" si="31"/>
        <v>14.04</v>
      </c>
      <c r="P748" s="90" t="s">
        <v>1132</v>
      </c>
      <c r="Q748" s="86" t="s">
        <v>3053</v>
      </c>
      <c r="R748" s="86" t="s">
        <v>3078</v>
      </c>
      <c r="S748" s="86" t="s">
        <v>2766</v>
      </c>
      <c r="T748" s="91">
        <v>0.75</v>
      </c>
      <c r="V748" s="93">
        <v>1</v>
      </c>
      <c r="Z748" s="87" t="s">
        <v>3051</v>
      </c>
      <c r="AB748" s="86" t="s">
        <v>2769</v>
      </c>
      <c r="AC748" s="98" t="s">
        <v>3359</v>
      </c>
    </row>
    <row r="749" spans="1:29" x14ac:dyDescent="0.4">
      <c r="A749" s="102" t="s">
        <v>132</v>
      </c>
      <c r="B749" s="85" t="s">
        <v>1781</v>
      </c>
      <c r="C749" s="84" t="s">
        <v>3815</v>
      </c>
      <c r="E749" s="145"/>
      <c r="I749" s="106"/>
      <c r="R749" s="86"/>
      <c r="AC749" s="98" t="s">
        <v>1777</v>
      </c>
    </row>
    <row r="750" spans="1:29" x14ac:dyDescent="0.4">
      <c r="A750" s="102" t="s">
        <v>180</v>
      </c>
      <c r="B750" s="85" t="s">
        <v>654</v>
      </c>
      <c r="C750" s="84" t="s">
        <v>2384</v>
      </c>
      <c r="D750" s="143" t="s">
        <v>4357</v>
      </c>
      <c r="E750" s="145"/>
      <c r="H750" s="86">
        <v>2</v>
      </c>
      <c r="I750" s="106" t="s">
        <v>4027</v>
      </c>
      <c r="J750" s="86">
        <v>100</v>
      </c>
      <c r="L750" s="100">
        <v>3200</v>
      </c>
      <c r="M750" s="100">
        <v>5050</v>
      </c>
      <c r="N750" s="136">
        <f t="shared" ref="N750:N757" si="32">L750*M750/1000000</f>
        <v>16.16</v>
      </c>
      <c r="P750" s="63" t="s">
        <v>3177</v>
      </c>
      <c r="Q750" s="86" t="s">
        <v>3053</v>
      </c>
      <c r="R750" s="86"/>
      <c r="T750" s="91">
        <v>0.75</v>
      </c>
      <c r="AA750" s="116" t="s">
        <v>3052</v>
      </c>
      <c r="AC750" s="98" t="s">
        <v>3771</v>
      </c>
    </row>
    <row r="751" spans="1:29" x14ac:dyDescent="0.4">
      <c r="A751" s="102" t="s">
        <v>1167</v>
      </c>
      <c r="B751" s="85" t="s">
        <v>3251</v>
      </c>
      <c r="C751" s="84" t="s">
        <v>2384</v>
      </c>
      <c r="D751" s="143" t="s">
        <v>4357</v>
      </c>
      <c r="E751" s="145"/>
      <c r="I751" s="106" t="s">
        <v>4027</v>
      </c>
      <c r="J751" s="86">
        <v>125</v>
      </c>
      <c r="K751" s="88">
        <v>4245</v>
      </c>
      <c r="L751" s="100">
        <v>3950</v>
      </c>
      <c r="M751" s="100">
        <v>5100</v>
      </c>
      <c r="N751" s="136">
        <f t="shared" si="32"/>
        <v>20.145</v>
      </c>
      <c r="P751" s="63" t="s">
        <v>3177</v>
      </c>
      <c r="Q751" s="86" t="s">
        <v>3053</v>
      </c>
      <c r="R751" s="86" t="s">
        <v>3077</v>
      </c>
      <c r="S751" s="86" t="s">
        <v>2766</v>
      </c>
      <c r="T751" s="91">
        <v>1.5</v>
      </c>
      <c r="V751" s="93">
        <v>0.5</v>
      </c>
      <c r="AA751" s="111" t="s">
        <v>3052</v>
      </c>
      <c r="AB751" s="86" t="s">
        <v>2769</v>
      </c>
      <c r="AC751" s="98" t="s">
        <v>3953</v>
      </c>
    </row>
    <row r="752" spans="1:29" x14ac:dyDescent="0.4">
      <c r="A752" s="102" t="s">
        <v>325</v>
      </c>
      <c r="B752" s="85" t="s">
        <v>761</v>
      </c>
      <c r="C752" s="84" t="s">
        <v>2384</v>
      </c>
      <c r="D752" s="143" t="s">
        <v>4357</v>
      </c>
      <c r="E752" s="145"/>
      <c r="I752" s="106" t="s">
        <v>4027</v>
      </c>
      <c r="J752" s="86">
        <v>125</v>
      </c>
      <c r="L752" s="100">
        <v>3100</v>
      </c>
      <c r="M752" s="100">
        <v>5050</v>
      </c>
      <c r="N752" s="136">
        <f t="shared" si="32"/>
        <v>15.654999999999999</v>
      </c>
      <c r="P752" s="63" t="s">
        <v>3177</v>
      </c>
      <c r="Q752" s="86" t="s">
        <v>3053</v>
      </c>
      <c r="R752" s="86" t="s">
        <v>3077</v>
      </c>
      <c r="S752" s="86" t="s">
        <v>2766</v>
      </c>
      <c r="T752" s="91">
        <v>0.75</v>
      </c>
      <c r="V752" s="93">
        <v>0.5</v>
      </c>
      <c r="AA752" s="99" t="s">
        <v>3052</v>
      </c>
      <c r="AB752" s="86" t="s">
        <v>2769</v>
      </c>
      <c r="AC752" s="98" t="s">
        <v>2383</v>
      </c>
    </row>
    <row r="753" spans="1:29" x14ac:dyDescent="0.4">
      <c r="A753" s="102" t="s">
        <v>409</v>
      </c>
      <c r="B753" s="85" t="s">
        <v>805</v>
      </c>
      <c r="C753" s="84" t="s">
        <v>2384</v>
      </c>
      <c r="D753" s="143" t="s">
        <v>4357</v>
      </c>
      <c r="E753" s="145"/>
      <c r="I753" s="106" t="s">
        <v>4027</v>
      </c>
      <c r="J753" s="86">
        <v>125</v>
      </c>
      <c r="L753" s="100">
        <v>3200</v>
      </c>
      <c r="M753" s="100">
        <v>5000</v>
      </c>
      <c r="N753" s="136">
        <f t="shared" si="32"/>
        <v>16</v>
      </c>
      <c r="P753" s="63" t="s">
        <v>3177</v>
      </c>
      <c r="Q753" s="86" t="s">
        <v>3053</v>
      </c>
      <c r="R753" s="86"/>
      <c r="S753" s="86" t="s">
        <v>2768</v>
      </c>
      <c r="T753" s="91">
        <v>1.5</v>
      </c>
      <c r="U753" s="92">
        <v>15</v>
      </c>
      <c r="V753" s="93">
        <v>0.5</v>
      </c>
      <c r="AB753" s="86" t="s">
        <v>2769</v>
      </c>
      <c r="AC753" s="98" t="s">
        <v>2960</v>
      </c>
    </row>
    <row r="754" spans="1:29" x14ac:dyDescent="0.4">
      <c r="A754" s="102" t="s">
        <v>514</v>
      </c>
      <c r="B754" s="85" t="s">
        <v>858</v>
      </c>
      <c r="C754" s="84" t="s">
        <v>2384</v>
      </c>
      <c r="D754" s="143" t="s">
        <v>4357</v>
      </c>
      <c r="E754" s="145"/>
      <c r="I754" s="106" t="s">
        <v>4027</v>
      </c>
      <c r="J754" s="86">
        <v>125</v>
      </c>
      <c r="L754" s="100">
        <v>3700</v>
      </c>
      <c r="M754" s="100">
        <v>4100</v>
      </c>
      <c r="N754" s="136">
        <f t="shared" si="32"/>
        <v>15.17</v>
      </c>
      <c r="P754" s="90" t="s">
        <v>1132</v>
      </c>
      <c r="Q754" s="86" t="s">
        <v>3053</v>
      </c>
      <c r="R754" s="86"/>
      <c r="S754" s="86" t="s">
        <v>2766</v>
      </c>
      <c r="T754" s="91">
        <v>0.75</v>
      </c>
      <c r="U754" s="92">
        <v>10</v>
      </c>
      <c r="V754" s="93">
        <v>1</v>
      </c>
      <c r="AB754" s="86" t="s">
        <v>3047</v>
      </c>
      <c r="AC754" s="98" t="s">
        <v>2049</v>
      </c>
    </row>
    <row r="755" spans="1:29" x14ac:dyDescent="0.4">
      <c r="A755" s="102" t="s">
        <v>165</v>
      </c>
      <c r="B755" s="85" t="s">
        <v>1885</v>
      </c>
      <c r="C755" s="84" t="s">
        <v>3784</v>
      </c>
      <c r="E755" s="145"/>
      <c r="H755" s="86">
        <v>2</v>
      </c>
      <c r="I755" s="106" t="s">
        <v>4027</v>
      </c>
      <c r="J755" s="86">
        <v>100</v>
      </c>
      <c r="L755" s="100">
        <v>2400</v>
      </c>
      <c r="M755" s="100">
        <v>3150</v>
      </c>
      <c r="N755" s="136">
        <f t="shared" si="32"/>
        <v>7.56</v>
      </c>
      <c r="Q755" s="86" t="s">
        <v>3054</v>
      </c>
      <c r="R755" s="86"/>
      <c r="S755" s="86" t="s">
        <v>2768</v>
      </c>
      <c r="T755" s="91">
        <v>0.75</v>
      </c>
      <c r="V755" s="93">
        <v>1</v>
      </c>
      <c r="Z755" s="87" t="s">
        <v>3051</v>
      </c>
      <c r="AC755" s="98" t="s">
        <v>3997</v>
      </c>
    </row>
    <row r="756" spans="1:29" x14ac:dyDescent="0.4">
      <c r="A756" s="102" t="s">
        <v>3751</v>
      </c>
      <c r="B756" s="85" t="s">
        <v>3750</v>
      </c>
      <c r="C756" s="84" t="s">
        <v>4269</v>
      </c>
      <c r="E756" s="145"/>
      <c r="H756" s="86">
        <v>3</v>
      </c>
      <c r="I756" s="106" t="s">
        <v>4027</v>
      </c>
      <c r="J756" s="86">
        <v>125</v>
      </c>
      <c r="L756" s="100">
        <v>5600</v>
      </c>
      <c r="M756" s="100">
        <v>3220</v>
      </c>
      <c r="N756" s="136">
        <f t="shared" si="32"/>
        <v>18.032</v>
      </c>
      <c r="P756" s="90" t="s">
        <v>1132</v>
      </c>
      <c r="Q756" s="86" t="s">
        <v>3417</v>
      </c>
      <c r="R756" s="86"/>
      <c r="S756" s="86" t="s">
        <v>2766</v>
      </c>
      <c r="T756" s="91">
        <v>1.5</v>
      </c>
      <c r="Z756" s="87" t="s">
        <v>3051</v>
      </c>
      <c r="AC756" s="98" t="s">
        <v>3752</v>
      </c>
    </row>
    <row r="757" spans="1:29" x14ac:dyDescent="0.4">
      <c r="A757" s="102" t="s">
        <v>290</v>
      </c>
      <c r="B757" s="85" t="s">
        <v>718</v>
      </c>
      <c r="C757" s="84" t="s">
        <v>2540</v>
      </c>
      <c r="E757" s="145"/>
      <c r="I757" s="106" t="s">
        <v>4027</v>
      </c>
      <c r="J757" s="86">
        <v>125</v>
      </c>
      <c r="L757" s="100">
        <v>3050</v>
      </c>
      <c r="M757" s="100">
        <v>3200</v>
      </c>
      <c r="N757" s="136">
        <f t="shared" si="32"/>
        <v>9.76</v>
      </c>
      <c r="P757" s="90" t="s">
        <v>1132</v>
      </c>
      <c r="Q757" s="86" t="s">
        <v>3381</v>
      </c>
      <c r="R757" s="86" t="s">
        <v>3078</v>
      </c>
      <c r="S757" s="86" t="s">
        <v>2768</v>
      </c>
      <c r="T757" s="91">
        <v>0.75</v>
      </c>
      <c r="V757" s="93">
        <v>1</v>
      </c>
      <c r="W757" s="94" t="s">
        <v>3050</v>
      </c>
      <c r="AB757" s="86" t="s">
        <v>2769</v>
      </c>
      <c r="AC757" s="98" t="s">
        <v>3551</v>
      </c>
    </row>
    <row r="758" spans="1:29" x14ac:dyDescent="0.4">
      <c r="A758" s="102" t="s">
        <v>411</v>
      </c>
      <c r="B758" s="85" t="s">
        <v>2733</v>
      </c>
      <c r="C758" s="84" t="s">
        <v>4274</v>
      </c>
      <c r="D758" s="143" t="s">
        <v>4294</v>
      </c>
      <c r="I758" s="106" t="s">
        <v>3001</v>
      </c>
      <c r="R758" s="86"/>
      <c r="AC758" s="98" t="s">
        <v>2233</v>
      </c>
    </row>
    <row r="759" spans="1:29" x14ac:dyDescent="0.4">
      <c r="A759" s="102" t="s">
        <v>434</v>
      </c>
      <c r="B759" s="85" t="s">
        <v>819</v>
      </c>
      <c r="C759" s="84" t="s">
        <v>4274</v>
      </c>
      <c r="D759" s="143" t="s">
        <v>4294</v>
      </c>
      <c r="I759" s="106" t="s">
        <v>3028</v>
      </c>
      <c r="R759" s="86"/>
      <c r="T759" s="91">
        <v>0.75</v>
      </c>
      <c r="AC759" s="98" t="s">
        <v>2915</v>
      </c>
    </row>
    <row r="760" spans="1:29" x14ac:dyDescent="0.4">
      <c r="A760" s="102" t="s">
        <v>497</v>
      </c>
      <c r="B760" s="85" t="s">
        <v>849</v>
      </c>
      <c r="C760" s="84" t="s">
        <v>4274</v>
      </c>
      <c r="D760" s="143" t="s">
        <v>4294</v>
      </c>
      <c r="I760" s="106" t="s">
        <v>3001</v>
      </c>
      <c r="R760" s="86"/>
      <c r="AC760" s="98" t="s">
        <v>2083</v>
      </c>
    </row>
    <row r="761" spans="1:29" x14ac:dyDescent="0.4">
      <c r="A761" s="102" t="s">
        <v>500</v>
      </c>
      <c r="B761" s="85" t="s">
        <v>847</v>
      </c>
      <c r="C761" s="84" t="s">
        <v>4274</v>
      </c>
      <c r="D761" s="143" t="s">
        <v>4294</v>
      </c>
      <c r="I761" s="106" t="s">
        <v>3001</v>
      </c>
      <c r="R761" s="86"/>
      <c r="AC761" s="98" t="s">
        <v>2078</v>
      </c>
    </row>
    <row r="762" spans="1:29" x14ac:dyDescent="0.4">
      <c r="A762" s="102" t="s">
        <v>530</v>
      </c>
      <c r="B762" s="85" t="s">
        <v>866</v>
      </c>
      <c r="C762" s="84" t="s">
        <v>4274</v>
      </c>
      <c r="D762" s="143" t="s">
        <v>4294</v>
      </c>
      <c r="H762" s="86">
        <v>1</v>
      </c>
      <c r="I762" s="106" t="s">
        <v>3001</v>
      </c>
      <c r="R762" s="86"/>
      <c r="AC762" s="98" t="s">
        <v>1186</v>
      </c>
    </row>
    <row r="763" spans="1:29" x14ac:dyDescent="0.4">
      <c r="A763" s="102" t="s">
        <v>536</v>
      </c>
      <c r="B763" s="85" t="s">
        <v>2763</v>
      </c>
      <c r="C763" s="84" t="s">
        <v>4274</v>
      </c>
      <c r="D763" s="143" t="s">
        <v>4294</v>
      </c>
      <c r="H763" s="86">
        <v>1</v>
      </c>
      <c r="I763" s="106" t="s">
        <v>2998</v>
      </c>
      <c r="L763" s="100">
        <v>5900</v>
      </c>
      <c r="N763" s="136">
        <f t="shared" ref="N763:N795" si="33">L763*M763/1000000</f>
        <v>0</v>
      </c>
      <c r="O763" s="88">
        <v>5800</v>
      </c>
      <c r="R763" s="86"/>
      <c r="AC763" s="140" t="s">
        <v>2775</v>
      </c>
    </row>
    <row r="764" spans="1:29" x14ac:dyDescent="0.4">
      <c r="A764" s="83" t="s">
        <v>4194</v>
      </c>
      <c r="B764" s="64" t="s">
        <v>4208</v>
      </c>
      <c r="C764" s="84" t="s">
        <v>4274</v>
      </c>
      <c r="D764" s="143" t="s">
        <v>4294</v>
      </c>
      <c r="H764" s="86">
        <v>1</v>
      </c>
      <c r="I764" s="106" t="s">
        <v>4027</v>
      </c>
      <c r="J764" s="86">
        <v>125</v>
      </c>
      <c r="L764" s="89">
        <v>4000</v>
      </c>
      <c r="M764" s="89">
        <v>3000</v>
      </c>
      <c r="N764" s="136">
        <f t="shared" si="33"/>
        <v>12</v>
      </c>
      <c r="P764" s="90" t="s">
        <v>1132</v>
      </c>
      <c r="Q764" s="86" t="s">
        <v>3062</v>
      </c>
      <c r="R764" s="86" t="s">
        <v>4030</v>
      </c>
      <c r="S764" s="86" t="s">
        <v>2768</v>
      </c>
      <c r="T764" s="91">
        <v>0.75</v>
      </c>
      <c r="U764" s="92">
        <f>IF(T764="NA","-",IF(T764&gt;=1.5,15,IF(T764=0.75,10,"")))</f>
        <v>10</v>
      </c>
      <c r="V764" s="93">
        <v>1</v>
      </c>
      <c r="W764" s="94" t="s">
        <v>4065</v>
      </c>
      <c r="X764" s="86" t="s">
        <v>4037</v>
      </c>
      <c r="AB764" s="86" t="s">
        <v>2769</v>
      </c>
    </row>
    <row r="765" spans="1:29" x14ac:dyDescent="0.4">
      <c r="A765" s="102" t="s">
        <v>3166</v>
      </c>
      <c r="B765" s="85" t="s">
        <v>844</v>
      </c>
      <c r="C765" s="84" t="s">
        <v>4271</v>
      </c>
      <c r="D765" s="143" t="s">
        <v>4294</v>
      </c>
      <c r="E765" s="145"/>
      <c r="I765" s="106" t="s">
        <v>4027</v>
      </c>
      <c r="J765" s="86">
        <v>125</v>
      </c>
      <c r="L765" s="100">
        <v>2400</v>
      </c>
      <c r="M765" s="100">
        <v>3100</v>
      </c>
      <c r="N765" s="136">
        <f t="shared" si="33"/>
        <v>7.44</v>
      </c>
      <c r="R765" s="86" t="s">
        <v>3078</v>
      </c>
      <c r="AC765" s="98" t="s">
        <v>2091</v>
      </c>
    </row>
    <row r="766" spans="1:29" x14ac:dyDescent="0.4">
      <c r="A766" s="102" t="s">
        <v>486</v>
      </c>
      <c r="B766" s="85" t="s">
        <v>841</v>
      </c>
      <c r="C766" s="84" t="s">
        <v>4272</v>
      </c>
      <c r="D766" s="143" t="s">
        <v>4294</v>
      </c>
      <c r="E766" s="145"/>
      <c r="I766" s="106" t="s">
        <v>4027</v>
      </c>
      <c r="J766" s="86">
        <v>125</v>
      </c>
      <c r="L766" s="100">
        <v>3000</v>
      </c>
      <c r="M766" s="100">
        <v>3000</v>
      </c>
      <c r="N766" s="136">
        <f t="shared" si="33"/>
        <v>9</v>
      </c>
      <c r="P766" s="90" t="s">
        <v>1132</v>
      </c>
      <c r="Q766" s="86" t="s">
        <v>3062</v>
      </c>
      <c r="R766" s="86"/>
      <c r="S766" s="86" t="s">
        <v>2768</v>
      </c>
      <c r="T766" s="91">
        <v>0.75</v>
      </c>
      <c r="U766" s="92">
        <v>10</v>
      </c>
      <c r="V766" s="93">
        <v>1</v>
      </c>
      <c r="W766" s="105" t="s">
        <v>3072</v>
      </c>
      <c r="Z766" s="99" t="s">
        <v>3051</v>
      </c>
      <c r="AC766" s="98" t="s">
        <v>2839</v>
      </c>
    </row>
    <row r="767" spans="1:29" x14ac:dyDescent="0.4">
      <c r="A767" s="102" t="s">
        <v>412</v>
      </c>
      <c r="B767" s="85" t="s">
        <v>803</v>
      </c>
      <c r="C767" s="84" t="s">
        <v>4273</v>
      </c>
      <c r="D767" s="143" t="s">
        <v>4294</v>
      </c>
      <c r="E767" s="145"/>
      <c r="I767" s="106" t="s">
        <v>4027</v>
      </c>
      <c r="J767" s="86">
        <v>125</v>
      </c>
      <c r="L767" s="100">
        <v>2700</v>
      </c>
      <c r="M767" s="100">
        <v>2300</v>
      </c>
      <c r="N767" s="136">
        <f t="shared" si="33"/>
        <v>6.21</v>
      </c>
      <c r="P767" s="90" t="s">
        <v>1132</v>
      </c>
      <c r="Q767" s="86" t="s">
        <v>3062</v>
      </c>
      <c r="R767" s="86"/>
      <c r="S767" s="86" t="s">
        <v>2766</v>
      </c>
      <c r="T767" s="91">
        <v>0.75</v>
      </c>
      <c r="U767" s="92">
        <v>10</v>
      </c>
      <c r="AB767" s="86" t="s">
        <v>2769</v>
      </c>
      <c r="AC767" s="98" t="s">
        <v>2958</v>
      </c>
    </row>
    <row r="768" spans="1:29" x14ac:dyDescent="0.4">
      <c r="A768" s="102" t="s">
        <v>491</v>
      </c>
      <c r="B768" s="85" t="s">
        <v>2751</v>
      </c>
      <c r="C768" s="84" t="s">
        <v>4275</v>
      </c>
      <c r="D768" s="143" t="s">
        <v>4294</v>
      </c>
      <c r="E768" s="145"/>
      <c r="I768" s="106" t="s">
        <v>4027</v>
      </c>
      <c r="J768" s="86">
        <v>125</v>
      </c>
      <c r="L768" s="100">
        <v>2400</v>
      </c>
      <c r="M768" s="100">
        <v>3150</v>
      </c>
      <c r="N768" s="136">
        <f t="shared" si="33"/>
        <v>7.56</v>
      </c>
      <c r="P768" s="90" t="s">
        <v>1132</v>
      </c>
      <c r="Q768" s="86" t="s">
        <v>3062</v>
      </c>
      <c r="R768" s="86" t="s">
        <v>3077</v>
      </c>
      <c r="S768" s="86" t="s">
        <v>2766</v>
      </c>
      <c r="T768" s="91">
        <v>0.75</v>
      </c>
      <c r="U768" s="92">
        <v>10</v>
      </c>
      <c r="V768" s="93">
        <v>1</v>
      </c>
      <c r="W768" s="94" t="s">
        <v>3050</v>
      </c>
      <c r="AC768" s="98" t="s">
        <v>2095</v>
      </c>
    </row>
    <row r="769" spans="1:29" x14ac:dyDescent="0.4">
      <c r="A769" s="102" t="s">
        <v>285</v>
      </c>
      <c r="B769" s="85" t="s">
        <v>713</v>
      </c>
      <c r="C769" s="84" t="s">
        <v>2533</v>
      </c>
      <c r="E769" s="145"/>
      <c r="I769" s="106" t="s">
        <v>2765</v>
      </c>
      <c r="L769" s="100">
        <v>2500</v>
      </c>
      <c r="M769" s="100">
        <v>3500</v>
      </c>
      <c r="N769" s="136">
        <f t="shared" si="33"/>
        <v>8.75</v>
      </c>
      <c r="P769" s="63" t="s">
        <v>3177</v>
      </c>
      <c r="Q769" s="86" t="s">
        <v>3062</v>
      </c>
      <c r="R769" s="86" t="s">
        <v>3078</v>
      </c>
      <c r="S769" s="86" t="s">
        <v>2768</v>
      </c>
      <c r="T769" s="91">
        <v>1.5</v>
      </c>
      <c r="V769" s="93">
        <v>1</v>
      </c>
      <c r="W769" s="94" t="s">
        <v>3049</v>
      </c>
      <c r="Z769" s="86" t="s">
        <v>3185</v>
      </c>
      <c r="AB769" s="86" t="s">
        <v>2769</v>
      </c>
      <c r="AC769" s="98" t="s">
        <v>3552</v>
      </c>
    </row>
    <row r="770" spans="1:29" x14ac:dyDescent="0.4">
      <c r="A770" s="102" t="s">
        <v>201</v>
      </c>
      <c r="B770" s="85" t="s">
        <v>665</v>
      </c>
      <c r="C770" s="84" t="s">
        <v>3703</v>
      </c>
      <c r="E770" s="145"/>
      <c r="I770" s="106" t="s">
        <v>4027</v>
      </c>
      <c r="J770" s="86">
        <v>100</v>
      </c>
      <c r="L770" s="100">
        <v>3000</v>
      </c>
      <c r="M770" s="100">
        <v>3816</v>
      </c>
      <c r="N770" s="136">
        <f t="shared" si="33"/>
        <v>11.448</v>
      </c>
      <c r="P770" s="63" t="s">
        <v>3177</v>
      </c>
      <c r="Q770" s="86" t="s">
        <v>3062</v>
      </c>
      <c r="R770" s="86"/>
      <c r="S770" s="86" t="s">
        <v>2768</v>
      </c>
      <c r="T770" s="91">
        <v>0.75</v>
      </c>
      <c r="Z770" s="87" t="s">
        <v>3051</v>
      </c>
      <c r="AB770" s="86" t="s">
        <v>2769</v>
      </c>
      <c r="AC770" s="98" t="s">
        <v>3479</v>
      </c>
    </row>
    <row r="771" spans="1:29" x14ac:dyDescent="0.4">
      <c r="A771" s="102" t="s">
        <v>240</v>
      </c>
      <c r="B771" s="85" t="s">
        <v>686</v>
      </c>
      <c r="C771" s="84" t="s">
        <v>4276</v>
      </c>
      <c r="E771" s="145"/>
      <c r="I771" s="106" t="s">
        <v>4027</v>
      </c>
      <c r="J771" s="86">
        <v>100</v>
      </c>
      <c r="L771" s="89">
        <v>3000</v>
      </c>
      <c r="M771" s="89">
        <v>3250</v>
      </c>
      <c r="N771" s="136">
        <f t="shared" si="33"/>
        <v>9.75</v>
      </c>
      <c r="P771" s="90" t="s">
        <v>1132</v>
      </c>
      <c r="Q771" s="86" t="s">
        <v>3053</v>
      </c>
      <c r="R771" s="86" t="s">
        <v>3054</v>
      </c>
      <c r="S771" s="86" t="s">
        <v>2766</v>
      </c>
      <c r="T771" s="91">
        <v>0.75</v>
      </c>
      <c r="AB771" s="86" t="s">
        <v>2769</v>
      </c>
      <c r="AC771" s="98" t="s">
        <v>3474</v>
      </c>
    </row>
    <row r="772" spans="1:29" x14ac:dyDescent="0.4">
      <c r="A772" s="102" t="s">
        <v>3515</v>
      </c>
      <c r="B772" s="85" t="s">
        <v>687</v>
      </c>
      <c r="C772" s="84" t="s">
        <v>4276</v>
      </c>
      <c r="E772" s="145"/>
      <c r="I772" s="106" t="s">
        <v>4027</v>
      </c>
      <c r="J772" s="86">
        <v>100</v>
      </c>
      <c r="L772" s="89">
        <v>2800</v>
      </c>
      <c r="M772" s="89">
        <v>3650</v>
      </c>
      <c r="N772" s="136">
        <f t="shared" si="33"/>
        <v>10.220000000000001</v>
      </c>
      <c r="P772" s="90" t="s">
        <v>1132</v>
      </c>
      <c r="Q772" s="86" t="s">
        <v>3053</v>
      </c>
      <c r="R772" s="86"/>
      <c r="T772" s="91">
        <v>0.75</v>
      </c>
      <c r="AB772" s="86" t="s">
        <v>2769</v>
      </c>
      <c r="AC772" s="98" t="s">
        <v>3472</v>
      </c>
    </row>
    <row r="773" spans="1:29" x14ac:dyDescent="0.4">
      <c r="A773" s="102" t="s">
        <v>247</v>
      </c>
      <c r="B773" s="85" t="s">
        <v>691</v>
      </c>
      <c r="C773" s="84" t="s">
        <v>4276</v>
      </c>
      <c r="E773" s="145"/>
      <c r="I773" s="106" t="s">
        <v>4027</v>
      </c>
      <c r="J773" s="86">
        <v>100</v>
      </c>
      <c r="L773" s="89">
        <v>3520</v>
      </c>
      <c r="M773" s="89">
        <v>3850</v>
      </c>
      <c r="N773" s="136">
        <f t="shared" si="33"/>
        <v>13.552</v>
      </c>
      <c r="P773" s="90" t="s">
        <v>1132</v>
      </c>
      <c r="Q773" s="86" t="s">
        <v>3053</v>
      </c>
      <c r="R773" s="86"/>
      <c r="S773" s="86" t="s">
        <v>2768</v>
      </c>
      <c r="T773" s="91">
        <v>0.75</v>
      </c>
      <c r="V773" s="93">
        <v>0.5</v>
      </c>
      <c r="AC773" s="98" t="s">
        <v>3471</v>
      </c>
    </row>
    <row r="774" spans="1:29" x14ac:dyDescent="0.4">
      <c r="A774" s="102" t="s">
        <v>315</v>
      </c>
      <c r="B774" s="85" t="s">
        <v>754</v>
      </c>
      <c r="C774" s="84" t="s">
        <v>4276</v>
      </c>
      <c r="E774" s="145"/>
      <c r="H774" s="86">
        <v>2</v>
      </c>
      <c r="I774" s="106" t="s">
        <v>4027</v>
      </c>
      <c r="J774" s="86">
        <v>125</v>
      </c>
      <c r="L774" s="100">
        <v>3500</v>
      </c>
      <c r="M774" s="100">
        <v>3800</v>
      </c>
      <c r="N774" s="136">
        <f t="shared" si="33"/>
        <v>13.3</v>
      </c>
      <c r="P774" s="90" t="s">
        <v>1132</v>
      </c>
      <c r="Q774" s="86" t="s">
        <v>3053</v>
      </c>
      <c r="R774" s="86" t="s">
        <v>3077</v>
      </c>
      <c r="T774" s="91">
        <v>0.75</v>
      </c>
      <c r="W774" s="94" t="s">
        <v>3049</v>
      </c>
      <c r="AB774" s="86" t="s">
        <v>2769</v>
      </c>
      <c r="AC774" s="98" t="s">
        <v>3267</v>
      </c>
    </row>
    <row r="775" spans="1:29" x14ac:dyDescent="0.4">
      <c r="A775" s="102" t="s">
        <v>375</v>
      </c>
      <c r="B775" s="85" t="s">
        <v>2726</v>
      </c>
      <c r="C775" s="84" t="s">
        <v>4276</v>
      </c>
      <c r="E775" s="145"/>
      <c r="I775" s="106" t="s">
        <v>4027</v>
      </c>
      <c r="J775" s="86">
        <v>125</v>
      </c>
      <c r="L775" s="100">
        <v>3000</v>
      </c>
      <c r="M775" s="100">
        <v>3650</v>
      </c>
      <c r="N775" s="136">
        <f t="shared" si="33"/>
        <v>10.95</v>
      </c>
      <c r="P775" s="90" t="s">
        <v>1132</v>
      </c>
      <c r="Q775" s="86" t="s">
        <v>3053</v>
      </c>
      <c r="R775" s="86"/>
      <c r="S775" s="86" t="s">
        <v>2768</v>
      </c>
      <c r="T775" s="91">
        <v>0.75</v>
      </c>
      <c r="U775" s="92">
        <v>10</v>
      </c>
      <c r="V775" s="93">
        <v>10</v>
      </c>
      <c r="AB775" s="86" t="s">
        <v>2769</v>
      </c>
      <c r="AC775" s="98" t="s">
        <v>3012</v>
      </c>
    </row>
    <row r="776" spans="1:29" x14ac:dyDescent="0.4">
      <c r="A776" s="102" t="s">
        <v>3096</v>
      </c>
      <c r="B776" s="85" t="s">
        <v>788</v>
      </c>
      <c r="C776" s="84" t="s">
        <v>4276</v>
      </c>
      <c r="E776" s="145"/>
      <c r="I776" s="106" t="s">
        <v>4027</v>
      </c>
      <c r="J776" s="86">
        <v>125</v>
      </c>
      <c r="L776" s="108">
        <v>2800</v>
      </c>
      <c r="M776" s="108">
        <v>3650</v>
      </c>
      <c r="N776" s="136">
        <f t="shared" si="33"/>
        <v>10.220000000000001</v>
      </c>
      <c r="P776" s="90" t="s">
        <v>1132</v>
      </c>
      <c r="Q776" s="86" t="s">
        <v>3053</v>
      </c>
      <c r="R776" s="86" t="s">
        <v>3077</v>
      </c>
      <c r="S776" s="86" t="s">
        <v>2766</v>
      </c>
      <c r="T776" s="91">
        <v>0.75</v>
      </c>
      <c r="U776" s="92">
        <v>10</v>
      </c>
      <c r="V776" s="93">
        <v>1</v>
      </c>
      <c r="W776" s="94" t="s">
        <v>3049</v>
      </c>
      <c r="AB776" s="86" t="s">
        <v>2769</v>
      </c>
      <c r="AC776" s="98" t="s">
        <v>3007</v>
      </c>
    </row>
    <row r="777" spans="1:29" x14ac:dyDescent="0.4">
      <c r="A777" s="102" t="s">
        <v>3097</v>
      </c>
      <c r="B777" s="85" t="s">
        <v>788</v>
      </c>
      <c r="C777" s="84" t="s">
        <v>4276</v>
      </c>
      <c r="E777" s="145"/>
      <c r="I777" s="106" t="s">
        <v>4027</v>
      </c>
      <c r="J777" s="86">
        <v>125</v>
      </c>
      <c r="L777" s="108">
        <v>2800</v>
      </c>
      <c r="M777" s="108">
        <v>3750</v>
      </c>
      <c r="N777" s="136">
        <f t="shared" si="33"/>
        <v>10.5</v>
      </c>
      <c r="P777" s="90" t="s">
        <v>1132</v>
      </c>
      <c r="Q777" s="86" t="s">
        <v>3053</v>
      </c>
      <c r="R777" s="86" t="s">
        <v>3077</v>
      </c>
      <c r="S777" s="86" t="s">
        <v>2766</v>
      </c>
      <c r="T777" s="91">
        <v>0.75</v>
      </c>
      <c r="U777" s="92">
        <v>10</v>
      </c>
      <c r="V777" s="93">
        <v>1</v>
      </c>
      <c r="W777" s="94" t="s">
        <v>3049</v>
      </c>
      <c r="AB777" s="86" t="s">
        <v>2769</v>
      </c>
      <c r="AC777" s="98" t="s">
        <v>3098</v>
      </c>
    </row>
    <row r="778" spans="1:29" x14ac:dyDescent="0.4">
      <c r="A778" s="102" t="s">
        <v>159</v>
      </c>
      <c r="B778" s="85" t="s">
        <v>2680</v>
      </c>
      <c r="C778" s="84" t="s">
        <v>1860</v>
      </c>
      <c r="E778" s="145"/>
      <c r="I778" s="106" t="s">
        <v>4027</v>
      </c>
      <c r="J778" s="86">
        <v>100</v>
      </c>
      <c r="L778" s="100">
        <v>3000</v>
      </c>
      <c r="M778" s="100">
        <v>3000</v>
      </c>
      <c r="N778" s="136">
        <f t="shared" si="33"/>
        <v>9</v>
      </c>
      <c r="Q778" s="86" t="s">
        <v>3063</v>
      </c>
      <c r="R778" s="86"/>
      <c r="S778" s="86" t="s">
        <v>2766</v>
      </c>
      <c r="AB778" s="86" t="s">
        <v>2769</v>
      </c>
      <c r="AC778" s="98" t="s">
        <v>4000</v>
      </c>
    </row>
    <row r="779" spans="1:29" x14ac:dyDescent="0.4">
      <c r="A779" s="102" t="s">
        <v>52</v>
      </c>
      <c r="B779" s="85" t="s">
        <v>590</v>
      </c>
      <c r="C779" s="84" t="s">
        <v>1696</v>
      </c>
      <c r="E779" s="145"/>
      <c r="I779" s="106" t="s">
        <v>1133</v>
      </c>
      <c r="L779" s="100">
        <v>4500</v>
      </c>
      <c r="M779" s="100">
        <v>5000</v>
      </c>
      <c r="N779" s="136">
        <f t="shared" si="33"/>
        <v>22.5</v>
      </c>
      <c r="R779" s="86"/>
      <c r="S779" s="86" t="s">
        <v>2768</v>
      </c>
      <c r="AC779" s="98" t="s">
        <v>1424</v>
      </c>
    </row>
    <row r="780" spans="1:29" x14ac:dyDescent="0.4">
      <c r="A780" s="102" t="s">
        <v>116</v>
      </c>
      <c r="B780" s="85" t="s">
        <v>627</v>
      </c>
      <c r="C780" s="84" t="s">
        <v>1696</v>
      </c>
      <c r="E780" s="145"/>
      <c r="I780" s="106" t="s">
        <v>1133</v>
      </c>
      <c r="L780" s="100">
        <v>4500</v>
      </c>
      <c r="M780" s="100">
        <v>4000</v>
      </c>
      <c r="N780" s="136">
        <f t="shared" si="33"/>
        <v>18</v>
      </c>
      <c r="R780" s="86"/>
      <c r="S780" s="86" t="s">
        <v>2766</v>
      </c>
      <c r="AC780" s="98" t="s">
        <v>1697</v>
      </c>
    </row>
    <row r="781" spans="1:29" x14ac:dyDescent="0.4">
      <c r="A781" s="102" t="s">
        <v>296</v>
      </c>
      <c r="B781" s="85" t="s">
        <v>2701</v>
      </c>
      <c r="C781" s="84" t="s">
        <v>4277</v>
      </c>
      <c r="E781" s="145"/>
      <c r="I781" s="106" t="s">
        <v>1133</v>
      </c>
      <c r="L781" s="100">
        <v>3800</v>
      </c>
      <c r="M781" s="100">
        <v>4000</v>
      </c>
      <c r="N781" s="136">
        <f t="shared" si="33"/>
        <v>15.2</v>
      </c>
      <c r="O781" s="88">
        <v>4800</v>
      </c>
      <c r="R781" s="86" t="s">
        <v>3376</v>
      </c>
      <c r="AC781" s="98" t="s">
        <v>2550</v>
      </c>
    </row>
    <row r="782" spans="1:29" x14ac:dyDescent="0.4">
      <c r="A782" s="102" t="s">
        <v>164</v>
      </c>
      <c r="B782" s="85" t="s">
        <v>3785</v>
      </c>
      <c r="C782" s="84" t="s">
        <v>4188</v>
      </c>
      <c r="D782" s="143" t="s">
        <v>4291</v>
      </c>
      <c r="I782" s="106" t="s">
        <v>4027</v>
      </c>
      <c r="J782" s="86">
        <v>100</v>
      </c>
      <c r="L782" s="100">
        <v>2400</v>
      </c>
      <c r="M782" s="100">
        <v>3150</v>
      </c>
      <c r="N782" s="136">
        <f t="shared" si="33"/>
        <v>7.56</v>
      </c>
      <c r="Q782" s="86" t="s">
        <v>3053</v>
      </c>
      <c r="R782" s="86"/>
      <c r="S782" s="86" t="s">
        <v>2768</v>
      </c>
      <c r="AB782" s="86" t="s">
        <v>2769</v>
      </c>
      <c r="AC782" s="98" t="s">
        <v>3786</v>
      </c>
    </row>
    <row r="783" spans="1:29" x14ac:dyDescent="0.4">
      <c r="A783" s="102" t="s">
        <v>387</v>
      </c>
      <c r="B783" s="85" t="s">
        <v>2728</v>
      </c>
      <c r="C783" s="84" t="s">
        <v>4188</v>
      </c>
      <c r="D783" s="143" t="s">
        <v>4291</v>
      </c>
      <c r="I783" s="106" t="s">
        <v>4027</v>
      </c>
      <c r="J783" s="86">
        <v>125</v>
      </c>
      <c r="L783" s="108">
        <v>3600</v>
      </c>
      <c r="M783" s="108">
        <v>4320</v>
      </c>
      <c r="N783" s="136">
        <f t="shared" si="33"/>
        <v>15.552</v>
      </c>
      <c r="P783" s="90" t="s">
        <v>1132</v>
      </c>
      <c r="Q783" s="86" t="s">
        <v>3053</v>
      </c>
      <c r="R783" s="86" t="s">
        <v>3078</v>
      </c>
      <c r="S783" s="86" t="s">
        <v>2768</v>
      </c>
      <c r="T783" s="91">
        <v>0.75</v>
      </c>
      <c r="U783" s="92">
        <v>10</v>
      </c>
      <c r="V783" s="93">
        <v>1</v>
      </c>
      <c r="Z783" s="99" t="s">
        <v>3051</v>
      </c>
      <c r="AB783" s="86" t="s">
        <v>2769</v>
      </c>
      <c r="AC783" s="98" t="s">
        <v>3003</v>
      </c>
    </row>
    <row r="784" spans="1:29" x14ac:dyDescent="0.4">
      <c r="A784" s="102" t="s">
        <v>419</v>
      </c>
      <c r="B784" s="85" t="s">
        <v>809</v>
      </c>
      <c r="C784" s="84" t="s">
        <v>4188</v>
      </c>
      <c r="D784" s="143" t="s">
        <v>4291</v>
      </c>
      <c r="I784" s="106" t="s">
        <v>4027</v>
      </c>
      <c r="J784" s="86">
        <v>125</v>
      </c>
      <c r="L784" s="100">
        <v>3600</v>
      </c>
      <c r="M784" s="100">
        <v>4130</v>
      </c>
      <c r="N784" s="136">
        <f t="shared" si="33"/>
        <v>14.868</v>
      </c>
      <c r="P784" s="90" t="s">
        <v>1132</v>
      </c>
      <c r="Q784" s="86" t="s">
        <v>3053</v>
      </c>
      <c r="R784" s="86"/>
      <c r="S784" s="86" t="s">
        <v>2766</v>
      </c>
      <c r="T784" s="91">
        <v>0.75</v>
      </c>
      <c r="V784" s="93">
        <v>1</v>
      </c>
      <c r="Z784" s="99" t="s">
        <v>3051</v>
      </c>
      <c r="AB784" s="86" t="s">
        <v>2769</v>
      </c>
      <c r="AC784" s="98" t="s">
        <v>2953</v>
      </c>
    </row>
    <row r="785" spans="1:29" x14ac:dyDescent="0.4">
      <c r="A785" s="83" t="s">
        <v>4192</v>
      </c>
      <c r="B785" s="64" t="s">
        <v>4198</v>
      </c>
      <c r="C785" s="84" t="s">
        <v>4188</v>
      </c>
      <c r="D785" s="143" t="s">
        <v>4291</v>
      </c>
      <c r="H785" s="86">
        <v>1</v>
      </c>
      <c r="I785" s="106" t="s">
        <v>2765</v>
      </c>
      <c r="J785" s="86">
        <v>150</v>
      </c>
      <c r="L785" s="89">
        <v>3000</v>
      </c>
      <c r="M785" s="89">
        <v>3000</v>
      </c>
      <c r="N785" s="136">
        <f t="shared" si="33"/>
        <v>9</v>
      </c>
      <c r="P785" s="90" t="s">
        <v>1132</v>
      </c>
      <c r="Q785" s="86" t="s">
        <v>3066</v>
      </c>
      <c r="R785" s="86" t="s">
        <v>4030</v>
      </c>
      <c r="S785" s="86" t="s">
        <v>2768</v>
      </c>
      <c r="T785" s="91">
        <v>1.5</v>
      </c>
      <c r="U785" s="92">
        <f>IF(T785="NA","-",IF(T785&gt;=1.5,15,IF(T785=0.75,10,"")))</f>
        <v>15</v>
      </c>
      <c r="V785" s="93">
        <v>1</v>
      </c>
      <c r="W785" s="94" t="s">
        <v>4065</v>
      </c>
      <c r="X785" s="86" t="s">
        <v>4037</v>
      </c>
      <c r="Y785" s="99" t="s">
        <v>3046</v>
      </c>
      <c r="Z785" s="87" t="s">
        <v>3051</v>
      </c>
      <c r="AB785" s="86" t="s">
        <v>2769</v>
      </c>
    </row>
    <row r="786" spans="1:29" x14ac:dyDescent="0.4">
      <c r="A786" s="102" t="s">
        <v>501</v>
      </c>
      <c r="B786" s="85" t="s">
        <v>2754</v>
      </c>
      <c r="C786" s="84" t="s">
        <v>2815</v>
      </c>
      <c r="D786" s="143" t="s">
        <v>4313</v>
      </c>
      <c r="E786" s="145"/>
      <c r="H786" s="86">
        <v>2</v>
      </c>
      <c r="I786" s="106" t="s">
        <v>4027</v>
      </c>
      <c r="J786" s="86">
        <v>125</v>
      </c>
      <c r="L786" s="100">
        <v>3500</v>
      </c>
      <c r="M786" s="100">
        <v>4100</v>
      </c>
      <c r="N786" s="136">
        <f t="shared" si="33"/>
        <v>14.35</v>
      </c>
      <c r="P786" s="90" t="s">
        <v>1132</v>
      </c>
      <c r="Q786" s="86" t="s">
        <v>3062</v>
      </c>
      <c r="R786" s="86"/>
      <c r="S786" s="86" t="s">
        <v>2766</v>
      </c>
      <c r="T786" s="91">
        <v>0.75</v>
      </c>
      <c r="U786" s="92">
        <v>10</v>
      </c>
      <c r="V786" s="93">
        <v>1</v>
      </c>
      <c r="W786" s="86" t="s">
        <v>3050</v>
      </c>
      <c r="AB786" s="86" t="s">
        <v>2769</v>
      </c>
      <c r="AC786" s="98" t="s">
        <v>2816</v>
      </c>
    </row>
    <row r="787" spans="1:29" x14ac:dyDescent="0.4">
      <c r="A787" s="102" t="s">
        <v>503</v>
      </c>
      <c r="B787" s="85" t="s">
        <v>851</v>
      </c>
      <c r="C787" s="84" t="s">
        <v>2815</v>
      </c>
      <c r="D787" s="143" t="s">
        <v>4313</v>
      </c>
      <c r="E787" s="145"/>
      <c r="I787" s="106" t="s">
        <v>1131</v>
      </c>
      <c r="J787" s="86">
        <v>150</v>
      </c>
      <c r="L787" s="100">
        <v>4770</v>
      </c>
      <c r="M787" s="100">
        <v>4400</v>
      </c>
      <c r="N787" s="136">
        <f t="shared" si="33"/>
        <v>20.988</v>
      </c>
      <c r="P787" s="90" t="s">
        <v>1132</v>
      </c>
      <c r="Q787" s="86" t="s">
        <v>3060</v>
      </c>
      <c r="R787" s="86"/>
      <c r="S787" s="86" t="s">
        <v>2766</v>
      </c>
      <c r="T787" s="91">
        <v>1.5</v>
      </c>
      <c r="U787" s="92">
        <v>15</v>
      </c>
      <c r="V787" s="93">
        <v>4</v>
      </c>
      <c r="W787" s="94" t="s">
        <v>3049</v>
      </c>
      <c r="Y787" s="99" t="s">
        <v>3046</v>
      </c>
      <c r="Z787" s="101"/>
      <c r="AB787" s="86" t="s">
        <v>2769</v>
      </c>
      <c r="AC787" s="98" t="s">
        <v>3070</v>
      </c>
    </row>
    <row r="788" spans="1:29" x14ac:dyDescent="0.4">
      <c r="A788" s="102" t="s">
        <v>3369</v>
      </c>
      <c r="B788" s="85" t="s">
        <v>723</v>
      </c>
      <c r="C788" s="84" t="s">
        <v>3368</v>
      </c>
      <c r="E788" s="145"/>
      <c r="I788" s="106" t="s">
        <v>1133</v>
      </c>
      <c r="J788" s="86">
        <v>150</v>
      </c>
      <c r="L788" s="100">
        <v>4600</v>
      </c>
      <c r="M788" s="100">
        <v>4600</v>
      </c>
      <c r="N788" s="136">
        <f t="shared" si="33"/>
        <v>21.16</v>
      </c>
      <c r="R788" s="86"/>
      <c r="AC788" s="98" t="s">
        <v>2558</v>
      </c>
    </row>
    <row r="789" spans="1:29" x14ac:dyDescent="0.4">
      <c r="A789" s="102" t="s">
        <v>3393</v>
      </c>
      <c r="B789" s="85" t="s">
        <v>712</v>
      </c>
      <c r="C789" s="84" t="s">
        <v>4278</v>
      </c>
      <c r="E789" s="145"/>
      <c r="I789" s="106" t="s">
        <v>1133</v>
      </c>
      <c r="L789" s="100">
        <v>4600</v>
      </c>
      <c r="M789" s="100">
        <v>4600</v>
      </c>
      <c r="N789" s="136">
        <f t="shared" si="33"/>
        <v>21.16</v>
      </c>
      <c r="Q789" s="86" t="s">
        <v>3392</v>
      </c>
      <c r="R789" s="86"/>
      <c r="AC789" s="98" t="s">
        <v>2527</v>
      </c>
    </row>
    <row r="790" spans="1:29" x14ac:dyDescent="0.4">
      <c r="A790" s="102" t="s">
        <v>1526</v>
      </c>
      <c r="B790" s="85" t="s">
        <v>1531</v>
      </c>
      <c r="C790" s="84" t="s">
        <v>909</v>
      </c>
      <c r="E790" s="145"/>
      <c r="H790" s="86">
        <v>2</v>
      </c>
      <c r="I790" s="106"/>
      <c r="L790" s="100">
        <v>3200</v>
      </c>
      <c r="M790" s="100">
        <v>3400</v>
      </c>
      <c r="N790" s="136">
        <f t="shared" si="33"/>
        <v>10.88</v>
      </c>
      <c r="Q790" s="86" t="s">
        <v>3069</v>
      </c>
      <c r="R790" s="86"/>
      <c r="S790" s="86" t="s">
        <v>2768</v>
      </c>
      <c r="Z790" s="87" t="s">
        <v>3051</v>
      </c>
      <c r="AC790" s="98" t="s">
        <v>3611</v>
      </c>
    </row>
    <row r="791" spans="1:29" ht="26.25" x14ac:dyDescent="0.4">
      <c r="A791" s="124" t="s">
        <v>3908</v>
      </c>
      <c r="B791" s="85"/>
      <c r="C791" s="84" t="s">
        <v>1198</v>
      </c>
      <c r="E791" s="145"/>
      <c r="I791" s="106"/>
      <c r="L791" s="100">
        <v>3000</v>
      </c>
      <c r="M791" s="100">
        <v>3200</v>
      </c>
      <c r="N791" s="136">
        <f t="shared" si="33"/>
        <v>9.6</v>
      </c>
      <c r="R791" s="86"/>
      <c r="U791" s="92" t="s">
        <v>1128</v>
      </c>
      <c r="AC791" s="98" t="s">
        <v>1197</v>
      </c>
    </row>
    <row r="792" spans="1:29" ht="26.25" x14ac:dyDescent="0.4">
      <c r="A792" s="124" t="s">
        <v>3906</v>
      </c>
      <c r="B792" s="85" t="s">
        <v>567</v>
      </c>
      <c r="C792" s="84" t="s">
        <v>912</v>
      </c>
      <c r="E792" s="145"/>
      <c r="I792" s="106"/>
      <c r="L792" s="100">
        <v>3000</v>
      </c>
      <c r="M792" s="100">
        <v>3000</v>
      </c>
      <c r="N792" s="136">
        <f t="shared" si="33"/>
        <v>9</v>
      </c>
      <c r="R792" s="86"/>
      <c r="AC792" s="98" t="s">
        <v>3907</v>
      </c>
    </row>
    <row r="793" spans="1:29" x14ac:dyDescent="0.4">
      <c r="A793" s="102" t="s">
        <v>351</v>
      </c>
      <c r="B793" s="85" t="s">
        <v>775</v>
      </c>
      <c r="C793" s="84" t="s">
        <v>2335</v>
      </c>
      <c r="E793" s="145"/>
      <c r="I793" s="106" t="s">
        <v>4027</v>
      </c>
      <c r="J793" s="86">
        <v>125</v>
      </c>
      <c r="L793" s="100">
        <v>3000</v>
      </c>
      <c r="M793" s="100">
        <v>4100</v>
      </c>
      <c r="N793" s="136">
        <f t="shared" si="33"/>
        <v>12.3</v>
      </c>
      <c r="P793" s="90" t="s">
        <v>1132</v>
      </c>
      <c r="Q793" s="86" t="s">
        <v>3053</v>
      </c>
      <c r="R793" s="86"/>
      <c r="S793" s="86" t="s">
        <v>2766</v>
      </c>
      <c r="U793" s="92">
        <v>15</v>
      </c>
      <c r="V793" s="93">
        <v>0.5</v>
      </c>
      <c r="AA793" s="99" t="s">
        <v>3052</v>
      </c>
      <c r="AB793" s="86" t="s">
        <v>2769</v>
      </c>
      <c r="AC793" s="98" t="s">
        <v>3022</v>
      </c>
    </row>
    <row r="794" spans="1:29" x14ac:dyDescent="0.4">
      <c r="A794" s="102" t="s">
        <v>226</v>
      </c>
      <c r="B794" s="85" t="s">
        <v>680</v>
      </c>
      <c r="C794" s="84" t="s">
        <v>3458</v>
      </c>
      <c r="E794" s="145"/>
      <c r="I794" s="106" t="s">
        <v>4027</v>
      </c>
      <c r="J794" s="86">
        <v>100</v>
      </c>
      <c r="L794" s="100">
        <v>2900</v>
      </c>
      <c r="M794" s="100">
        <v>3350</v>
      </c>
      <c r="N794" s="136">
        <f t="shared" si="33"/>
        <v>9.7149999999999999</v>
      </c>
      <c r="P794" s="90" t="s">
        <v>1132</v>
      </c>
      <c r="Q794" s="86" t="s">
        <v>3059</v>
      </c>
      <c r="R794" s="86"/>
      <c r="Z794" s="87" t="s">
        <v>3051</v>
      </c>
      <c r="AB794" s="86" t="s">
        <v>2769</v>
      </c>
      <c r="AC794" s="98" t="s">
        <v>3679</v>
      </c>
    </row>
    <row r="795" spans="1:29" x14ac:dyDescent="0.4">
      <c r="A795" s="102" t="s">
        <v>102</v>
      </c>
      <c r="B795" s="85" t="s">
        <v>621</v>
      </c>
      <c r="C795" s="84" t="s">
        <v>1655</v>
      </c>
      <c r="E795" s="145"/>
      <c r="I795" s="106" t="s">
        <v>4027</v>
      </c>
      <c r="L795" s="100">
        <v>2200</v>
      </c>
      <c r="M795" s="100">
        <v>3940</v>
      </c>
      <c r="N795" s="136">
        <f t="shared" si="33"/>
        <v>8.6679999999999993</v>
      </c>
      <c r="R795" s="86"/>
      <c r="AC795" s="98" t="s">
        <v>3578</v>
      </c>
    </row>
    <row r="796" spans="1:29" x14ac:dyDescent="0.4">
      <c r="A796" s="102" t="s">
        <v>86</v>
      </c>
      <c r="B796" s="85" t="s">
        <v>1520</v>
      </c>
      <c r="C796" s="84" t="s">
        <v>907</v>
      </c>
      <c r="E796" s="145"/>
      <c r="I796" s="106"/>
      <c r="R796" s="86"/>
    </row>
    <row r="797" spans="1:29" x14ac:dyDescent="0.4">
      <c r="A797" s="102" t="s">
        <v>1172</v>
      </c>
      <c r="B797" s="85" t="s">
        <v>742</v>
      </c>
      <c r="C797" s="84" t="s">
        <v>2617</v>
      </c>
      <c r="E797" s="145"/>
      <c r="I797" s="106" t="s">
        <v>4027</v>
      </c>
      <c r="J797" s="86">
        <v>100</v>
      </c>
      <c r="L797" s="100">
        <v>1600</v>
      </c>
      <c r="M797" s="100">
        <v>2400</v>
      </c>
      <c r="N797" s="136">
        <f>L797*M797/1000000</f>
        <v>3.84</v>
      </c>
      <c r="P797" s="90" t="s">
        <v>1132</v>
      </c>
      <c r="Q797" s="86" t="s">
        <v>3053</v>
      </c>
      <c r="R797" s="86" t="s">
        <v>3078</v>
      </c>
      <c r="S797" s="86" t="s">
        <v>2766</v>
      </c>
      <c r="T797" s="91">
        <v>0.75</v>
      </c>
      <c r="Z797" s="86" t="s">
        <v>3185</v>
      </c>
      <c r="AB797" s="86" t="s">
        <v>2769</v>
      </c>
      <c r="AC797" s="98" t="s">
        <v>3237</v>
      </c>
    </row>
    <row r="798" spans="1:29" x14ac:dyDescent="0.4">
      <c r="A798" s="102" t="s">
        <v>330</v>
      </c>
      <c r="B798" s="85" t="s">
        <v>763</v>
      </c>
      <c r="C798" s="84" t="s">
        <v>2374</v>
      </c>
      <c r="E798" s="145"/>
      <c r="I798" s="106" t="s">
        <v>4027</v>
      </c>
      <c r="J798" s="86">
        <v>100</v>
      </c>
      <c r="L798" s="100">
        <v>1600</v>
      </c>
      <c r="M798" s="100">
        <v>2400</v>
      </c>
      <c r="N798" s="136">
        <f>L798*M798/1000000</f>
        <v>3.84</v>
      </c>
      <c r="P798" s="90" t="s">
        <v>1132</v>
      </c>
      <c r="Q798" s="86" t="s">
        <v>3053</v>
      </c>
      <c r="R798" s="86"/>
      <c r="S798" s="86" t="s">
        <v>2768</v>
      </c>
      <c r="T798" s="91">
        <v>0.75</v>
      </c>
      <c r="V798" s="93">
        <v>1</v>
      </c>
      <c r="Z798" s="86" t="s">
        <v>1439</v>
      </c>
      <c r="AB798" s="86" t="s">
        <v>2769</v>
      </c>
      <c r="AC798" s="98" t="s">
        <v>3189</v>
      </c>
    </row>
    <row r="799" spans="1:29" x14ac:dyDescent="0.4">
      <c r="A799" s="102" t="s">
        <v>274</v>
      </c>
      <c r="B799" s="85" t="s">
        <v>2695</v>
      </c>
      <c r="C799" s="84" t="s">
        <v>2514</v>
      </c>
      <c r="E799" s="145"/>
      <c r="I799" s="106" t="s">
        <v>3028</v>
      </c>
      <c r="R799" s="86"/>
      <c r="U799" s="93" t="s">
        <v>3415</v>
      </c>
      <c r="AC799" s="98" t="s">
        <v>2513</v>
      </c>
    </row>
    <row r="800" spans="1:29" x14ac:dyDescent="0.4">
      <c r="A800" s="102" t="s">
        <v>20</v>
      </c>
      <c r="B800" s="85" t="s">
        <v>573</v>
      </c>
      <c r="C800" s="84" t="s">
        <v>874</v>
      </c>
      <c r="E800" s="145"/>
      <c r="I800" s="106" t="s">
        <v>3001</v>
      </c>
      <c r="R800" s="86"/>
      <c r="AC800" s="98" t="s">
        <v>1227</v>
      </c>
    </row>
    <row r="801" spans="1:29" x14ac:dyDescent="0.4">
      <c r="A801" s="102" t="s">
        <v>61</v>
      </c>
      <c r="B801" s="85" t="s">
        <v>3841</v>
      </c>
      <c r="C801" s="84" t="s">
        <v>874</v>
      </c>
      <c r="E801" s="145"/>
      <c r="I801" s="106" t="s">
        <v>4027</v>
      </c>
      <c r="L801" s="100">
        <v>2700</v>
      </c>
      <c r="M801" s="100">
        <v>4000</v>
      </c>
      <c r="N801" s="136">
        <f t="shared" ref="N801:N817" si="34">L801*M801/1000000</f>
        <v>10.8</v>
      </c>
      <c r="R801" s="86"/>
      <c r="AC801" s="98" t="s">
        <v>3638</v>
      </c>
    </row>
    <row r="802" spans="1:29" x14ac:dyDescent="0.4">
      <c r="A802" s="102" t="s">
        <v>139</v>
      </c>
      <c r="B802" s="85" t="s">
        <v>632</v>
      </c>
      <c r="C802" s="84" t="s">
        <v>1793</v>
      </c>
      <c r="E802" s="145"/>
      <c r="I802" s="106" t="s">
        <v>4027</v>
      </c>
      <c r="K802" s="88">
        <v>4380</v>
      </c>
      <c r="N802" s="136">
        <f t="shared" si="34"/>
        <v>0</v>
      </c>
      <c r="O802" s="88">
        <v>4900</v>
      </c>
      <c r="Q802" s="86" t="s">
        <v>3774</v>
      </c>
      <c r="R802" s="86"/>
      <c r="W802" s="94" t="s">
        <v>3129</v>
      </c>
      <c r="AA802" s="116" t="s">
        <v>3052</v>
      </c>
      <c r="AC802" s="98" t="s">
        <v>3810</v>
      </c>
    </row>
    <row r="803" spans="1:29" x14ac:dyDescent="0.4">
      <c r="A803" s="102" t="s">
        <v>1402</v>
      </c>
      <c r="B803" s="85" t="s">
        <v>586</v>
      </c>
      <c r="C803" s="84" t="s">
        <v>1183</v>
      </c>
      <c r="D803" s="143" t="s">
        <v>4299</v>
      </c>
      <c r="E803" s="145"/>
      <c r="I803" s="106" t="s">
        <v>4027</v>
      </c>
      <c r="L803" s="100">
        <v>2650</v>
      </c>
      <c r="M803" s="100">
        <v>3900</v>
      </c>
      <c r="N803" s="136">
        <f t="shared" si="34"/>
        <v>10.335000000000001</v>
      </c>
      <c r="Q803" s="86" t="s">
        <v>3053</v>
      </c>
      <c r="R803" s="86"/>
      <c r="S803" s="86" t="s">
        <v>2766</v>
      </c>
      <c r="AC803" s="98" t="s">
        <v>3646</v>
      </c>
    </row>
    <row r="804" spans="1:29" x14ac:dyDescent="0.4">
      <c r="A804" s="102" t="s">
        <v>1403</v>
      </c>
      <c r="B804" s="85" t="s">
        <v>586</v>
      </c>
      <c r="C804" s="84" t="s">
        <v>1183</v>
      </c>
      <c r="D804" s="143" t="s">
        <v>4299</v>
      </c>
      <c r="E804" s="145"/>
      <c r="I804" s="106" t="s">
        <v>2765</v>
      </c>
      <c r="L804" s="100">
        <v>2800</v>
      </c>
      <c r="M804" s="100">
        <v>3100</v>
      </c>
      <c r="N804" s="136">
        <f t="shared" si="34"/>
        <v>8.68</v>
      </c>
      <c r="Q804" s="86" t="s">
        <v>3053</v>
      </c>
      <c r="R804" s="86"/>
      <c r="S804" s="86" t="s">
        <v>2766</v>
      </c>
      <c r="AC804" s="98" t="s">
        <v>1404</v>
      </c>
    </row>
    <row r="805" spans="1:29" x14ac:dyDescent="0.4">
      <c r="A805" s="102" t="s">
        <v>138</v>
      </c>
      <c r="B805" s="85" t="s">
        <v>632</v>
      </c>
      <c r="C805" s="84" t="s">
        <v>1183</v>
      </c>
      <c r="D805" s="143" t="s">
        <v>4299</v>
      </c>
      <c r="E805" s="145"/>
      <c r="I805" s="106" t="s">
        <v>4027</v>
      </c>
      <c r="J805" s="86">
        <v>100</v>
      </c>
      <c r="L805" s="100">
        <v>2800</v>
      </c>
      <c r="M805" s="100">
        <v>3250</v>
      </c>
      <c r="N805" s="136">
        <f t="shared" si="34"/>
        <v>9.1</v>
      </c>
      <c r="Q805" s="86" t="s">
        <v>3774</v>
      </c>
      <c r="R805" s="86"/>
      <c r="S805" s="86" t="s">
        <v>2766</v>
      </c>
      <c r="AC805" s="98" t="s">
        <v>3309</v>
      </c>
    </row>
    <row r="806" spans="1:29" x14ac:dyDescent="0.4">
      <c r="A806" s="102" t="s">
        <v>168</v>
      </c>
      <c r="B806" s="85" t="s">
        <v>648</v>
      </c>
      <c r="C806" s="84" t="s">
        <v>1183</v>
      </c>
      <c r="D806" s="143" t="s">
        <v>4299</v>
      </c>
      <c r="E806" s="145"/>
      <c r="I806" s="106" t="s">
        <v>4027</v>
      </c>
      <c r="J806" s="86">
        <v>100</v>
      </c>
      <c r="L806" s="100">
        <v>1950</v>
      </c>
      <c r="M806" s="100">
        <v>3500</v>
      </c>
      <c r="N806" s="136">
        <f t="shared" si="34"/>
        <v>6.8250000000000002</v>
      </c>
      <c r="Q806" s="86" t="s">
        <v>3774</v>
      </c>
      <c r="R806" s="86"/>
      <c r="S806" s="86" t="s">
        <v>2768</v>
      </c>
      <c r="V806" s="93">
        <v>5</v>
      </c>
      <c r="AA806" s="116" t="s">
        <v>3052</v>
      </c>
      <c r="AB806" s="86" t="s">
        <v>2769</v>
      </c>
      <c r="AC806" s="98" t="s">
        <v>3487</v>
      </c>
    </row>
    <row r="807" spans="1:29" x14ac:dyDescent="0.4">
      <c r="A807" s="102" t="s">
        <v>3429</v>
      </c>
      <c r="B807" s="85" t="s">
        <v>701</v>
      </c>
      <c r="C807" s="84" t="s">
        <v>1183</v>
      </c>
      <c r="D807" s="143" t="s">
        <v>4299</v>
      </c>
      <c r="E807" s="145"/>
      <c r="I807" s="106" t="s">
        <v>4027</v>
      </c>
      <c r="J807" s="86">
        <v>100</v>
      </c>
      <c r="L807" s="100">
        <v>2700</v>
      </c>
      <c r="M807" s="100">
        <v>3250</v>
      </c>
      <c r="N807" s="136">
        <f t="shared" si="34"/>
        <v>8.7750000000000004</v>
      </c>
      <c r="P807" s="90" t="s">
        <v>1132</v>
      </c>
      <c r="Q807" s="86" t="s">
        <v>3053</v>
      </c>
      <c r="R807" s="86" t="s">
        <v>3078</v>
      </c>
      <c r="S807" s="86" t="s">
        <v>2766</v>
      </c>
      <c r="T807" s="91">
        <v>0.75</v>
      </c>
      <c r="V807" s="93">
        <v>1</v>
      </c>
      <c r="AC807" s="98" t="s">
        <v>3291</v>
      </c>
    </row>
    <row r="808" spans="1:29" x14ac:dyDescent="0.4">
      <c r="A808" s="102" t="s">
        <v>3430</v>
      </c>
      <c r="B808" s="85" t="s">
        <v>701</v>
      </c>
      <c r="C808" s="84" t="s">
        <v>1183</v>
      </c>
      <c r="D808" s="143" t="s">
        <v>4299</v>
      </c>
      <c r="E808" s="145"/>
      <c r="I808" s="106" t="s">
        <v>4027</v>
      </c>
      <c r="J808" s="86">
        <v>100</v>
      </c>
      <c r="L808" s="100">
        <v>3400</v>
      </c>
      <c r="M808" s="100">
        <v>4050</v>
      </c>
      <c r="N808" s="136">
        <f t="shared" si="34"/>
        <v>13.77</v>
      </c>
      <c r="P808" s="90" t="s">
        <v>1132</v>
      </c>
      <c r="Q808" s="86" t="s">
        <v>3053</v>
      </c>
      <c r="R808" s="86" t="s">
        <v>3078</v>
      </c>
      <c r="S808" s="86" t="s">
        <v>2768</v>
      </c>
      <c r="T808" s="91">
        <v>1.5</v>
      </c>
      <c r="V808" s="93">
        <v>1</v>
      </c>
      <c r="AC808" s="98" t="s">
        <v>3292</v>
      </c>
    </row>
    <row r="809" spans="1:29" x14ac:dyDescent="0.4">
      <c r="A809" s="102" t="s">
        <v>1159</v>
      </c>
      <c r="B809" s="85" t="s">
        <v>735</v>
      </c>
      <c r="C809" s="84" t="s">
        <v>1183</v>
      </c>
      <c r="D809" s="143" t="s">
        <v>4299</v>
      </c>
      <c r="E809" s="145"/>
      <c r="I809" s="106" t="s">
        <v>4027</v>
      </c>
      <c r="J809" s="86">
        <v>125</v>
      </c>
      <c r="L809" s="100">
        <v>2550</v>
      </c>
      <c r="M809" s="100">
        <v>3700</v>
      </c>
      <c r="N809" s="136">
        <f t="shared" si="34"/>
        <v>9.4350000000000005</v>
      </c>
      <c r="P809" s="90" t="s">
        <v>1132</v>
      </c>
      <c r="Q809" s="86" t="s">
        <v>3053</v>
      </c>
      <c r="R809" s="86"/>
      <c r="S809" s="86" t="s">
        <v>2768</v>
      </c>
      <c r="T809" s="91">
        <v>0.75</v>
      </c>
      <c r="V809" s="93">
        <v>1</v>
      </c>
      <c r="AA809" s="111" t="s">
        <v>3052</v>
      </c>
      <c r="AB809" s="86" t="s">
        <v>2769</v>
      </c>
      <c r="AC809" s="98" t="s">
        <v>3260</v>
      </c>
    </row>
    <row r="810" spans="1:29" x14ac:dyDescent="0.4">
      <c r="A810" s="102" t="s">
        <v>405</v>
      </c>
      <c r="B810" s="85" t="s">
        <v>2732</v>
      </c>
      <c r="C810" s="84" t="s">
        <v>1183</v>
      </c>
      <c r="D810" s="143" t="s">
        <v>4299</v>
      </c>
      <c r="E810" s="145"/>
      <c r="I810" s="106" t="s">
        <v>4027</v>
      </c>
      <c r="J810" s="86">
        <v>125</v>
      </c>
      <c r="L810" s="100">
        <v>2750</v>
      </c>
      <c r="M810" s="100">
        <v>4100</v>
      </c>
      <c r="N810" s="136">
        <f t="shared" si="34"/>
        <v>11.275</v>
      </c>
      <c r="P810" s="90" t="s">
        <v>1132</v>
      </c>
      <c r="Q810" s="86" t="s">
        <v>3053</v>
      </c>
      <c r="R810" s="86"/>
      <c r="S810" s="86" t="s">
        <v>2768</v>
      </c>
      <c r="T810" s="91">
        <v>0.75</v>
      </c>
      <c r="U810" s="92">
        <v>15</v>
      </c>
      <c r="V810" s="93">
        <v>1</v>
      </c>
      <c r="AB810" s="86" t="s">
        <v>2769</v>
      </c>
      <c r="AC810" s="98" t="s">
        <v>2972</v>
      </c>
    </row>
    <row r="811" spans="1:29" x14ac:dyDescent="0.4">
      <c r="A811" s="102" t="s">
        <v>2942</v>
      </c>
      <c r="B811" s="85" t="s">
        <v>810</v>
      </c>
      <c r="C811" s="84" t="s">
        <v>1183</v>
      </c>
      <c r="D811" s="143" t="s">
        <v>4299</v>
      </c>
      <c r="E811" s="145"/>
      <c r="I811" s="106" t="s">
        <v>4027</v>
      </c>
      <c r="J811" s="86">
        <v>125</v>
      </c>
      <c r="L811" s="100">
        <v>4000</v>
      </c>
      <c r="M811" s="100">
        <v>3600</v>
      </c>
      <c r="N811" s="136">
        <f t="shared" si="34"/>
        <v>14.4</v>
      </c>
      <c r="P811" s="90" t="s">
        <v>1132</v>
      </c>
      <c r="Q811" s="86" t="s">
        <v>3053</v>
      </c>
      <c r="R811" s="86"/>
      <c r="S811" s="86" t="s">
        <v>2768</v>
      </c>
      <c r="T811" s="91">
        <v>1.5</v>
      </c>
      <c r="U811" s="92">
        <v>15</v>
      </c>
      <c r="V811" s="93">
        <v>1</v>
      </c>
      <c r="AB811" s="86" t="s">
        <v>2769</v>
      </c>
      <c r="AC811" s="98" t="s">
        <v>2945</v>
      </c>
    </row>
    <row r="812" spans="1:29" x14ac:dyDescent="0.4">
      <c r="A812" s="102" t="s">
        <v>2943</v>
      </c>
      <c r="B812" s="85" t="s">
        <v>810</v>
      </c>
      <c r="C812" s="84" t="s">
        <v>1183</v>
      </c>
      <c r="D812" s="143" t="s">
        <v>4299</v>
      </c>
      <c r="E812" s="145"/>
      <c r="I812" s="106" t="s">
        <v>4027</v>
      </c>
      <c r="J812" s="86">
        <v>125</v>
      </c>
      <c r="L812" s="100">
        <v>4000</v>
      </c>
      <c r="M812" s="100">
        <v>3600</v>
      </c>
      <c r="N812" s="136">
        <f t="shared" si="34"/>
        <v>14.4</v>
      </c>
      <c r="P812" s="90" t="s">
        <v>1132</v>
      </c>
      <c r="Q812" s="86" t="s">
        <v>3053</v>
      </c>
      <c r="R812" s="86"/>
      <c r="S812" s="86" t="s">
        <v>2768</v>
      </c>
      <c r="T812" s="91">
        <v>0.75</v>
      </c>
      <c r="U812" s="92">
        <v>15</v>
      </c>
      <c r="V812" s="93">
        <v>1</v>
      </c>
      <c r="AB812" s="86" t="s">
        <v>2769</v>
      </c>
      <c r="AC812" s="98" t="s">
        <v>2944</v>
      </c>
    </row>
    <row r="813" spans="1:29" x14ac:dyDescent="0.4">
      <c r="A813" s="102" t="s">
        <v>2946</v>
      </c>
      <c r="B813" s="85" t="s">
        <v>810</v>
      </c>
      <c r="C813" s="84" t="s">
        <v>1183</v>
      </c>
      <c r="D813" s="143" t="s">
        <v>4299</v>
      </c>
      <c r="E813" s="145"/>
      <c r="I813" s="106" t="s">
        <v>4027</v>
      </c>
      <c r="J813" s="86">
        <v>125</v>
      </c>
      <c r="L813" s="100">
        <v>4000</v>
      </c>
      <c r="M813" s="100">
        <v>3600</v>
      </c>
      <c r="N813" s="136">
        <f t="shared" si="34"/>
        <v>14.4</v>
      </c>
      <c r="P813" s="90" t="s">
        <v>1132</v>
      </c>
      <c r="Q813" s="86" t="s">
        <v>3053</v>
      </c>
      <c r="R813" s="86"/>
      <c r="S813" s="86" t="s">
        <v>2766</v>
      </c>
      <c r="T813" s="91">
        <v>0.75</v>
      </c>
      <c r="U813" s="92">
        <v>15</v>
      </c>
      <c r="V813" s="93">
        <v>1</v>
      </c>
      <c r="AB813" s="86" t="s">
        <v>2769</v>
      </c>
      <c r="AC813" s="98" t="s">
        <v>2947</v>
      </c>
    </row>
    <row r="814" spans="1:29" x14ac:dyDescent="0.4">
      <c r="A814" s="102" t="s">
        <v>2948</v>
      </c>
      <c r="B814" s="85" t="s">
        <v>810</v>
      </c>
      <c r="C814" s="84" t="s">
        <v>1183</v>
      </c>
      <c r="D814" s="143" t="s">
        <v>4299</v>
      </c>
      <c r="E814" s="145"/>
      <c r="I814" s="106" t="s">
        <v>4027</v>
      </c>
      <c r="J814" s="86">
        <v>125</v>
      </c>
      <c r="L814" s="100">
        <v>4000</v>
      </c>
      <c r="M814" s="100">
        <v>4500</v>
      </c>
      <c r="N814" s="136">
        <f t="shared" si="34"/>
        <v>18</v>
      </c>
      <c r="P814" s="90" t="s">
        <v>1132</v>
      </c>
      <c r="Q814" s="86" t="s">
        <v>3053</v>
      </c>
      <c r="R814" s="86"/>
      <c r="S814" s="86" t="s">
        <v>2768</v>
      </c>
      <c r="T814" s="91">
        <v>1.5</v>
      </c>
      <c r="U814" s="92">
        <v>15</v>
      </c>
      <c r="V814" s="93">
        <v>1</v>
      </c>
      <c r="AB814" s="86" t="s">
        <v>2769</v>
      </c>
      <c r="AC814" s="98" t="s">
        <v>2949</v>
      </c>
    </row>
    <row r="815" spans="1:29" x14ac:dyDescent="0.4">
      <c r="A815" s="102" t="s">
        <v>2950</v>
      </c>
      <c r="B815" s="85" t="s">
        <v>810</v>
      </c>
      <c r="C815" s="84" t="s">
        <v>1183</v>
      </c>
      <c r="D815" s="143" t="s">
        <v>4299</v>
      </c>
      <c r="E815" s="145"/>
      <c r="I815" s="106" t="s">
        <v>4027</v>
      </c>
      <c r="J815" s="86">
        <v>125</v>
      </c>
      <c r="L815" s="100">
        <v>4570</v>
      </c>
      <c r="M815" s="100">
        <v>4100</v>
      </c>
      <c r="N815" s="136">
        <f t="shared" si="34"/>
        <v>18.736999999999998</v>
      </c>
      <c r="P815" s="90" t="s">
        <v>1132</v>
      </c>
      <c r="Q815" s="86" t="s">
        <v>3053</v>
      </c>
      <c r="R815" s="86"/>
      <c r="S815" s="86" t="s">
        <v>2768</v>
      </c>
      <c r="T815" s="91">
        <v>1.5</v>
      </c>
      <c r="U815" s="92">
        <v>15</v>
      </c>
      <c r="V815" s="93">
        <v>1</v>
      </c>
      <c r="AB815" s="86" t="s">
        <v>2769</v>
      </c>
      <c r="AC815" s="98" t="s">
        <v>2951</v>
      </c>
    </row>
    <row r="816" spans="1:29" x14ac:dyDescent="0.4">
      <c r="A816" s="102" t="s">
        <v>488</v>
      </c>
      <c r="B816" s="85" t="s">
        <v>2750</v>
      </c>
      <c r="C816" s="84" t="s">
        <v>1183</v>
      </c>
      <c r="D816" s="143" t="s">
        <v>4299</v>
      </c>
      <c r="E816" s="145"/>
      <c r="I816" s="106" t="s">
        <v>2765</v>
      </c>
      <c r="J816" s="86">
        <v>125</v>
      </c>
      <c r="L816" s="100">
        <v>2700</v>
      </c>
      <c r="M816" s="100">
        <v>3700</v>
      </c>
      <c r="N816" s="136">
        <f t="shared" si="34"/>
        <v>9.99</v>
      </c>
      <c r="O816" s="88">
        <v>5000</v>
      </c>
      <c r="P816" s="90" t="s">
        <v>1132</v>
      </c>
      <c r="Q816" s="86" t="s">
        <v>3053</v>
      </c>
      <c r="R816" s="86"/>
      <c r="S816" s="86" t="s">
        <v>2768</v>
      </c>
      <c r="T816" s="91">
        <v>1.5</v>
      </c>
      <c r="U816" s="92">
        <v>15</v>
      </c>
      <c r="V816" s="93">
        <v>1</v>
      </c>
      <c r="AB816" s="86" t="s">
        <v>2769</v>
      </c>
      <c r="AC816" s="98" t="s">
        <v>2836</v>
      </c>
    </row>
    <row r="817" spans="1:29" x14ac:dyDescent="0.4">
      <c r="A817" s="102" t="s">
        <v>538</v>
      </c>
      <c r="B817" s="85" t="s">
        <v>2764</v>
      </c>
      <c r="C817" s="84" t="s">
        <v>1183</v>
      </c>
      <c r="D817" s="143" t="s">
        <v>4299</v>
      </c>
      <c r="E817" s="145"/>
      <c r="H817" s="86">
        <v>1</v>
      </c>
      <c r="I817" s="106" t="s">
        <v>4027</v>
      </c>
      <c r="J817" s="86">
        <v>125</v>
      </c>
      <c r="L817" s="100">
        <v>2600</v>
      </c>
      <c r="M817" s="100">
        <v>3600</v>
      </c>
      <c r="N817" s="136">
        <f t="shared" si="34"/>
        <v>9.36</v>
      </c>
      <c r="P817" s="90" t="s">
        <v>1132</v>
      </c>
      <c r="Q817" s="86" t="s">
        <v>3053</v>
      </c>
      <c r="R817" s="86"/>
      <c r="S817" s="86" t="s">
        <v>2768</v>
      </c>
      <c r="T817" s="91">
        <v>2.2000000000000002</v>
      </c>
      <c r="U817" s="92">
        <v>10</v>
      </c>
      <c r="V817" s="93">
        <v>1</v>
      </c>
      <c r="W817" s="94" t="s">
        <v>3049</v>
      </c>
      <c r="AB817" s="86" t="s">
        <v>2769</v>
      </c>
      <c r="AC817" s="98" t="s">
        <v>2017</v>
      </c>
    </row>
    <row r="818" spans="1:29" x14ac:dyDescent="0.4">
      <c r="A818" s="102" t="s">
        <v>229</v>
      </c>
      <c r="B818" s="85" t="s">
        <v>682</v>
      </c>
      <c r="C818" s="84" t="s">
        <v>2425</v>
      </c>
      <c r="E818" s="145"/>
      <c r="I818" s="106" t="s">
        <v>3028</v>
      </c>
      <c r="R818" s="86"/>
      <c r="T818" s="91">
        <v>0.75</v>
      </c>
      <c r="AC818" s="98" t="s">
        <v>2424</v>
      </c>
    </row>
    <row r="819" spans="1:29" x14ac:dyDescent="0.4">
      <c r="A819" s="102" t="s">
        <v>98</v>
      </c>
      <c r="B819" s="85" t="s">
        <v>1634</v>
      </c>
      <c r="C819" s="84" t="s">
        <v>4279</v>
      </c>
      <c r="E819" s="145"/>
      <c r="I819" s="106" t="s">
        <v>2765</v>
      </c>
      <c r="L819" s="100">
        <v>3100</v>
      </c>
      <c r="M819" s="100">
        <v>3150</v>
      </c>
      <c r="N819" s="136">
        <f>L819*M819/1000000</f>
        <v>9.7650000000000006</v>
      </c>
      <c r="R819" s="86"/>
      <c r="S819" s="86" t="s">
        <v>2766</v>
      </c>
      <c r="AC819" s="98" t="s">
        <v>1638</v>
      </c>
    </row>
    <row r="820" spans="1:29" x14ac:dyDescent="0.4">
      <c r="A820" s="102" t="s">
        <v>107</v>
      </c>
      <c r="B820" s="85" t="s">
        <v>623</v>
      </c>
      <c r="C820" s="84" t="s">
        <v>4279</v>
      </c>
      <c r="E820" s="145"/>
      <c r="I820" s="106" t="s">
        <v>4027</v>
      </c>
      <c r="J820" s="86">
        <v>100</v>
      </c>
      <c r="L820" s="100">
        <v>3100</v>
      </c>
      <c r="M820" s="100">
        <v>3300</v>
      </c>
      <c r="N820" s="136">
        <f>L820*M820/1000000</f>
        <v>10.23</v>
      </c>
      <c r="R820" s="86"/>
      <c r="AC820" s="98" t="s">
        <v>3574</v>
      </c>
    </row>
    <row r="821" spans="1:29" x14ac:dyDescent="0.4">
      <c r="A821" s="102" t="s">
        <v>123</v>
      </c>
      <c r="B821" s="85" t="s">
        <v>1739</v>
      </c>
      <c r="C821" s="84" t="s">
        <v>4279</v>
      </c>
      <c r="E821" s="145"/>
      <c r="I821" s="106" t="s">
        <v>2765</v>
      </c>
      <c r="L821" s="100">
        <v>3000</v>
      </c>
      <c r="M821" s="100">
        <v>4020</v>
      </c>
      <c r="N821" s="136">
        <f>L821*M821/1000000</f>
        <v>12.06</v>
      </c>
      <c r="Q821" s="86" t="s">
        <v>3774</v>
      </c>
      <c r="R821" s="86"/>
      <c r="AC821" s="98" t="s">
        <v>1754</v>
      </c>
    </row>
    <row r="822" spans="1:29" x14ac:dyDescent="0.4">
      <c r="A822" s="102" t="s">
        <v>120</v>
      </c>
      <c r="B822" s="85" t="s">
        <v>629</v>
      </c>
      <c r="C822" s="84" t="s">
        <v>2825</v>
      </c>
      <c r="E822" s="145"/>
      <c r="I822" s="106" t="s">
        <v>4027</v>
      </c>
      <c r="J822" s="86">
        <v>100</v>
      </c>
      <c r="L822" s="100">
        <v>3150</v>
      </c>
      <c r="M822" s="100">
        <v>4150</v>
      </c>
      <c r="N822" s="136">
        <f>L822*M822/1000000</f>
        <v>13.0725</v>
      </c>
      <c r="R822" s="86"/>
      <c r="AC822" s="98" t="s">
        <v>3325</v>
      </c>
    </row>
    <row r="823" spans="1:29" x14ac:dyDescent="0.4">
      <c r="A823" s="102" t="s">
        <v>490</v>
      </c>
      <c r="B823" s="85" t="s">
        <v>843</v>
      </c>
      <c r="C823" s="84" t="s">
        <v>2825</v>
      </c>
      <c r="E823" s="145"/>
      <c r="I823" s="106" t="s">
        <v>4027</v>
      </c>
      <c r="J823" s="86">
        <v>125</v>
      </c>
      <c r="L823" s="100">
        <v>2800</v>
      </c>
      <c r="M823" s="100">
        <v>3200</v>
      </c>
      <c r="N823" s="136">
        <f>L823*M823/1000000</f>
        <v>8.9600000000000009</v>
      </c>
      <c r="P823" s="90" t="s">
        <v>1132</v>
      </c>
      <c r="Q823" s="86" t="s">
        <v>3053</v>
      </c>
      <c r="R823" s="86"/>
      <c r="S823" s="86" t="s">
        <v>2768</v>
      </c>
      <c r="T823" s="91">
        <v>0.75</v>
      </c>
      <c r="U823" s="92">
        <v>10</v>
      </c>
      <c r="V823" s="93">
        <v>1</v>
      </c>
      <c r="W823" s="94" t="s">
        <v>3050</v>
      </c>
      <c r="AB823" s="86" t="s">
        <v>2769</v>
      </c>
      <c r="AC823" s="98" t="s">
        <v>2097</v>
      </c>
    </row>
    <row r="824" spans="1:29" x14ac:dyDescent="0.4">
      <c r="A824" s="102" t="s">
        <v>307</v>
      </c>
      <c r="B824" s="85" t="s">
        <v>2703</v>
      </c>
      <c r="C824" s="84" t="s">
        <v>2612</v>
      </c>
      <c r="E824" s="145"/>
      <c r="I824" s="106" t="s">
        <v>3028</v>
      </c>
      <c r="R824" s="86"/>
      <c r="AC824" s="98" t="s">
        <v>1138</v>
      </c>
    </row>
    <row r="825" spans="1:29" x14ac:dyDescent="0.4">
      <c r="A825" s="102" t="s">
        <v>1169</v>
      </c>
      <c r="B825" s="85" t="s">
        <v>2708</v>
      </c>
      <c r="C825" s="84" t="s">
        <v>2612</v>
      </c>
      <c r="E825" s="145"/>
      <c r="I825" s="106" t="s">
        <v>3028</v>
      </c>
      <c r="R825" s="86"/>
      <c r="U825" s="92" t="s">
        <v>3194</v>
      </c>
      <c r="AC825" s="98" t="s">
        <v>2611</v>
      </c>
    </row>
    <row r="826" spans="1:29" x14ac:dyDescent="0.4">
      <c r="A826" s="102" t="s">
        <v>65</v>
      </c>
      <c r="B826" s="85" t="s">
        <v>1452</v>
      </c>
      <c r="C826" s="84" t="s">
        <v>4077</v>
      </c>
      <c r="E826" s="145"/>
      <c r="I826" s="106" t="s">
        <v>4027</v>
      </c>
      <c r="L826" s="100">
        <v>2600</v>
      </c>
      <c r="M826" s="100">
        <v>4000</v>
      </c>
      <c r="N826" s="136">
        <f>L826*M826/1000000</f>
        <v>10.4</v>
      </c>
      <c r="R826" s="86"/>
      <c r="AC826" s="98" t="s">
        <v>3632</v>
      </c>
    </row>
    <row r="827" spans="1:29" ht="26.25" x14ac:dyDescent="0.4">
      <c r="A827" s="124" t="s">
        <v>3836</v>
      </c>
      <c r="B827" s="85" t="s">
        <v>596</v>
      </c>
      <c r="C827" s="84" t="s">
        <v>4077</v>
      </c>
      <c r="E827" s="145"/>
      <c r="H827" s="86">
        <v>2</v>
      </c>
      <c r="I827" s="106" t="s">
        <v>4027</v>
      </c>
      <c r="L827" s="100">
        <v>2100</v>
      </c>
      <c r="M827" s="100">
        <v>2600</v>
      </c>
      <c r="N827" s="136">
        <f>L827*M827/1000000</f>
        <v>5.46</v>
      </c>
      <c r="R827" s="86"/>
      <c r="S827" s="86" t="s">
        <v>2766</v>
      </c>
      <c r="AC827" s="98" t="s">
        <v>3624</v>
      </c>
    </row>
    <row r="828" spans="1:29" ht="26.25" x14ac:dyDescent="0.4">
      <c r="A828" s="124" t="s">
        <v>3849</v>
      </c>
      <c r="B828" s="85" t="s">
        <v>3847</v>
      </c>
      <c r="C828" s="84" t="s">
        <v>3700</v>
      </c>
      <c r="E828" s="145"/>
      <c r="I828" s="106" t="s">
        <v>4027</v>
      </c>
      <c r="L828" s="100">
        <v>2250</v>
      </c>
      <c r="M828" s="100">
        <v>3400</v>
      </c>
      <c r="N828" s="136">
        <f>L828*M828/1000000</f>
        <v>7.65</v>
      </c>
      <c r="P828" s="90" t="s">
        <v>3375</v>
      </c>
      <c r="R828" s="86"/>
      <c r="S828" s="86" t="s">
        <v>2768</v>
      </c>
      <c r="AC828" s="98" t="s">
        <v>3848</v>
      </c>
    </row>
    <row r="829" spans="1:29" x14ac:dyDescent="0.4">
      <c r="A829" s="102" t="s">
        <v>203</v>
      </c>
      <c r="B829" s="85" t="s">
        <v>666</v>
      </c>
      <c r="C829" s="84" t="s">
        <v>3700</v>
      </c>
      <c r="E829" s="145"/>
      <c r="I829" s="106" t="s">
        <v>4027</v>
      </c>
      <c r="J829" s="86">
        <v>100</v>
      </c>
      <c r="L829" s="100">
        <v>2450</v>
      </c>
      <c r="M829" s="100">
        <v>5750</v>
      </c>
      <c r="N829" s="136">
        <f>L829*M829/1000000</f>
        <v>14.0875</v>
      </c>
      <c r="P829" s="63" t="s">
        <v>3177</v>
      </c>
      <c r="Q829" s="86" t="s">
        <v>3701</v>
      </c>
      <c r="R829" s="86"/>
      <c r="AA829" s="116" t="s">
        <v>3052</v>
      </c>
      <c r="AB829" s="86" t="s">
        <v>2769</v>
      </c>
      <c r="AC829" s="98" t="s">
        <v>3728</v>
      </c>
    </row>
    <row r="830" spans="1:29" x14ac:dyDescent="0.4">
      <c r="A830" s="102" t="s">
        <v>340</v>
      </c>
      <c r="B830" s="85" t="s">
        <v>769</v>
      </c>
      <c r="C830" s="84" t="s">
        <v>3700</v>
      </c>
      <c r="E830" s="145"/>
      <c r="I830" s="106" t="s">
        <v>3028</v>
      </c>
      <c r="R830" s="86"/>
      <c r="U830" s="91" t="s">
        <v>3194</v>
      </c>
      <c r="AC830" s="98" t="s">
        <v>2354</v>
      </c>
    </row>
    <row r="831" spans="1:29" x14ac:dyDescent="0.4">
      <c r="A831" s="102" t="s">
        <v>401</v>
      </c>
      <c r="B831" s="85" t="s">
        <v>2731</v>
      </c>
      <c r="C831" s="84" t="s">
        <v>4280</v>
      </c>
      <c r="E831" s="145"/>
      <c r="I831" s="106" t="s">
        <v>4027</v>
      </c>
      <c r="J831" s="86">
        <v>125</v>
      </c>
      <c r="L831" s="100">
        <v>3000</v>
      </c>
      <c r="M831" s="100">
        <v>3300</v>
      </c>
      <c r="N831" s="136">
        <f t="shared" ref="N831:N836" si="35">L831*M831/1000000</f>
        <v>9.9</v>
      </c>
      <c r="P831" s="63" t="s">
        <v>3177</v>
      </c>
      <c r="Q831" s="86" t="s">
        <v>3053</v>
      </c>
      <c r="R831" s="86"/>
      <c r="S831" s="86" t="s">
        <v>2768</v>
      </c>
      <c r="T831" s="91">
        <v>0.75</v>
      </c>
      <c r="U831" s="92">
        <v>10</v>
      </c>
      <c r="V831" s="93">
        <v>0.5</v>
      </c>
      <c r="AB831" s="86" t="s">
        <v>2769</v>
      </c>
      <c r="AC831" s="98" t="s">
        <v>2976</v>
      </c>
    </row>
    <row r="832" spans="1:29" x14ac:dyDescent="0.4">
      <c r="A832" s="102" t="s">
        <v>103</v>
      </c>
      <c r="B832" s="85" t="s">
        <v>622</v>
      </c>
      <c r="C832" s="84" t="s">
        <v>3457</v>
      </c>
      <c r="E832" s="145"/>
      <c r="I832" s="106" t="s">
        <v>4027</v>
      </c>
      <c r="J832" s="86">
        <v>100</v>
      </c>
      <c r="L832" s="100">
        <v>4000</v>
      </c>
      <c r="M832" s="100">
        <v>4400</v>
      </c>
      <c r="N832" s="136">
        <f t="shared" si="35"/>
        <v>17.600000000000001</v>
      </c>
      <c r="R832" s="86"/>
      <c r="AC832" s="98" t="s">
        <v>3577</v>
      </c>
    </row>
    <row r="833" spans="1:29" x14ac:dyDescent="0.4">
      <c r="A833" s="102" t="s">
        <v>3542</v>
      </c>
      <c r="B833" s="85" t="s">
        <v>681</v>
      </c>
      <c r="C833" s="84" t="s">
        <v>3457</v>
      </c>
      <c r="E833" s="145"/>
      <c r="I833" s="106" t="s">
        <v>2765</v>
      </c>
      <c r="L833" s="100">
        <v>2500</v>
      </c>
      <c r="M833" s="100">
        <v>3300</v>
      </c>
      <c r="N833" s="136">
        <f t="shared" si="35"/>
        <v>8.25</v>
      </c>
      <c r="P833" s="63" t="s">
        <v>3177</v>
      </c>
      <c r="Q833" s="86" t="s">
        <v>3053</v>
      </c>
      <c r="R833" s="86"/>
      <c r="Z833" s="87" t="s">
        <v>3051</v>
      </c>
      <c r="AC833" s="98" t="s">
        <v>2421</v>
      </c>
    </row>
    <row r="834" spans="1:29" x14ac:dyDescent="0.4">
      <c r="A834" s="102" t="s">
        <v>3543</v>
      </c>
      <c r="B834" s="85" t="s">
        <v>681</v>
      </c>
      <c r="C834" s="84" t="s">
        <v>3457</v>
      </c>
      <c r="E834" s="145"/>
      <c r="I834" s="106" t="s">
        <v>4027</v>
      </c>
      <c r="J834" s="86">
        <v>125</v>
      </c>
      <c r="L834" s="100">
        <v>3500</v>
      </c>
      <c r="M834" s="100">
        <v>3500</v>
      </c>
      <c r="N834" s="136">
        <f t="shared" si="35"/>
        <v>12.25</v>
      </c>
      <c r="P834" s="63" t="s">
        <v>3177</v>
      </c>
      <c r="Q834" s="86" t="s">
        <v>3053</v>
      </c>
      <c r="R834" s="86"/>
      <c r="V834" s="93">
        <v>1.5</v>
      </c>
      <c r="Z834" s="87" t="s">
        <v>3051</v>
      </c>
      <c r="AC834" s="98" t="s">
        <v>3678</v>
      </c>
    </row>
    <row r="835" spans="1:29" x14ac:dyDescent="0.4">
      <c r="A835" s="102" t="s">
        <v>3174</v>
      </c>
      <c r="B835" s="85" t="s">
        <v>782</v>
      </c>
      <c r="C835" s="84" t="s">
        <v>2316</v>
      </c>
      <c r="E835" s="145"/>
      <c r="I835" s="106" t="s">
        <v>2998</v>
      </c>
      <c r="L835" s="100">
        <v>4000</v>
      </c>
      <c r="M835" s="100">
        <v>4400</v>
      </c>
      <c r="N835" s="136">
        <f t="shared" si="35"/>
        <v>17.600000000000001</v>
      </c>
      <c r="R835" s="86"/>
      <c r="AC835" s="98" t="s">
        <v>3037</v>
      </c>
    </row>
    <row r="836" spans="1:29" x14ac:dyDescent="0.4">
      <c r="A836" s="102" t="s">
        <v>82</v>
      </c>
      <c r="B836" s="85" t="s">
        <v>1495</v>
      </c>
      <c r="C836" s="84" t="s">
        <v>4281</v>
      </c>
      <c r="E836" s="145"/>
      <c r="I836" s="106" t="s">
        <v>2998</v>
      </c>
      <c r="L836" s="100">
        <v>4000</v>
      </c>
      <c r="M836" s="100">
        <v>4800</v>
      </c>
      <c r="N836" s="136">
        <f t="shared" si="35"/>
        <v>19.2</v>
      </c>
      <c r="R836" s="86"/>
      <c r="AC836" s="98" t="s">
        <v>1497</v>
      </c>
    </row>
    <row r="837" spans="1:29" x14ac:dyDescent="0.4">
      <c r="A837" s="102" t="s">
        <v>353</v>
      </c>
      <c r="B837" s="85" t="s">
        <v>2719</v>
      </c>
      <c r="C837" s="84" t="s">
        <v>2331</v>
      </c>
      <c r="E837" s="145"/>
      <c r="I837" s="106" t="s">
        <v>2998</v>
      </c>
      <c r="R837" s="86"/>
      <c r="AC837" s="98" t="s">
        <v>2330</v>
      </c>
    </row>
    <row r="838" spans="1:29" x14ac:dyDescent="0.4">
      <c r="A838" s="102" t="s">
        <v>373</v>
      </c>
      <c r="B838" s="85" t="s">
        <v>3108</v>
      </c>
      <c r="C838" s="84" t="s">
        <v>4282</v>
      </c>
      <c r="E838" s="145"/>
      <c r="I838" s="106" t="s">
        <v>2765</v>
      </c>
      <c r="J838" s="86">
        <v>125</v>
      </c>
      <c r="L838" s="100">
        <v>2600</v>
      </c>
      <c r="M838" s="100">
        <v>4450</v>
      </c>
      <c r="N838" s="136">
        <f>L838*M838/1000000</f>
        <v>11.57</v>
      </c>
      <c r="O838" s="88">
        <v>4650</v>
      </c>
      <c r="P838" s="90" t="s">
        <v>1132</v>
      </c>
      <c r="Q838" s="86" t="s">
        <v>3053</v>
      </c>
      <c r="R838" s="86"/>
      <c r="S838" s="86" t="s">
        <v>2768</v>
      </c>
      <c r="T838" s="91">
        <v>1.5</v>
      </c>
      <c r="U838" s="92">
        <v>15</v>
      </c>
      <c r="V838" s="93">
        <v>2.5</v>
      </c>
      <c r="Z838" s="87" t="s">
        <v>3051</v>
      </c>
      <c r="AB838" s="86" t="s">
        <v>2769</v>
      </c>
      <c r="AC838" s="98" t="s">
        <v>3013</v>
      </c>
    </row>
    <row r="839" spans="1:29" x14ac:dyDescent="0.4">
      <c r="A839" s="102" t="s">
        <v>271</v>
      </c>
      <c r="B839" s="85" t="s">
        <v>705</v>
      </c>
      <c r="C839" s="84" t="s">
        <v>3418</v>
      </c>
      <c r="E839" s="145"/>
      <c r="H839" s="86">
        <v>2</v>
      </c>
      <c r="I839" s="106" t="s">
        <v>3028</v>
      </c>
      <c r="R839" s="86"/>
      <c r="U839" s="93" t="s">
        <v>3415</v>
      </c>
      <c r="AC839" s="98" t="s">
        <v>2507</v>
      </c>
    </row>
    <row r="840" spans="1:29" x14ac:dyDescent="0.4">
      <c r="A840" s="102" t="s">
        <v>1373</v>
      </c>
      <c r="B840" s="85" t="s">
        <v>1374</v>
      </c>
      <c r="C840" s="84" t="s">
        <v>1371</v>
      </c>
      <c r="E840" s="145"/>
      <c r="I840" s="106" t="s">
        <v>4027</v>
      </c>
      <c r="L840" s="100">
        <v>3000</v>
      </c>
      <c r="M840" s="100">
        <v>2800</v>
      </c>
      <c r="N840" s="136">
        <f t="shared" ref="N840:N848" si="36">L840*M840/1000000</f>
        <v>8.4</v>
      </c>
      <c r="R840" s="86"/>
      <c r="S840" s="86" t="s">
        <v>2766</v>
      </c>
      <c r="AC840" s="98" t="s">
        <v>3652</v>
      </c>
    </row>
    <row r="841" spans="1:29" x14ac:dyDescent="0.4">
      <c r="A841" s="102" t="s">
        <v>54</v>
      </c>
      <c r="B841" s="85" t="s">
        <v>1427</v>
      </c>
      <c r="C841" s="84" t="s">
        <v>889</v>
      </c>
      <c r="E841" s="145"/>
      <c r="I841" s="106" t="s">
        <v>1133</v>
      </c>
      <c r="L841" s="100">
        <v>4000</v>
      </c>
      <c r="M841" s="100">
        <v>4200</v>
      </c>
      <c r="N841" s="136">
        <f t="shared" si="36"/>
        <v>16.8</v>
      </c>
      <c r="Q841" s="86" t="s">
        <v>3069</v>
      </c>
      <c r="R841" s="86"/>
      <c r="S841" s="86" t="s">
        <v>2768</v>
      </c>
      <c r="AC841" s="98" t="s">
        <v>1429</v>
      </c>
    </row>
    <row r="842" spans="1:29" x14ac:dyDescent="0.4">
      <c r="A842" s="102" t="s">
        <v>367</v>
      </c>
      <c r="B842" s="85" t="s">
        <v>2723</v>
      </c>
      <c r="C842" s="84" t="s">
        <v>2305</v>
      </c>
      <c r="E842" s="145"/>
      <c r="I842" s="106" t="s">
        <v>1131</v>
      </c>
      <c r="J842" s="86">
        <v>200</v>
      </c>
      <c r="L842" s="100">
        <v>6350</v>
      </c>
      <c r="M842" s="100">
        <v>4200</v>
      </c>
      <c r="N842" s="136">
        <f t="shared" si="36"/>
        <v>26.67</v>
      </c>
      <c r="P842" s="90" t="s">
        <v>1132</v>
      </c>
      <c r="Q842" s="86" t="s">
        <v>3053</v>
      </c>
      <c r="R842" s="86"/>
      <c r="S842" s="86" t="s">
        <v>2768</v>
      </c>
      <c r="T842" s="91">
        <v>2.2000000000000002</v>
      </c>
      <c r="V842" s="93">
        <v>1</v>
      </c>
      <c r="Z842" s="87" t="s">
        <v>3051</v>
      </c>
      <c r="AC842" s="98" t="s">
        <v>3016</v>
      </c>
    </row>
    <row r="843" spans="1:29" x14ac:dyDescent="0.4">
      <c r="A843" s="102" t="s">
        <v>442</v>
      </c>
      <c r="B843" s="85" t="s">
        <v>2738</v>
      </c>
      <c r="C843" s="84" t="s">
        <v>2181</v>
      </c>
      <c r="E843" s="145"/>
      <c r="I843" s="106" t="s">
        <v>1131</v>
      </c>
      <c r="J843" s="86">
        <v>150</v>
      </c>
      <c r="L843" s="100">
        <v>6085</v>
      </c>
      <c r="M843" s="100">
        <v>5000</v>
      </c>
      <c r="N843" s="136">
        <f t="shared" si="36"/>
        <v>30.425000000000001</v>
      </c>
      <c r="Q843" s="86" t="s">
        <v>3067</v>
      </c>
      <c r="R843" s="86"/>
      <c r="S843" s="86" t="s">
        <v>2768</v>
      </c>
      <c r="T843" s="91">
        <v>2.2000000000000002</v>
      </c>
      <c r="U843" s="92">
        <v>15</v>
      </c>
      <c r="V843" s="93">
        <v>1</v>
      </c>
      <c r="Z843" s="99" t="s">
        <v>3051</v>
      </c>
      <c r="AB843" s="86" t="s">
        <v>2769</v>
      </c>
      <c r="AC843" s="98" t="s">
        <v>3919</v>
      </c>
    </row>
    <row r="844" spans="1:29" x14ac:dyDescent="0.4">
      <c r="A844" s="102" t="s">
        <v>299</v>
      </c>
      <c r="B844" s="85" t="s">
        <v>722</v>
      </c>
      <c r="C844" s="84" t="s">
        <v>4284</v>
      </c>
      <c r="E844" s="145"/>
      <c r="I844" s="106" t="s">
        <v>4027</v>
      </c>
      <c r="J844" s="86">
        <v>125</v>
      </c>
      <c r="L844" s="100">
        <v>3000</v>
      </c>
      <c r="M844" s="100">
        <v>3000</v>
      </c>
      <c r="N844" s="136">
        <f t="shared" si="36"/>
        <v>9</v>
      </c>
      <c r="P844" s="90" t="s">
        <v>1132</v>
      </c>
      <c r="Q844" s="86" t="s">
        <v>3053</v>
      </c>
      <c r="R844" s="86" t="s">
        <v>3078</v>
      </c>
      <c r="S844" s="86" t="s">
        <v>2768</v>
      </c>
      <c r="T844" s="91">
        <v>0.75</v>
      </c>
      <c r="W844" s="94" t="s">
        <v>3074</v>
      </c>
      <c r="AC844" s="98" t="s">
        <v>3956</v>
      </c>
    </row>
    <row r="845" spans="1:29" x14ac:dyDescent="0.4">
      <c r="A845" s="102" t="s">
        <v>527</v>
      </c>
      <c r="B845" s="85" t="s">
        <v>2760</v>
      </c>
      <c r="C845" s="84" t="s">
        <v>4285</v>
      </c>
      <c r="E845" s="145"/>
      <c r="H845" s="86">
        <v>1</v>
      </c>
      <c r="I845" s="106" t="s">
        <v>4027</v>
      </c>
      <c r="J845" s="86">
        <v>125</v>
      </c>
      <c r="L845" s="100">
        <v>2450</v>
      </c>
      <c r="M845" s="100">
        <v>3650</v>
      </c>
      <c r="N845" s="136">
        <f t="shared" si="36"/>
        <v>8.9425000000000008</v>
      </c>
      <c r="P845" s="90" t="s">
        <v>1132</v>
      </c>
      <c r="Q845" s="86" t="s">
        <v>3053</v>
      </c>
      <c r="R845" s="86"/>
      <c r="S845" s="86" t="s">
        <v>2768</v>
      </c>
      <c r="T845" s="91">
        <v>0.75</v>
      </c>
      <c r="U845" s="92">
        <v>10</v>
      </c>
      <c r="V845" s="93">
        <v>1</v>
      </c>
      <c r="W845" s="94" t="s">
        <v>3050</v>
      </c>
      <c r="AB845" s="86" t="s">
        <v>2769</v>
      </c>
      <c r="AC845" s="98" t="s">
        <v>2033</v>
      </c>
    </row>
    <row r="846" spans="1:29" x14ac:dyDescent="0.4">
      <c r="A846" s="83" t="s">
        <v>4079</v>
      </c>
      <c r="B846" s="64" t="s">
        <v>4083</v>
      </c>
      <c r="C846" s="84" t="s">
        <v>4285</v>
      </c>
      <c r="E846" s="145"/>
      <c r="H846" s="86">
        <v>1</v>
      </c>
      <c r="I846" s="106" t="s">
        <v>4027</v>
      </c>
      <c r="J846" s="86">
        <v>125</v>
      </c>
      <c r="L846" s="100">
        <v>2450</v>
      </c>
      <c r="M846" s="100">
        <v>3650</v>
      </c>
      <c r="N846" s="136">
        <f t="shared" si="36"/>
        <v>8.9425000000000008</v>
      </c>
      <c r="P846" s="90" t="s">
        <v>1132</v>
      </c>
      <c r="Q846" s="86" t="s">
        <v>3053</v>
      </c>
      <c r="R846" s="86" t="s">
        <v>4030</v>
      </c>
      <c r="S846" s="86" t="s">
        <v>2768</v>
      </c>
      <c r="T846" s="91">
        <v>0.75</v>
      </c>
      <c r="U846" s="92">
        <f>IF(T846="NA","-",IF(T846&gt;=1.5,15,IF(T846=0.75,10,"")))</f>
        <v>10</v>
      </c>
      <c r="V846" s="93">
        <v>1</v>
      </c>
      <c r="W846" s="94" t="s">
        <v>4065</v>
      </c>
      <c r="X846" s="86" t="s">
        <v>4037</v>
      </c>
      <c r="AB846" s="86" t="s">
        <v>2769</v>
      </c>
      <c r="AC846" s="98" t="s">
        <v>4082</v>
      </c>
    </row>
    <row r="847" spans="1:29" x14ac:dyDescent="0.4">
      <c r="A847" s="102" t="s">
        <v>1503</v>
      </c>
      <c r="B847" s="85" t="s">
        <v>1502</v>
      </c>
      <c r="C847" s="84" t="s">
        <v>1500</v>
      </c>
      <c r="E847" s="145"/>
      <c r="I847" s="106" t="s">
        <v>4027</v>
      </c>
      <c r="L847" s="100">
        <v>2400</v>
      </c>
      <c r="M847" s="100">
        <v>3600</v>
      </c>
      <c r="N847" s="136">
        <f t="shared" si="36"/>
        <v>8.64</v>
      </c>
      <c r="R847" s="86"/>
      <c r="S847" s="86" t="s">
        <v>2766</v>
      </c>
      <c r="AC847" s="98" t="s">
        <v>3618</v>
      </c>
    </row>
    <row r="848" spans="1:29" ht="26.25" x14ac:dyDescent="0.4">
      <c r="A848" s="124" t="s">
        <v>3807</v>
      </c>
      <c r="B848" s="85" t="s">
        <v>636</v>
      </c>
      <c r="C848" s="84" t="s">
        <v>1500</v>
      </c>
      <c r="E848" s="145"/>
      <c r="I848" s="106" t="s">
        <v>4027</v>
      </c>
      <c r="J848" s="86">
        <v>125</v>
      </c>
      <c r="L848" s="100">
        <v>3700</v>
      </c>
      <c r="M848" s="100">
        <v>5000</v>
      </c>
      <c r="N848" s="136">
        <f t="shared" si="36"/>
        <v>18.5</v>
      </c>
      <c r="Q848" s="86" t="s">
        <v>3053</v>
      </c>
      <c r="R848" s="86"/>
      <c r="S848" s="86" t="s">
        <v>2768</v>
      </c>
      <c r="T848" s="91">
        <v>1.5</v>
      </c>
      <c r="AA848" s="116" t="s">
        <v>3052</v>
      </c>
      <c r="AB848" s="86" t="s">
        <v>2769</v>
      </c>
      <c r="AC848" s="98" t="s">
        <v>3302</v>
      </c>
    </row>
    <row r="849" spans="1:29" x14ac:dyDescent="0.4">
      <c r="A849" s="102" t="s">
        <v>19</v>
      </c>
      <c r="B849" s="85" t="s">
        <v>572</v>
      </c>
      <c r="C849" s="84" t="s">
        <v>1228</v>
      </c>
      <c r="E849" s="145"/>
      <c r="I849" s="106"/>
      <c r="R849" s="86"/>
    </row>
    <row r="850" spans="1:29" x14ac:dyDescent="0.4">
      <c r="A850" s="102" t="s">
        <v>1216</v>
      </c>
      <c r="B850" s="85" t="s">
        <v>1217</v>
      </c>
      <c r="C850" s="84" t="s">
        <v>1218</v>
      </c>
      <c r="E850" s="145"/>
      <c r="I850" s="106" t="s">
        <v>4027</v>
      </c>
      <c r="L850" s="100">
        <v>2000</v>
      </c>
      <c r="M850" s="100">
        <v>2500</v>
      </c>
      <c r="N850" s="136">
        <f>L850*M850/1000000</f>
        <v>5</v>
      </c>
      <c r="R850" s="86"/>
      <c r="AC850" s="98" t="s">
        <v>3673</v>
      </c>
    </row>
    <row r="851" spans="1:29" x14ac:dyDescent="0.4">
      <c r="A851" s="102" t="s">
        <v>85</v>
      </c>
      <c r="B851" s="85" t="s">
        <v>602</v>
      </c>
      <c r="C851" s="84" t="s">
        <v>1511</v>
      </c>
      <c r="E851" s="145"/>
      <c r="I851" s="106" t="s">
        <v>1133</v>
      </c>
      <c r="L851" s="100">
        <v>4200</v>
      </c>
      <c r="M851" s="100">
        <v>5000</v>
      </c>
      <c r="N851" s="136">
        <f>L851*M851/1000000</f>
        <v>21</v>
      </c>
      <c r="R851" s="86"/>
      <c r="AC851" s="98" t="s">
        <v>3828</v>
      </c>
    </row>
    <row r="852" spans="1:29" x14ac:dyDescent="0.4">
      <c r="A852" s="102" t="s">
        <v>44</v>
      </c>
      <c r="B852" s="85" t="s">
        <v>1397</v>
      </c>
      <c r="C852" s="84" t="s">
        <v>3844</v>
      </c>
      <c r="E852" s="145"/>
      <c r="I852" s="106"/>
      <c r="R852" s="86"/>
      <c r="AC852" s="98" t="s">
        <v>1396</v>
      </c>
    </row>
    <row r="853" spans="1:29" x14ac:dyDescent="0.4">
      <c r="A853" s="102" t="s">
        <v>370</v>
      </c>
      <c r="B853" s="85" t="s">
        <v>784</v>
      </c>
      <c r="C853" s="84" t="s">
        <v>4286</v>
      </c>
      <c r="E853" s="145"/>
      <c r="I853" s="106" t="s">
        <v>4027</v>
      </c>
      <c r="J853" s="86">
        <v>125</v>
      </c>
      <c r="L853" s="100">
        <v>3000</v>
      </c>
      <c r="M853" s="100">
        <v>3150</v>
      </c>
      <c r="N853" s="136">
        <f>L853*M853/1000000</f>
        <v>9.4499999999999993</v>
      </c>
      <c r="P853" s="90" t="s">
        <v>1132</v>
      </c>
      <c r="Q853" s="86" t="s">
        <v>3054</v>
      </c>
      <c r="R853" s="86" t="s">
        <v>3069</v>
      </c>
      <c r="S853" s="86" t="s">
        <v>2768</v>
      </c>
      <c r="T853" s="91">
        <v>0.75</v>
      </c>
      <c r="U853" s="92">
        <v>10</v>
      </c>
      <c r="V853" s="93">
        <v>0.5</v>
      </c>
      <c r="Z853" s="87" t="s">
        <v>3051</v>
      </c>
      <c r="AB853" s="86" t="s">
        <v>2769</v>
      </c>
      <c r="AC853" s="98" t="s">
        <v>3015</v>
      </c>
    </row>
    <row r="854" spans="1:29" x14ac:dyDescent="0.4">
      <c r="A854" s="102" t="s">
        <v>3867</v>
      </c>
      <c r="B854" s="85" t="s">
        <v>1267</v>
      </c>
      <c r="C854" s="84" t="s">
        <v>2672</v>
      </c>
      <c r="E854" s="145"/>
      <c r="I854" s="106" t="s">
        <v>4027</v>
      </c>
      <c r="L854" s="100">
        <v>3000</v>
      </c>
      <c r="M854" s="100">
        <v>5000</v>
      </c>
      <c r="N854" s="136">
        <f>L854*M854/1000000</f>
        <v>15</v>
      </c>
      <c r="R854" s="86"/>
      <c r="S854" s="86" t="s">
        <v>2766</v>
      </c>
      <c r="AC854" s="98" t="s">
        <v>3868</v>
      </c>
    </row>
    <row r="855" spans="1:29" x14ac:dyDescent="0.4">
      <c r="A855" s="102" t="s">
        <v>3866</v>
      </c>
      <c r="B855" s="85" t="s">
        <v>1267</v>
      </c>
      <c r="C855" s="84" t="s">
        <v>2672</v>
      </c>
      <c r="E855" s="145"/>
      <c r="I855" s="106" t="s">
        <v>4027</v>
      </c>
      <c r="L855" s="100">
        <v>2500</v>
      </c>
      <c r="M855" s="100">
        <v>4400</v>
      </c>
      <c r="N855" s="136">
        <f>L855*M855/1000000</f>
        <v>11</v>
      </c>
      <c r="R855" s="86"/>
      <c r="S855" s="86" t="s">
        <v>2766</v>
      </c>
      <c r="AC855" s="98" t="s">
        <v>3869</v>
      </c>
    </row>
    <row r="856" spans="1:29" x14ac:dyDescent="0.4">
      <c r="A856" s="102" t="s">
        <v>171</v>
      </c>
      <c r="B856" s="85" t="s">
        <v>650</v>
      </c>
      <c r="C856" s="84" t="s">
        <v>3782</v>
      </c>
      <c r="E856" s="145"/>
      <c r="I856" s="106" t="s">
        <v>4027</v>
      </c>
      <c r="J856" s="86">
        <v>125</v>
      </c>
      <c r="L856" s="100">
        <v>4200</v>
      </c>
      <c r="M856" s="100">
        <v>4100</v>
      </c>
      <c r="N856" s="136">
        <f>L856*M856/1000000</f>
        <v>17.22</v>
      </c>
      <c r="P856" s="63" t="s">
        <v>3177</v>
      </c>
      <c r="Q856" s="86" t="s">
        <v>3053</v>
      </c>
      <c r="R856" s="86" t="s">
        <v>3039</v>
      </c>
      <c r="S856" s="86" t="s">
        <v>2766</v>
      </c>
      <c r="T856" s="91">
        <v>1.5</v>
      </c>
      <c r="W856" s="94" t="s">
        <v>3039</v>
      </c>
      <c r="AB856" s="86" t="s">
        <v>2769</v>
      </c>
      <c r="AC856" s="98" t="s">
        <v>3996</v>
      </c>
    </row>
    <row r="857" spans="1:29" x14ac:dyDescent="0.4">
      <c r="A857" s="102" t="s">
        <v>177</v>
      </c>
      <c r="B857" s="85" t="s">
        <v>1888</v>
      </c>
      <c r="C857" s="84" t="s">
        <v>4287</v>
      </c>
      <c r="E857" s="145"/>
      <c r="I857" s="106" t="s">
        <v>4027</v>
      </c>
      <c r="J857" s="86">
        <v>100</v>
      </c>
      <c r="L857" s="100">
        <v>3000</v>
      </c>
      <c r="M857" s="100">
        <v>3750</v>
      </c>
      <c r="N857" s="136">
        <f>L857*M857/1000000</f>
        <v>11.25</v>
      </c>
      <c r="P857" s="63" t="s">
        <v>3177</v>
      </c>
      <c r="Q857" s="86" t="s">
        <v>3069</v>
      </c>
      <c r="R857" s="86" t="s">
        <v>3039</v>
      </c>
      <c r="T857" s="91">
        <v>0.75</v>
      </c>
      <c r="W857" s="94" t="s">
        <v>3049</v>
      </c>
      <c r="AA857" s="116" t="s">
        <v>3052</v>
      </c>
      <c r="AC857" s="98" t="s">
        <v>3990</v>
      </c>
    </row>
    <row r="858" spans="1:29" x14ac:dyDescent="0.4">
      <c r="A858" s="102" t="s">
        <v>3746</v>
      </c>
      <c r="B858" s="85" t="s">
        <v>3747</v>
      </c>
      <c r="C858" s="84" t="s">
        <v>3748</v>
      </c>
      <c r="E858" s="145"/>
      <c r="I858" s="106" t="s">
        <v>2998</v>
      </c>
      <c r="R858" s="86"/>
      <c r="AC858" s="98" t="s">
        <v>3749</v>
      </c>
    </row>
    <row r="859" spans="1:29" x14ac:dyDescent="0.4">
      <c r="A859" s="102" t="s">
        <v>1236</v>
      </c>
      <c r="B859" s="85" t="s">
        <v>1237</v>
      </c>
      <c r="C859" s="84" t="s">
        <v>1238</v>
      </c>
      <c r="E859" s="145"/>
      <c r="I859" s="106" t="s">
        <v>1133</v>
      </c>
      <c r="L859" s="100">
        <v>4000</v>
      </c>
      <c r="M859" s="100">
        <v>4800</v>
      </c>
      <c r="N859" s="136">
        <f>L859*M859/1000000</f>
        <v>19.2</v>
      </c>
      <c r="R859" s="86"/>
      <c r="AA859" s="99" t="s">
        <v>3886</v>
      </c>
      <c r="AC859" s="98" t="s">
        <v>3897</v>
      </c>
    </row>
    <row r="860" spans="1:29" x14ac:dyDescent="0.4">
      <c r="A860" s="102" t="s">
        <v>76</v>
      </c>
      <c r="B860" s="85" t="s">
        <v>600</v>
      </c>
      <c r="C860" s="84" t="s">
        <v>1483</v>
      </c>
      <c r="E860" s="145"/>
      <c r="I860" s="106" t="s">
        <v>2998</v>
      </c>
      <c r="R860" s="86"/>
      <c r="AC860" s="98" t="s">
        <v>556</v>
      </c>
    </row>
    <row r="861" spans="1:29" x14ac:dyDescent="0.4">
      <c r="A861" s="102" t="s">
        <v>3176</v>
      </c>
      <c r="B861" s="85" t="s">
        <v>772</v>
      </c>
      <c r="C861" s="84" t="s">
        <v>2343</v>
      </c>
      <c r="E861" s="145"/>
      <c r="I861" s="106" t="s">
        <v>2998</v>
      </c>
      <c r="L861" s="100">
        <v>2290</v>
      </c>
      <c r="M861" s="100">
        <v>3000</v>
      </c>
      <c r="N861" s="136">
        <f t="shared" ref="N861:N876" si="37">L861*M861/1000000</f>
        <v>6.87</v>
      </c>
      <c r="Q861" s="86" t="s">
        <v>3055</v>
      </c>
      <c r="R861" s="86"/>
      <c r="AC861" s="98" t="s">
        <v>2342</v>
      </c>
    </row>
    <row r="862" spans="1:29" x14ac:dyDescent="0.4">
      <c r="A862" s="102" t="s">
        <v>207</v>
      </c>
      <c r="B862" s="85" t="s">
        <v>669</v>
      </c>
      <c r="C862" s="84" t="s">
        <v>4314</v>
      </c>
      <c r="D862" s="143" t="s">
        <v>4311</v>
      </c>
      <c r="E862" s="145"/>
      <c r="I862" s="106" t="s">
        <v>4027</v>
      </c>
      <c r="J862" s="86">
        <v>100</v>
      </c>
      <c r="L862" s="100">
        <v>2660</v>
      </c>
      <c r="M862" s="100">
        <v>3370</v>
      </c>
      <c r="N862" s="136">
        <f t="shared" si="37"/>
        <v>8.9641999999999999</v>
      </c>
      <c r="P862" s="63" t="s">
        <v>3177</v>
      </c>
      <c r="Q862" s="86" t="s">
        <v>3053</v>
      </c>
      <c r="R862" s="86"/>
      <c r="S862" s="86" t="s">
        <v>2768</v>
      </c>
      <c r="T862" s="91">
        <v>0.75</v>
      </c>
      <c r="Z862" s="87" t="s">
        <v>3051</v>
      </c>
      <c r="AB862" s="86" t="s">
        <v>2769</v>
      </c>
      <c r="AC862" s="98" t="s">
        <v>3972</v>
      </c>
    </row>
    <row r="863" spans="1:29" x14ac:dyDescent="0.4">
      <c r="A863" s="102" t="s">
        <v>241</v>
      </c>
      <c r="B863" s="85" t="s">
        <v>2691</v>
      </c>
      <c r="C863" s="84" t="s">
        <v>4314</v>
      </c>
      <c r="D863" s="143" t="s">
        <v>4311</v>
      </c>
      <c r="E863" s="145"/>
      <c r="I863" s="106" t="s">
        <v>4027</v>
      </c>
      <c r="J863" s="86">
        <v>100</v>
      </c>
      <c r="L863" s="89">
        <v>2180</v>
      </c>
      <c r="M863" s="89">
        <v>3360</v>
      </c>
      <c r="N863" s="136">
        <f t="shared" si="37"/>
        <v>7.3247999999999998</v>
      </c>
      <c r="P863" s="63" t="s">
        <v>3177</v>
      </c>
      <c r="Q863" s="86" t="s">
        <v>3066</v>
      </c>
      <c r="R863" s="86" t="s">
        <v>3078</v>
      </c>
      <c r="S863" s="86" t="s">
        <v>2768</v>
      </c>
      <c r="T863" s="91">
        <v>0.75</v>
      </c>
      <c r="Z863" s="87" t="s">
        <v>3051</v>
      </c>
      <c r="AB863" s="86" t="s">
        <v>2769</v>
      </c>
      <c r="AC863" s="98" t="s">
        <v>3473</v>
      </c>
    </row>
    <row r="864" spans="1:29" x14ac:dyDescent="0.4">
      <c r="A864" s="102" t="s">
        <v>3398</v>
      </c>
      <c r="B864" s="85" t="s">
        <v>711</v>
      </c>
      <c r="C864" s="84" t="s">
        <v>4314</v>
      </c>
      <c r="D864" s="143" t="s">
        <v>4311</v>
      </c>
      <c r="E864" s="145"/>
      <c r="I864" s="106" t="s">
        <v>4027</v>
      </c>
      <c r="J864" s="86">
        <v>100</v>
      </c>
      <c r="L864" s="100">
        <v>2850</v>
      </c>
      <c r="M864" s="100">
        <v>3750</v>
      </c>
      <c r="N864" s="136">
        <f t="shared" si="37"/>
        <v>10.6875</v>
      </c>
      <c r="P864" s="90" t="s">
        <v>1132</v>
      </c>
      <c r="Q864" s="86" t="s">
        <v>3148</v>
      </c>
      <c r="R864" s="86" t="s">
        <v>3078</v>
      </c>
      <c r="S864" s="86" t="s">
        <v>2768</v>
      </c>
      <c r="T864" s="91">
        <v>0.75</v>
      </c>
      <c r="V864" s="93">
        <v>1</v>
      </c>
      <c r="W864" s="94" t="s">
        <v>3050</v>
      </c>
      <c r="Z864" s="87" t="s">
        <v>3051</v>
      </c>
      <c r="AB864" s="86" t="s">
        <v>2769</v>
      </c>
      <c r="AC864" s="98" t="s">
        <v>3288</v>
      </c>
    </row>
    <row r="865" spans="1:29" x14ac:dyDescent="0.4">
      <c r="A865" s="102" t="s">
        <v>3399</v>
      </c>
      <c r="B865" s="85" t="s">
        <v>711</v>
      </c>
      <c r="C865" s="84" t="s">
        <v>4314</v>
      </c>
      <c r="D865" s="143" t="s">
        <v>4311</v>
      </c>
      <c r="E865" s="145"/>
      <c r="I865" s="106" t="s">
        <v>4027</v>
      </c>
      <c r="J865" s="86">
        <v>100</v>
      </c>
      <c r="L865" s="100">
        <v>2350</v>
      </c>
      <c r="M865" s="100">
        <v>3450</v>
      </c>
      <c r="N865" s="136">
        <f t="shared" si="37"/>
        <v>8.1074999999999999</v>
      </c>
      <c r="P865" s="90" t="s">
        <v>1132</v>
      </c>
      <c r="Q865" s="86" t="s">
        <v>3148</v>
      </c>
      <c r="R865" s="86" t="s">
        <v>3078</v>
      </c>
      <c r="S865" s="86" t="s">
        <v>2766</v>
      </c>
      <c r="T865" s="91">
        <v>0.75</v>
      </c>
      <c r="V865" s="93">
        <v>1</v>
      </c>
      <c r="W865" s="94" t="s">
        <v>3050</v>
      </c>
      <c r="Z865" s="87" t="s">
        <v>3051</v>
      </c>
      <c r="AB865" s="86" t="s">
        <v>2769</v>
      </c>
      <c r="AC865" s="98" t="s">
        <v>3400</v>
      </c>
    </row>
    <row r="866" spans="1:29" x14ac:dyDescent="0.4">
      <c r="A866" s="102" t="s">
        <v>3401</v>
      </c>
      <c r="B866" s="85" t="s">
        <v>711</v>
      </c>
      <c r="C866" s="84" t="s">
        <v>4314</v>
      </c>
      <c r="D866" s="143" t="s">
        <v>4311</v>
      </c>
      <c r="E866" s="145"/>
      <c r="I866" s="106" t="s">
        <v>4027</v>
      </c>
      <c r="J866" s="86">
        <v>100</v>
      </c>
      <c r="L866" s="100">
        <v>3000</v>
      </c>
      <c r="M866" s="100">
        <v>3650</v>
      </c>
      <c r="N866" s="136">
        <f t="shared" si="37"/>
        <v>10.95</v>
      </c>
      <c r="P866" s="90" t="s">
        <v>1132</v>
      </c>
      <c r="Q866" s="86" t="s">
        <v>3148</v>
      </c>
      <c r="R866" s="86" t="s">
        <v>3078</v>
      </c>
      <c r="S866" s="86" t="s">
        <v>2766</v>
      </c>
      <c r="T866" s="91">
        <v>0.75</v>
      </c>
      <c r="V866" s="93">
        <v>1</v>
      </c>
      <c r="W866" s="94" t="s">
        <v>3050</v>
      </c>
      <c r="Z866" s="87" t="s">
        <v>3051</v>
      </c>
      <c r="AB866" s="86" t="s">
        <v>2769</v>
      </c>
      <c r="AC866" s="98" t="s">
        <v>3402</v>
      </c>
    </row>
    <row r="867" spans="1:29" x14ac:dyDescent="0.4">
      <c r="A867" s="102" t="s">
        <v>3387</v>
      </c>
      <c r="B867" s="85" t="s">
        <v>714</v>
      </c>
      <c r="C867" s="84" t="s">
        <v>4314</v>
      </c>
      <c r="D867" s="143" t="s">
        <v>4311</v>
      </c>
      <c r="E867" s="145"/>
      <c r="I867" s="106" t="s">
        <v>4027</v>
      </c>
      <c r="J867" s="86">
        <v>100</v>
      </c>
      <c r="L867" s="100">
        <v>3000</v>
      </c>
      <c r="M867" s="100">
        <v>3650</v>
      </c>
      <c r="N867" s="136">
        <f t="shared" si="37"/>
        <v>10.95</v>
      </c>
      <c r="P867" s="90" t="s">
        <v>1132</v>
      </c>
      <c r="Q867" s="86" t="s">
        <v>3066</v>
      </c>
      <c r="R867" s="86" t="s">
        <v>3078</v>
      </c>
      <c r="S867" s="86" t="s">
        <v>2766</v>
      </c>
      <c r="T867" s="91">
        <v>0.75</v>
      </c>
      <c r="V867" s="93">
        <v>1</v>
      </c>
      <c r="W867" s="94" t="s">
        <v>3050</v>
      </c>
      <c r="Z867" s="87" t="s">
        <v>3051</v>
      </c>
      <c r="AB867" s="86" t="s">
        <v>2769</v>
      </c>
      <c r="AC867" s="98" t="s">
        <v>3386</v>
      </c>
    </row>
    <row r="868" spans="1:29" x14ac:dyDescent="0.4">
      <c r="A868" s="102" t="s">
        <v>3389</v>
      </c>
      <c r="B868" s="85" t="s">
        <v>714</v>
      </c>
      <c r="C868" s="84" t="s">
        <v>4314</v>
      </c>
      <c r="D868" s="143" t="s">
        <v>4311</v>
      </c>
      <c r="E868" s="145"/>
      <c r="I868" s="106" t="s">
        <v>4027</v>
      </c>
      <c r="J868" s="86">
        <v>100</v>
      </c>
      <c r="L868" s="100">
        <v>2550</v>
      </c>
      <c r="M868" s="100">
        <v>3400</v>
      </c>
      <c r="N868" s="136">
        <f t="shared" si="37"/>
        <v>8.67</v>
      </c>
      <c r="P868" s="90" t="s">
        <v>1132</v>
      </c>
      <c r="Q868" s="86" t="s">
        <v>3066</v>
      </c>
      <c r="R868" s="86" t="s">
        <v>3078</v>
      </c>
      <c r="S868" s="86" t="s">
        <v>2766</v>
      </c>
      <c r="T868" s="91">
        <v>0.75</v>
      </c>
      <c r="V868" s="93">
        <v>1</v>
      </c>
      <c r="W868" s="94" t="s">
        <v>3050</v>
      </c>
      <c r="Z868" s="87" t="s">
        <v>3051</v>
      </c>
      <c r="AB868" s="86" t="s">
        <v>2769</v>
      </c>
      <c r="AC868" s="98" t="s">
        <v>3390</v>
      </c>
    </row>
    <row r="869" spans="1:29" x14ac:dyDescent="0.4">
      <c r="A869" s="102" t="s">
        <v>348</v>
      </c>
      <c r="B869" s="85" t="s">
        <v>773</v>
      </c>
      <c r="C869" s="84" t="s">
        <v>4314</v>
      </c>
      <c r="D869" s="143" t="s">
        <v>4311</v>
      </c>
      <c r="E869" s="145"/>
      <c r="I869" s="106" t="s">
        <v>1131</v>
      </c>
      <c r="J869" s="86">
        <v>150</v>
      </c>
      <c r="L869" s="100">
        <v>4250</v>
      </c>
      <c r="M869" s="100">
        <v>4250</v>
      </c>
      <c r="N869" s="136">
        <f t="shared" si="37"/>
        <v>18.0625</v>
      </c>
      <c r="P869" s="90" t="s">
        <v>1132</v>
      </c>
      <c r="Q869" s="86" t="s">
        <v>3063</v>
      </c>
      <c r="R869" s="86"/>
      <c r="S869" s="86" t="s">
        <v>2766</v>
      </c>
      <c r="T869" s="91">
        <v>1.5</v>
      </c>
      <c r="U869" s="92">
        <v>15</v>
      </c>
      <c r="V869" s="93">
        <v>0.5</v>
      </c>
      <c r="Z869" s="87" t="s">
        <v>3051</v>
      </c>
      <c r="AC869" s="98" t="s">
        <v>3023</v>
      </c>
    </row>
    <row r="870" spans="1:29" x14ac:dyDescent="0.4">
      <c r="A870" s="102" t="s">
        <v>444</v>
      </c>
      <c r="B870" s="85" t="s">
        <v>2740</v>
      </c>
      <c r="C870" s="84" t="s">
        <v>4314</v>
      </c>
      <c r="D870" s="143" t="s">
        <v>4311</v>
      </c>
      <c r="E870" s="145"/>
      <c r="I870" s="106" t="s">
        <v>4027</v>
      </c>
      <c r="J870" s="86">
        <v>125</v>
      </c>
      <c r="L870" s="100">
        <v>2600</v>
      </c>
      <c r="M870" s="100">
        <v>3650</v>
      </c>
      <c r="N870" s="136">
        <f t="shared" si="37"/>
        <v>9.49</v>
      </c>
      <c r="P870" s="90" t="s">
        <v>1132</v>
      </c>
      <c r="Q870" s="86" t="s">
        <v>3066</v>
      </c>
      <c r="R870" s="86"/>
      <c r="S870" s="86" t="s">
        <v>2768</v>
      </c>
      <c r="T870" s="91">
        <v>0.75</v>
      </c>
      <c r="U870" s="92">
        <v>10</v>
      </c>
      <c r="V870" s="93">
        <v>0.5</v>
      </c>
      <c r="AB870" s="86" t="s">
        <v>2769</v>
      </c>
      <c r="AC870" s="98" t="s">
        <v>3918</v>
      </c>
    </row>
    <row r="871" spans="1:29" x14ac:dyDescent="0.4">
      <c r="A871" s="102" t="s">
        <v>2893</v>
      </c>
      <c r="B871" s="85" t="s">
        <v>825</v>
      </c>
      <c r="C871" s="84" t="s">
        <v>4314</v>
      </c>
      <c r="D871" s="143" t="s">
        <v>4311</v>
      </c>
      <c r="E871" s="145"/>
      <c r="I871" s="106" t="s">
        <v>4027</v>
      </c>
      <c r="J871" s="86">
        <v>125</v>
      </c>
      <c r="L871" s="100">
        <v>2500</v>
      </c>
      <c r="M871" s="100">
        <v>3700</v>
      </c>
      <c r="N871" s="136">
        <f t="shared" si="37"/>
        <v>9.25</v>
      </c>
      <c r="P871" s="90" t="s">
        <v>1132</v>
      </c>
      <c r="Q871" s="86" t="s">
        <v>3066</v>
      </c>
      <c r="R871" s="86"/>
      <c r="S871" s="86" t="s">
        <v>2768</v>
      </c>
      <c r="T871" s="91">
        <v>0.75</v>
      </c>
      <c r="U871" s="92">
        <v>10</v>
      </c>
      <c r="V871" s="93">
        <v>0.5</v>
      </c>
      <c r="W871" s="94" t="s">
        <v>3050</v>
      </c>
      <c r="Z871" s="99" t="s">
        <v>3051</v>
      </c>
      <c r="AB871" s="86" t="s">
        <v>2769</v>
      </c>
      <c r="AC871" s="98" t="s">
        <v>2895</v>
      </c>
    </row>
    <row r="872" spans="1:29" x14ac:dyDescent="0.4">
      <c r="A872" s="102" t="s">
        <v>3106</v>
      </c>
      <c r="B872" s="85" t="s">
        <v>825</v>
      </c>
      <c r="C872" s="84" t="s">
        <v>4314</v>
      </c>
      <c r="D872" s="143" t="s">
        <v>4311</v>
      </c>
      <c r="E872" s="145"/>
      <c r="I872" s="106" t="s">
        <v>4027</v>
      </c>
      <c r="J872" s="86">
        <v>125</v>
      </c>
      <c r="L872" s="100">
        <v>2500</v>
      </c>
      <c r="M872" s="100">
        <v>3700</v>
      </c>
      <c r="N872" s="136">
        <f t="shared" si="37"/>
        <v>9.25</v>
      </c>
      <c r="P872" s="90" t="s">
        <v>1132</v>
      </c>
      <c r="Q872" s="86" t="s">
        <v>3066</v>
      </c>
      <c r="R872" s="86"/>
      <c r="S872" s="86" t="s">
        <v>2766</v>
      </c>
      <c r="T872" s="91">
        <v>0.75</v>
      </c>
      <c r="U872" s="92">
        <v>10</v>
      </c>
      <c r="V872" s="93">
        <v>0.5</v>
      </c>
      <c r="W872" s="94" t="s">
        <v>3050</v>
      </c>
      <c r="Z872" s="99" t="s">
        <v>3051</v>
      </c>
      <c r="AB872" s="86" t="s">
        <v>2769</v>
      </c>
      <c r="AC872" s="98" t="s">
        <v>2894</v>
      </c>
    </row>
    <row r="873" spans="1:29" x14ac:dyDescent="0.4">
      <c r="A873" s="102" t="s">
        <v>3107</v>
      </c>
      <c r="B873" s="85" t="s">
        <v>825</v>
      </c>
      <c r="C873" s="84" t="s">
        <v>4314</v>
      </c>
      <c r="D873" s="143" t="s">
        <v>4311</v>
      </c>
      <c r="E873" s="145"/>
      <c r="I873" s="106" t="s">
        <v>4027</v>
      </c>
      <c r="J873" s="86">
        <v>125</v>
      </c>
      <c r="L873" s="100">
        <v>2475</v>
      </c>
      <c r="M873" s="100">
        <v>3700</v>
      </c>
      <c r="N873" s="136">
        <f t="shared" si="37"/>
        <v>9.1575000000000006</v>
      </c>
      <c r="P873" s="90" t="s">
        <v>1132</v>
      </c>
      <c r="Q873" s="86" t="s">
        <v>3066</v>
      </c>
      <c r="R873" s="86"/>
      <c r="S873" s="86" t="s">
        <v>1439</v>
      </c>
      <c r="T873" s="91">
        <v>0.75</v>
      </c>
      <c r="U873" s="92">
        <v>10</v>
      </c>
      <c r="V873" s="93">
        <v>2</v>
      </c>
      <c r="W873" s="94" t="s">
        <v>3050</v>
      </c>
      <c r="Z873" s="99" t="s">
        <v>3051</v>
      </c>
      <c r="AB873" s="86" t="s">
        <v>2769</v>
      </c>
      <c r="AC873" s="98" t="s">
        <v>3916</v>
      </c>
    </row>
    <row r="874" spans="1:29" x14ac:dyDescent="0.4">
      <c r="A874" s="102" t="s">
        <v>3877</v>
      </c>
      <c r="B874" s="85" t="s">
        <v>577</v>
      </c>
      <c r="C874" s="84" t="s">
        <v>883</v>
      </c>
      <c r="D874" s="143" t="s">
        <v>4294</v>
      </c>
      <c r="E874" s="145"/>
      <c r="I874" s="106" t="s">
        <v>4027</v>
      </c>
      <c r="L874" s="100">
        <v>1200</v>
      </c>
      <c r="M874" s="100">
        <v>2000</v>
      </c>
      <c r="N874" s="136">
        <f t="shared" si="37"/>
        <v>2.4</v>
      </c>
      <c r="R874" s="86"/>
      <c r="S874" s="86" t="s">
        <v>2768</v>
      </c>
      <c r="AC874" s="98" t="s">
        <v>3879</v>
      </c>
    </row>
    <row r="875" spans="1:29" x14ac:dyDescent="0.4">
      <c r="A875" s="102" t="s">
        <v>3878</v>
      </c>
      <c r="B875" s="85" t="s">
        <v>577</v>
      </c>
      <c r="C875" s="84" t="s">
        <v>883</v>
      </c>
      <c r="D875" s="143" t="s">
        <v>4294</v>
      </c>
      <c r="E875" s="145"/>
      <c r="I875" s="106" t="s">
        <v>4027</v>
      </c>
      <c r="L875" s="100">
        <v>3000</v>
      </c>
      <c r="M875" s="100">
        <v>2800</v>
      </c>
      <c r="N875" s="136">
        <f t="shared" si="37"/>
        <v>8.4</v>
      </c>
      <c r="R875" s="86"/>
      <c r="S875" s="86" t="s">
        <v>2768</v>
      </c>
      <c r="AC875" s="98" t="s">
        <v>3880</v>
      </c>
    </row>
    <row r="876" spans="1:29" x14ac:dyDescent="0.4">
      <c r="A876" s="102" t="s">
        <v>3862</v>
      </c>
      <c r="B876" s="85" t="s">
        <v>580</v>
      </c>
      <c r="C876" s="84" t="s">
        <v>883</v>
      </c>
      <c r="D876" s="143" t="s">
        <v>4294</v>
      </c>
      <c r="E876" s="145"/>
      <c r="I876" s="106" t="s">
        <v>4027</v>
      </c>
      <c r="L876" s="100">
        <v>2400</v>
      </c>
      <c r="M876" s="100">
        <v>3050</v>
      </c>
      <c r="N876" s="136">
        <f t="shared" si="37"/>
        <v>7.32</v>
      </c>
      <c r="R876" s="86"/>
      <c r="S876" s="86" t="s">
        <v>2768</v>
      </c>
      <c r="AC876" s="98" t="s">
        <v>3666</v>
      </c>
    </row>
    <row r="877" spans="1:29" x14ac:dyDescent="0.4">
      <c r="A877" s="102" t="s">
        <v>71</v>
      </c>
      <c r="B877" s="85" t="s">
        <v>1472</v>
      </c>
      <c r="C877" s="84" t="s">
        <v>883</v>
      </c>
      <c r="D877" s="143" t="s">
        <v>4294</v>
      </c>
      <c r="E877" s="145"/>
      <c r="I877" s="106" t="s">
        <v>3001</v>
      </c>
      <c r="R877" s="86"/>
      <c r="AC877" s="98" t="s">
        <v>558</v>
      </c>
    </row>
    <row r="878" spans="1:29" x14ac:dyDescent="0.4">
      <c r="A878" s="102" t="s">
        <v>79</v>
      </c>
      <c r="B878" s="85" t="s">
        <v>1490</v>
      </c>
      <c r="C878" s="84" t="s">
        <v>883</v>
      </c>
      <c r="D878" s="143" t="s">
        <v>4294</v>
      </c>
      <c r="E878" s="145"/>
      <c r="I878" s="106"/>
      <c r="L878" s="100">
        <v>3000</v>
      </c>
      <c r="M878" s="100">
        <v>3000</v>
      </c>
      <c r="N878" s="136">
        <f t="shared" ref="N878:N890" si="38">L878*M878/1000000</f>
        <v>9</v>
      </c>
      <c r="R878" s="86"/>
      <c r="S878" s="86" t="s">
        <v>2768</v>
      </c>
      <c r="AC878" s="98" t="s">
        <v>3620</v>
      </c>
    </row>
    <row r="879" spans="1:29" x14ac:dyDescent="0.4">
      <c r="A879" s="102" t="s">
        <v>228</v>
      </c>
      <c r="B879" s="85" t="s">
        <v>681</v>
      </c>
      <c r="C879" s="84" t="s">
        <v>883</v>
      </c>
      <c r="D879" s="143" t="s">
        <v>4294</v>
      </c>
      <c r="E879" s="145"/>
      <c r="I879" s="106" t="s">
        <v>2998</v>
      </c>
      <c r="L879" s="100">
        <v>2250</v>
      </c>
      <c r="M879" s="100">
        <v>2800</v>
      </c>
      <c r="N879" s="136">
        <f t="shared" si="38"/>
        <v>6.3</v>
      </c>
      <c r="R879" s="86"/>
      <c r="AC879" s="98" t="s">
        <v>3478</v>
      </c>
    </row>
    <row r="880" spans="1:29" x14ac:dyDescent="0.4">
      <c r="A880" s="102" t="s">
        <v>3843</v>
      </c>
      <c r="B880" s="85" t="s">
        <v>585</v>
      </c>
      <c r="C880" s="84" t="s">
        <v>1399</v>
      </c>
      <c r="D880" s="143" t="s">
        <v>4294</v>
      </c>
      <c r="E880" s="145"/>
      <c r="I880" s="106" t="s">
        <v>4027</v>
      </c>
      <c r="L880" s="100">
        <v>2400</v>
      </c>
      <c r="M880" s="100">
        <v>3100</v>
      </c>
      <c r="N880" s="136">
        <f t="shared" si="38"/>
        <v>7.44</v>
      </c>
      <c r="R880" s="86"/>
      <c r="S880" s="86" t="s">
        <v>2768</v>
      </c>
      <c r="AC880" s="98" t="s">
        <v>3647</v>
      </c>
    </row>
    <row r="881" spans="1:29" x14ac:dyDescent="0.4">
      <c r="A881" s="102" t="s">
        <v>1577</v>
      </c>
      <c r="B881" s="85" t="s">
        <v>613</v>
      </c>
      <c r="C881" s="84" t="s">
        <v>3599</v>
      </c>
      <c r="D881" s="143" t="s">
        <v>4294</v>
      </c>
      <c r="E881" s="145"/>
      <c r="I881" s="106" t="s">
        <v>4027</v>
      </c>
      <c r="L881" s="100">
        <v>2200</v>
      </c>
      <c r="M881" s="100">
        <v>3000</v>
      </c>
      <c r="N881" s="136">
        <f t="shared" si="38"/>
        <v>6.6</v>
      </c>
      <c r="R881" s="86"/>
      <c r="AC881" s="98" t="s">
        <v>1574</v>
      </c>
    </row>
    <row r="882" spans="1:29" x14ac:dyDescent="0.4">
      <c r="A882" s="102" t="s">
        <v>1578</v>
      </c>
      <c r="B882" s="85" t="s">
        <v>613</v>
      </c>
      <c r="C882" s="84" t="s">
        <v>3599</v>
      </c>
      <c r="D882" s="143" t="s">
        <v>4294</v>
      </c>
      <c r="E882" s="145"/>
      <c r="I882" s="106" t="s">
        <v>4027</v>
      </c>
      <c r="L882" s="100">
        <v>4000</v>
      </c>
      <c r="M882" s="100">
        <v>3000</v>
      </c>
      <c r="N882" s="136">
        <f t="shared" si="38"/>
        <v>12</v>
      </c>
      <c r="R882" s="86"/>
      <c r="S882" s="86" t="s">
        <v>2766</v>
      </c>
      <c r="AC882" s="98" t="s">
        <v>3601</v>
      </c>
    </row>
    <row r="883" spans="1:29" x14ac:dyDescent="0.4">
      <c r="A883" s="102" t="s">
        <v>1579</v>
      </c>
      <c r="B883" s="85" t="s">
        <v>613</v>
      </c>
      <c r="C883" s="84" t="s">
        <v>3599</v>
      </c>
      <c r="D883" s="143" t="s">
        <v>4294</v>
      </c>
      <c r="E883" s="145"/>
      <c r="I883" s="106" t="s">
        <v>4027</v>
      </c>
      <c r="L883" s="100">
        <v>2100</v>
      </c>
      <c r="M883" s="100">
        <v>2400</v>
      </c>
      <c r="N883" s="136">
        <f t="shared" si="38"/>
        <v>5.04</v>
      </c>
      <c r="R883" s="86"/>
      <c r="S883" s="86" t="s">
        <v>2768</v>
      </c>
      <c r="AC883" s="98" t="s">
        <v>3600</v>
      </c>
    </row>
    <row r="884" spans="1:29" x14ac:dyDescent="0.4">
      <c r="A884" s="102" t="s">
        <v>1601</v>
      </c>
      <c r="B884" s="85" t="s">
        <v>1600</v>
      </c>
      <c r="C884" s="84" t="s">
        <v>1593</v>
      </c>
      <c r="D884" s="143" t="s">
        <v>4294</v>
      </c>
      <c r="E884" s="145"/>
      <c r="H884" s="86">
        <v>2</v>
      </c>
      <c r="I884" s="106" t="s">
        <v>4027</v>
      </c>
      <c r="L884" s="100">
        <v>2650</v>
      </c>
      <c r="M884" s="100">
        <v>3100</v>
      </c>
      <c r="N884" s="136">
        <f t="shared" si="38"/>
        <v>8.2149999999999999</v>
      </c>
      <c r="R884" s="86"/>
      <c r="S884" s="86" t="s">
        <v>2768</v>
      </c>
      <c r="AC884" s="98" t="s">
        <v>1594</v>
      </c>
    </row>
    <row r="885" spans="1:29" x14ac:dyDescent="0.4">
      <c r="A885" s="102" t="s">
        <v>1602</v>
      </c>
      <c r="B885" s="85" t="s">
        <v>1600</v>
      </c>
      <c r="C885" s="84" t="s">
        <v>1593</v>
      </c>
      <c r="D885" s="143" t="s">
        <v>4294</v>
      </c>
      <c r="E885" s="145"/>
      <c r="I885" s="106" t="s">
        <v>4027</v>
      </c>
      <c r="L885" s="100">
        <v>2400</v>
      </c>
      <c r="M885" s="100">
        <v>3100</v>
      </c>
      <c r="N885" s="136">
        <f t="shared" si="38"/>
        <v>7.44</v>
      </c>
      <c r="R885" s="86"/>
      <c r="S885" s="86" t="s">
        <v>2768</v>
      </c>
      <c r="AC885" s="98" t="s">
        <v>1595</v>
      </c>
    </row>
    <row r="886" spans="1:29" x14ac:dyDescent="0.4">
      <c r="A886" s="102" t="s">
        <v>1603</v>
      </c>
      <c r="B886" s="85" t="s">
        <v>1600</v>
      </c>
      <c r="C886" s="84" t="s">
        <v>1593</v>
      </c>
      <c r="D886" s="143" t="s">
        <v>4294</v>
      </c>
      <c r="E886" s="145"/>
      <c r="I886" s="106" t="s">
        <v>4027</v>
      </c>
      <c r="L886" s="100">
        <v>3500</v>
      </c>
      <c r="M886" s="100">
        <v>3100</v>
      </c>
      <c r="N886" s="136">
        <f t="shared" si="38"/>
        <v>10.85</v>
      </c>
      <c r="R886" s="86"/>
      <c r="S886" s="86" t="s">
        <v>2768</v>
      </c>
      <c r="AC886" s="98" t="s">
        <v>1596</v>
      </c>
    </row>
    <row r="887" spans="1:29" x14ac:dyDescent="0.4">
      <c r="A887" s="102" t="s">
        <v>1604</v>
      </c>
      <c r="B887" s="85" t="s">
        <v>1600</v>
      </c>
      <c r="C887" s="84" t="s">
        <v>1593</v>
      </c>
      <c r="D887" s="143" t="s">
        <v>4294</v>
      </c>
      <c r="E887" s="145"/>
      <c r="I887" s="106" t="s">
        <v>4027</v>
      </c>
      <c r="L887" s="100">
        <v>4150</v>
      </c>
      <c r="M887" s="100">
        <v>3100</v>
      </c>
      <c r="N887" s="136">
        <f t="shared" si="38"/>
        <v>12.865</v>
      </c>
      <c r="R887" s="86"/>
      <c r="S887" s="86" t="s">
        <v>2766</v>
      </c>
      <c r="AC887" s="98" t="s">
        <v>1597</v>
      </c>
    </row>
    <row r="888" spans="1:29" x14ac:dyDescent="0.4">
      <c r="A888" s="102" t="s">
        <v>1605</v>
      </c>
      <c r="B888" s="85" t="s">
        <v>1600</v>
      </c>
      <c r="C888" s="84" t="s">
        <v>1593</v>
      </c>
      <c r="D888" s="143" t="s">
        <v>4294</v>
      </c>
      <c r="E888" s="145"/>
      <c r="I888" s="106" t="s">
        <v>4027</v>
      </c>
      <c r="L888" s="100">
        <v>3200</v>
      </c>
      <c r="M888" s="100">
        <v>3100</v>
      </c>
      <c r="N888" s="136">
        <f t="shared" si="38"/>
        <v>9.92</v>
      </c>
      <c r="R888" s="86"/>
      <c r="S888" s="86" t="s">
        <v>2768</v>
      </c>
      <c r="AC888" s="98" t="s">
        <v>1598</v>
      </c>
    </row>
    <row r="889" spans="1:29" x14ac:dyDescent="0.4">
      <c r="A889" s="102" t="s">
        <v>1606</v>
      </c>
      <c r="B889" s="85" t="s">
        <v>1600</v>
      </c>
      <c r="C889" s="84" t="s">
        <v>1593</v>
      </c>
      <c r="D889" s="143" t="s">
        <v>4294</v>
      </c>
      <c r="E889" s="145"/>
      <c r="I889" s="106" t="s">
        <v>4027</v>
      </c>
      <c r="L889" s="100">
        <v>3000</v>
      </c>
      <c r="M889" s="100">
        <v>3100</v>
      </c>
      <c r="N889" s="136">
        <f t="shared" si="38"/>
        <v>9.3000000000000007</v>
      </c>
      <c r="R889" s="86"/>
      <c r="S889" s="86" t="s">
        <v>2768</v>
      </c>
      <c r="AC889" s="98" t="s">
        <v>1599</v>
      </c>
    </row>
    <row r="890" spans="1:29" x14ac:dyDescent="0.4">
      <c r="A890" s="102" t="s">
        <v>1607</v>
      </c>
      <c r="B890" s="85" t="s">
        <v>1600</v>
      </c>
      <c r="C890" s="84" t="s">
        <v>1593</v>
      </c>
      <c r="D890" s="143" t="s">
        <v>4294</v>
      </c>
      <c r="E890" s="145"/>
      <c r="H890" s="86" t="s">
        <v>3826</v>
      </c>
      <c r="I890" s="106" t="s">
        <v>4027</v>
      </c>
      <c r="L890" s="100">
        <v>3200</v>
      </c>
      <c r="M890" s="100">
        <v>3100</v>
      </c>
      <c r="N890" s="136">
        <f t="shared" si="38"/>
        <v>9.92</v>
      </c>
      <c r="R890" s="86"/>
      <c r="S890" s="86" t="s">
        <v>2768</v>
      </c>
      <c r="AC890" s="98" t="s">
        <v>1598</v>
      </c>
    </row>
    <row r="891" spans="1:29" x14ac:dyDescent="0.4">
      <c r="A891" s="102" t="s">
        <v>110</v>
      </c>
      <c r="B891" s="85" t="s">
        <v>624</v>
      </c>
      <c r="C891" s="84" t="s">
        <v>1676</v>
      </c>
      <c r="D891" s="143" t="s">
        <v>4294</v>
      </c>
      <c r="E891" s="145"/>
      <c r="I891" s="106"/>
      <c r="R891" s="86"/>
    </row>
    <row r="892" spans="1:29" x14ac:dyDescent="0.4">
      <c r="A892" s="102" t="s">
        <v>83</v>
      </c>
      <c r="B892" s="85" t="s">
        <v>601</v>
      </c>
      <c r="C892" s="84" t="s">
        <v>1862</v>
      </c>
      <c r="D892" s="143" t="s">
        <v>4294</v>
      </c>
      <c r="E892" s="145"/>
      <c r="I892" s="106" t="s">
        <v>4027</v>
      </c>
      <c r="L892" s="100">
        <v>1850</v>
      </c>
      <c r="M892" s="100">
        <v>2950</v>
      </c>
      <c r="N892" s="136">
        <f t="shared" ref="N892:N910" si="39">L892*M892/1000000</f>
        <v>5.4574999999999996</v>
      </c>
      <c r="R892" s="86"/>
      <c r="S892" s="86" t="s">
        <v>2766</v>
      </c>
      <c r="AC892" s="98" t="s">
        <v>3619</v>
      </c>
    </row>
    <row r="893" spans="1:29" x14ac:dyDescent="0.4">
      <c r="A893" s="102" t="s">
        <v>1863</v>
      </c>
      <c r="B893" s="85" t="s">
        <v>2681</v>
      </c>
      <c r="C893" s="84" t="s">
        <v>1862</v>
      </c>
      <c r="D893" s="143" t="s">
        <v>4294</v>
      </c>
      <c r="E893" s="145"/>
      <c r="I893" s="106" t="s">
        <v>4027</v>
      </c>
      <c r="J893" s="86">
        <v>100</v>
      </c>
      <c r="L893" s="100">
        <v>2000</v>
      </c>
      <c r="M893" s="100">
        <v>2700</v>
      </c>
      <c r="N893" s="136">
        <f t="shared" si="39"/>
        <v>5.4</v>
      </c>
      <c r="R893" s="86"/>
      <c r="S893" s="86" t="s">
        <v>2766</v>
      </c>
      <c r="AC893" s="98" t="s">
        <v>3561</v>
      </c>
    </row>
    <row r="894" spans="1:29" x14ac:dyDescent="0.4">
      <c r="A894" s="102" t="s">
        <v>1864</v>
      </c>
      <c r="B894" s="85" t="s">
        <v>2681</v>
      </c>
      <c r="C894" s="84" t="s">
        <v>1862</v>
      </c>
      <c r="D894" s="143" t="s">
        <v>4294</v>
      </c>
      <c r="E894" s="145"/>
      <c r="H894" s="86">
        <v>2</v>
      </c>
      <c r="I894" s="106" t="s">
        <v>4027</v>
      </c>
      <c r="J894" s="86">
        <v>100</v>
      </c>
      <c r="L894" s="100">
        <v>2800</v>
      </c>
      <c r="M894" s="100">
        <v>2400</v>
      </c>
      <c r="N894" s="136">
        <f t="shared" si="39"/>
        <v>6.72</v>
      </c>
      <c r="R894" s="86"/>
      <c r="S894" s="86" t="s">
        <v>2766</v>
      </c>
      <c r="AC894" s="98" t="s">
        <v>3794</v>
      </c>
    </row>
    <row r="895" spans="1:29" x14ac:dyDescent="0.4">
      <c r="A895" s="102" t="s">
        <v>1865</v>
      </c>
      <c r="B895" s="85" t="s">
        <v>2681</v>
      </c>
      <c r="C895" s="84" t="s">
        <v>1862</v>
      </c>
      <c r="D895" s="143" t="s">
        <v>4294</v>
      </c>
      <c r="E895" s="145"/>
      <c r="I895" s="106" t="s">
        <v>4027</v>
      </c>
      <c r="J895" s="86">
        <v>100</v>
      </c>
      <c r="L895" s="100">
        <v>2900</v>
      </c>
      <c r="M895" s="100">
        <v>2400</v>
      </c>
      <c r="N895" s="136">
        <f t="shared" si="39"/>
        <v>6.96</v>
      </c>
      <c r="R895" s="86"/>
      <c r="S895" s="86" t="s">
        <v>2768</v>
      </c>
      <c r="AC895" s="98" t="s">
        <v>3560</v>
      </c>
    </row>
    <row r="896" spans="1:29" x14ac:dyDescent="0.4">
      <c r="A896" s="102" t="s">
        <v>1866</v>
      </c>
      <c r="B896" s="85" t="s">
        <v>2681</v>
      </c>
      <c r="C896" s="84" t="s">
        <v>1862</v>
      </c>
      <c r="D896" s="143" t="s">
        <v>4294</v>
      </c>
      <c r="E896" s="145"/>
      <c r="I896" s="106" t="s">
        <v>4027</v>
      </c>
      <c r="J896" s="86">
        <v>100</v>
      </c>
      <c r="L896" s="100">
        <v>3000</v>
      </c>
      <c r="M896" s="100">
        <v>3000</v>
      </c>
      <c r="N896" s="136">
        <f t="shared" si="39"/>
        <v>9</v>
      </c>
      <c r="R896" s="86"/>
      <c r="S896" s="86" t="s">
        <v>2768</v>
      </c>
      <c r="Z896" s="87" t="s">
        <v>3051</v>
      </c>
      <c r="AC896" s="98" t="s">
        <v>3559</v>
      </c>
    </row>
    <row r="897" spans="1:29" x14ac:dyDescent="0.4">
      <c r="A897" s="102" t="s">
        <v>3765</v>
      </c>
      <c r="B897" s="85" t="s">
        <v>1890</v>
      </c>
      <c r="C897" s="84" t="s">
        <v>3764</v>
      </c>
      <c r="D897" s="143" t="s">
        <v>4294</v>
      </c>
      <c r="E897" s="145"/>
      <c r="I897" s="106" t="s">
        <v>2998</v>
      </c>
      <c r="L897" s="100">
        <v>3600</v>
      </c>
      <c r="M897" s="100">
        <v>3900</v>
      </c>
      <c r="N897" s="136">
        <f t="shared" si="39"/>
        <v>14.04</v>
      </c>
      <c r="R897" s="86"/>
      <c r="AC897" s="98" t="s">
        <v>3987</v>
      </c>
    </row>
    <row r="898" spans="1:29" x14ac:dyDescent="0.4">
      <c r="A898" s="102" t="s">
        <v>288</v>
      </c>
      <c r="B898" s="85" t="s">
        <v>716</v>
      </c>
      <c r="C898" s="84" t="s">
        <v>2538</v>
      </c>
      <c r="D898" s="143" t="s">
        <v>4294</v>
      </c>
      <c r="E898" s="145"/>
      <c r="I898" s="106" t="s">
        <v>4027</v>
      </c>
      <c r="J898" s="86">
        <v>125</v>
      </c>
      <c r="L898" s="100">
        <v>3750</v>
      </c>
      <c r="M898" s="100">
        <v>4000</v>
      </c>
      <c r="N898" s="136">
        <f t="shared" si="39"/>
        <v>15</v>
      </c>
      <c r="P898" s="90" t="s">
        <v>1132</v>
      </c>
      <c r="Q898" s="86" t="s">
        <v>3062</v>
      </c>
      <c r="R898" s="86" t="s">
        <v>3077</v>
      </c>
      <c r="S898" s="86" t="s">
        <v>2768</v>
      </c>
      <c r="T898" s="91">
        <v>1.5</v>
      </c>
      <c r="W898" s="94" t="s">
        <v>3050</v>
      </c>
      <c r="Z898" s="87" t="s">
        <v>3051</v>
      </c>
      <c r="AC898" s="98" t="s">
        <v>3384</v>
      </c>
    </row>
    <row r="899" spans="1:29" x14ac:dyDescent="0.4">
      <c r="A899" s="102" t="s">
        <v>3696</v>
      </c>
      <c r="B899" s="85" t="s">
        <v>668</v>
      </c>
      <c r="C899" s="84" t="s">
        <v>4011</v>
      </c>
      <c r="D899" s="143" t="s">
        <v>4294</v>
      </c>
      <c r="E899" s="145"/>
      <c r="I899" s="106" t="s">
        <v>4027</v>
      </c>
      <c r="J899" s="86">
        <v>100</v>
      </c>
      <c r="L899" s="100">
        <v>1800</v>
      </c>
      <c r="M899" s="100">
        <v>2400</v>
      </c>
      <c r="N899" s="136">
        <f t="shared" si="39"/>
        <v>4.32</v>
      </c>
      <c r="P899" s="90" t="s">
        <v>1132</v>
      </c>
      <c r="Q899" s="86" t="s">
        <v>3062</v>
      </c>
      <c r="R899" s="86"/>
      <c r="S899" s="86" t="s">
        <v>2766</v>
      </c>
      <c r="T899" s="91">
        <v>0.75</v>
      </c>
      <c r="Z899" s="87" t="s">
        <v>3051</v>
      </c>
      <c r="AB899" s="86" t="s">
        <v>2769</v>
      </c>
      <c r="AC899" s="98" t="s">
        <v>3973</v>
      </c>
    </row>
    <row r="900" spans="1:29" x14ac:dyDescent="0.4">
      <c r="A900" s="102" t="s">
        <v>3697</v>
      </c>
      <c r="B900" s="85" t="s">
        <v>668</v>
      </c>
      <c r="C900" s="84" t="s">
        <v>4011</v>
      </c>
      <c r="D900" s="143" t="s">
        <v>4294</v>
      </c>
      <c r="E900" s="145"/>
      <c r="I900" s="106" t="s">
        <v>4027</v>
      </c>
      <c r="J900" s="86">
        <v>100</v>
      </c>
      <c r="L900" s="100">
        <v>3200</v>
      </c>
      <c r="M900" s="100">
        <v>3000</v>
      </c>
      <c r="N900" s="136">
        <f t="shared" si="39"/>
        <v>9.6</v>
      </c>
      <c r="P900" s="90" t="s">
        <v>1132</v>
      </c>
      <c r="Q900" s="86" t="s">
        <v>3062</v>
      </c>
      <c r="R900" s="86"/>
      <c r="S900" s="86" t="s">
        <v>2766</v>
      </c>
      <c r="T900" s="91">
        <v>0.75</v>
      </c>
      <c r="Z900" s="87" t="s">
        <v>3051</v>
      </c>
      <c r="AB900" s="86" t="s">
        <v>2769</v>
      </c>
      <c r="AC900" s="98" t="s">
        <v>3974</v>
      </c>
    </row>
    <row r="901" spans="1:29" x14ac:dyDescent="0.4">
      <c r="A901" s="102" t="s">
        <v>3698</v>
      </c>
      <c r="B901" s="85" t="s">
        <v>668</v>
      </c>
      <c r="C901" s="84" t="s">
        <v>4011</v>
      </c>
      <c r="D901" s="143" t="s">
        <v>4294</v>
      </c>
      <c r="E901" s="145"/>
      <c r="I901" s="106" t="s">
        <v>4027</v>
      </c>
      <c r="J901" s="86">
        <v>100</v>
      </c>
      <c r="L901" s="100">
        <v>2800</v>
      </c>
      <c r="M901" s="100">
        <v>3000</v>
      </c>
      <c r="N901" s="136">
        <f t="shared" si="39"/>
        <v>8.4</v>
      </c>
      <c r="P901" s="90" t="s">
        <v>1132</v>
      </c>
      <c r="Q901" s="86" t="s">
        <v>3062</v>
      </c>
      <c r="R901" s="86"/>
      <c r="S901" s="86" t="s">
        <v>2766</v>
      </c>
      <c r="T901" s="91">
        <v>0.75</v>
      </c>
      <c r="V901" s="93">
        <v>2</v>
      </c>
      <c r="Z901" s="87" t="s">
        <v>3051</v>
      </c>
      <c r="AB901" s="86" t="s">
        <v>2769</v>
      </c>
      <c r="AC901" s="98" t="s">
        <v>3975</v>
      </c>
    </row>
    <row r="902" spans="1:29" x14ac:dyDescent="0.4">
      <c r="A902" s="102" t="s">
        <v>118</v>
      </c>
      <c r="B902" s="85" t="s">
        <v>1721</v>
      </c>
      <c r="C902" s="84" t="s">
        <v>3819</v>
      </c>
      <c r="D902" s="143" t="s">
        <v>4294</v>
      </c>
      <c r="E902" s="145"/>
      <c r="I902" s="106" t="s">
        <v>4027</v>
      </c>
      <c r="J902" s="86">
        <v>100</v>
      </c>
      <c r="L902" s="100">
        <v>3500</v>
      </c>
      <c r="M902" s="100">
        <v>3000</v>
      </c>
      <c r="N902" s="136">
        <f t="shared" si="39"/>
        <v>10.5</v>
      </c>
      <c r="R902" s="86"/>
      <c r="S902" s="86" t="s">
        <v>2768</v>
      </c>
      <c r="AC902" s="98" t="s">
        <v>3334</v>
      </c>
    </row>
    <row r="903" spans="1:29" x14ac:dyDescent="0.4">
      <c r="A903" s="102" t="s">
        <v>40</v>
      </c>
      <c r="B903" s="85" t="s">
        <v>1361</v>
      </c>
      <c r="C903" s="84" t="s">
        <v>1366</v>
      </c>
      <c r="D903" s="143" t="s">
        <v>4294</v>
      </c>
      <c r="E903" s="145"/>
      <c r="I903" s="106" t="s">
        <v>4027</v>
      </c>
      <c r="L903" s="100">
        <v>2300</v>
      </c>
      <c r="M903" s="100">
        <v>2800</v>
      </c>
      <c r="N903" s="136">
        <f t="shared" si="39"/>
        <v>6.44</v>
      </c>
      <c r="R903" s="86"/>
      <c r="AC903" s="98" t="s">
        <v>3654</v>
      </c>
    </row>
    <row r="904" spans="1:29" x14ac:dyDescent="0.4">
      <c r="A904" s="102" t="s">
        <v>3811</v>
      </c>
      <c r="B904" s="85" t="s">
        <v>632</v>
      </c>
      <c r="C904" s="84" t="s">
        <v>1366</v>
      </c>
      <c r="D904" s="143" t="s">
        <v>4294</v>
      </c>
      <c r="E904" s="145"/>
      <c r="I904" s="106" t="s">
        <v>4027</v>
      </c>
      <c r="L904" s="100">
        <v>2300</v>
      </c>
      <c r="M904" s="100">
        <v>2800</v>
      </c>
      <c r="N904" s="136">
        <f t="shared" si="39"/>
        <v>6.44</v>
      </c>
      <c r="R904" s="86"/>
      <c r="AC904" s="98" t="s">
        <v>3564</v>
      </c>
    </row>
    <row r="905" spans="1:29" x14ac:dyDescent="0.4">
      <c r="A905" s="102" t="s">
        <v>3829</v>
      </c>
      <c r="B905" s="85" t="s">
        <v>600</v>
      </c>
      <c r="C905" s="84" t="s">
        <v>4268</v>
      </c>
      <c r="D905" s="143" t="s">
        <v>4294</v>
      </c>
      <c r="E905" s="145"/>
      <c r="I905" s="106" t="s">
        <v>1133</v>
      </c>
      <c r="L905" s="100">
        <v>5000</v>
      </c>
      <c r="M905" s="100">
        <v>6000</v>
      </c>
      <c r="N905" s="136">
        <f t="shared" si="39"/>
        <v>30</v>
      </c>
      <c r="R905" s="86"/>
      <c r="AC905" s="98" t="s">
        <v>3832</v>
      </c>
    </row>
    <row r="906" spans="1:29" x14ac:dyDescent="0.4">
      <c r="A906" s="102" t="s">
        <v>3830</v>
      </c>
      <c r="B906" s="85" t="s">
        <v>600</v>
      </c>
      <c r="C906" s="84" t="s">
        <v>4268</v>
      </c>
      <c r="D906" s="143" t="s">
        <v>4294</v>
      </c>
      <c r="E906" s="145"/>
      <c r="I906" s="106" t="s">
        <v>4027</v>
      </c>
      <c r="L906" s="100">
        <v>2500</v>
      </c>
      <c r="M906" s="100">
        <v>3000</v>
      </c>
      <c r="N906" s="136">
        <f t="shared" si="39"/>
        <v>7.5</v>
      </c>
      <c r="R906" s="86"/>
      <c r="AC906" s="98" t="s">
        <v>3833</v>
      </c>
    </row>
    <row r="907" spans="1:29" x14ac:dyDescent="0.4">
      <c r="A907" s="102" t="s">
        <v>3831</v>
      </c>
      <c r="B907" s="85" t="s">
        <v>600</v>
      </c>
      <c r="C907" s="84" t="s">
        <v>4268</v>
      </c>
      <c r="D907" s="143" t="s">
        <v>4294</v>
      </c>
      <c r="E907" s="145"/>
      <c r="I907" s="106" t="s">
        <v>4027</v>
      </c>
      <c r="L907" s="100">
        <v>1600</v>
      </c>
      <c r="M907" s="100">
        <v>2500</v>
      </c>
      <c r="N907" s="136">
        <f t="shared" si="39"/>
        <v>4</v>
      </c>
      <c r="R907" s="86"/>
      <c r="AC907" s="98" t="s">
        <v>3834</v>
      </c>
    </row>
    <row r="908" spans="1:29" x14ac:dyDescent="0.4">
      <c r="A908" s="102" t="s">
        <v>140</v>
      </c>
      <c r="B908" s="85" t="s">
        <v>2678</v>
      </c>
      <c r="C908" s="84" t="s">
        <v>1795</v>
      </c>
      <c r="D908" s="143" t="s">
        <v>4294</v>
      </c>
      <c r="E908" s="145"/>
      <c r="I908" s="106" t="s">
        <v>4027</v>
      </c>
      <c r="L908" s="100">
        <v>2400</v>
      </c>
      <c r="M908" s="100">
        <v>3100</v>
      </c>
      <c r="N908" s="136">
        <f t="shared" si="39"/>
        <v>7.44</v>
      </c>
      <c r="R908" s="86"/>
      <c r="S908" s="86" t="s">
        <v>2768</v>
      </c>
      <c r="AC908" s="98" t="s">
        <v>3308</v>
      </c>
    </row>
    <row r="909" spans="1:29" x14ac:dyDescent="0.4">
      <c r="A909" s="102" t="s">
        <v>224</v>
      </c>
      <c r="B909" s="85" t="s">
        <v>679</v>
      </c>
      <c r="C909" s="84" t="s">
        <v>3459</v>
      </c>
      <c r="D909" s="143" t="s">
        <v>4294</v>
      </c>
      <c r="E909" s="145"/>
      <c r="I909" s="106" t="s">
        <v>4027</v>
      </c>
      <c r="J909" s="86">
        <v>100</v>
      </c>
      <c r="L909" s="100">
        <v>3750</v>
      </c>
      <c r="M909" s="100">
        <v>3300</v>
      </c>
      <c r="N909" s="136">
        <f t="shared" si="39"/>
        <v>12.375</v>
      </c>
      <c r="P909" s="90" t="s">
        <v>1132</v>
      </c>
      <c r="Q909" s="86" t="s">
        <v>3062</v>
      </c>
      <c r="R909" s="86"/>
      <c r="S909" s="86" t="s">
        <v>2766</v>
      </c>
      <c r="AC909" s="98" t="s">
        <v>3964</v>
      </c>
    </row>
    <row r="910" spans="1:29" x14ac:dyDescent="0.4">
      <c r="A910" s="102" t="s">
        <v>1251</v>
      </c>
      <c r="B910" s="85" t="s">
        <v>1231</v>
      </c>
      <c r="C910" s="84" t="s">
        <v>1250</v>
      </c>
      <c r="D910" s="143" t="s">
        <v>4294</v>
      </c>
      <c r="E910" s="145"/>
      <c r="I910" s="106" t="s">
        <v>4027</v>
      </c>
      <c r="L910" s="100">
        <v>2100</v>
      </c>
      <c r="M910" s="100">
        <v>2600</v>
      </c>
      <c r="N910" s="136">
        <f t="shared" si="39"/>
        <v>5.46</v>
      </c>
      <c r="R910" s="86"/>
      <c r="S910" s="86" t="s">
        <v>2768</v>
      </c>
      <c r="AC910" s="98" t="s">
        <v>3670</v>
      </c>
    </row>
    <row r="911" spans="1:29" x14ac:dyDescent="0.4">
      <c r="A911" s="102" t="s">
        <v>142</v>
      </c>
      <c r="B911" s="85" t="s">
        <v>633</v>
      </c>
      <c r="C911" s="84" t="s">
        <v>1800</v>
      </c>
      <c r="D911" s="143" t="s">
        <v>4294</v>
      </c>
      <c r="E911" s="145"/>
      <c r="I911" s="106" t="s">
        <v>3001</v>
      </c>
      <c r="R911" s="86"/>
      <c r="AC911" s="98" t="s">
        <v>1799</v>
      </c>
    </row>
    <row r="912" spans="1:29" x14ac:dyDescent="0.4">
      <c r="A912" s="102" t="s">
        <v>259</v>
      </c>
      <c r="B912" s="85" t="s">
        <v>3447</v>
      </c>
      <c r="C912" s="84" t="s">
        <v>2483</v>
      </c>
      <c r="D912" s="143" t="s">
        <v>4294</v>
      </c>
      <c r="E912" s="145"/>
      <c r="I912" s="106" t="s">
        <v>4027</v>
      </c>
      <c r="J912" s="86">
        <v>100</v>
      </c>
      <c r="L912" s="100">
        <v>2400</v>
      </c>
      <c r="M912" s="100">
        <v>3150</v>
      </c>
      <c r="N912" s="136">
        <f t="shared" ref="N912:N920" si="40">L912*M912/1000000</f>
        <v>7.56</v>
      </c>
      <c r="R912" s="86"/>
      <c r="S912" s="86" t="s">
        <v>2768</v>
      </c>
      <c r="AC912" s="98" t="s">
        <v>3296</v>
      </c>
    </row>
    <row r="913" spans="1:29" x14ac:dyDescent="0.4">
      <c r="A913" s="102" t="s">
        <v>191</v>
      </c>
      <c r="B913" s="85" t="s">
        <v>659</v>
      </c>
      <c r="C913" s="84" t="s">
        <v>3759</v>
      </c>
      <c r="D913" s="143" t="s">
        <v>4294</v>
      </c>
      <c r="E913" s="145"/>
      <c r="I913" s="106" t="s">
        <v>4027</v>
      </c>
      <c r="J913" s="86">
        <v>100</v>
      </c>
      <c r="L913" s="100">
        <v>2750</v>
      </c>
      <c r="M913" s="100">
        <v>4300</v>
      </c>
      <c r="N913" s="136">
        <f t="shared" si="40"/>
        <v>11.824999999999999</v>
      </c>
      <c r="P913" s="63" t="s">
        <v>3177</v>
      </c>
      <c r="Q913" s="86" t="s">
        <v>3062</v>
      </c>
      <c r="R913" s="86"/>
      <c r="T913" s="91">
        <v>0.75</v>
      </c>
      <c r="AC913" s="98" t="s">
        <v>3758</v>
      </c>
    </row>
    <row r="914" spans="1:29" x14ac:dyDescent="0.4">
      <c r="A914" s="102" t="s">
        <v>258</v>
      </c>
      <c r="B914" s="85" t="s">
        <v>2692</v>
      </c>
      <c r="C914" s="84" t="s">
        <v>3446</v>
      </c>
      <c r="D914" s="143" t="s">
        <v>4294</v>
      </c>
      <c r="E914" s="145"/>
      <c r="I914" s="106" t="s">
        <v>3002</v>
      </c>
      <c r="L914" s="100">
        <v>4100</v>
      </c>
      <c r="M914" s="100">
        <v>2600</v>
      </c>
      <c r="N914" s="136">
        <f t="shared" si="40"/>
        <v>10.66</v>
      </c>
      <c r="R914" s="86"/>
      <c r="AC914" s="98" t="s">
        <v>2480</v>
      </c>
    </row>
    <row r="915" spans="1:29" x14ac:dyDescent="0.4">
      <c r="A915" s="102" t="s">
        <v>264</v>
      </c>
      <c r="B915" s="85" t="s">
        <v>700</v>
      </c>
      <c r="C915" s="84" t="s">
        <v>3425</v>
      </c>
      <c r="D915" s="143" t="s">
        <v>4294</v>
      </c>
      <c r="E915" s="145"/>
      <c r="I915" s="106" t="s">
        <v>4027</v>
      </c>
      <c r="J915" s="86">
        <v>100</v>
      </c>
      <c r="L915" s="100">
        <v>1500</v>
      </c>
      <c r="M915" s="100">
        <v>2100</v>
      </c>
      <c r="N915" s="136">
        <f t="shared" si="40"/>
        <v>3.15</v>
      </c>
      <c r="P915" s="90" t="s">
        <v>1132</v>
      </c>
      <c r="Q915" s="86" t="s">
        <v>3062</v>
      </c>
      <c r="R915" s="86"/>
      <c r="S915" s="86" t="s">
        <v>2766</v>
      </c>
      <c r="T915" s="91">
        <v>0.75</v>
      </c>
      <c r="AC915" s="98" t="s">
        <v>3960</v>
      </c>
    </row>
    <row r="916" spans="1:29" x14ac:dyDescent="0.4">
      <c r="A916" s="102" t="s">
        <v>260</v>
      </c>
      <c r="B916" s="85" t="s">
        <v>2693</v>
      </c>
      <c r="C916" s="84" t="s">
        <v>3426</v>
      </c>
      <c r="D916" s="143" t="s">
        <v>4294</v>
      </c>
      <c r="E916" s="145"/>
      <c r="I916" s="106" t="s">
        <v>4027</v>
      </c>
      <c r="J916" s="86">
        <v>100</v>
      </c>
      <c r="L916" s="100">
        <v>2700</v>
      </c>
      <c r="M916" s="100">
        <v>3800</v>
      </c>
      <c r="N916" s="136">
        <f t="shared" si="40"/>
        <v>10.26</v>
      </c>
      <c r="P916" s="90" t="s">
        <v>1132</v>
      </c>
      <c r="Q916" s="86" t="s">
        <v>3062</v>
      </c>
      <c r="R916" s="86"/>
      <c r="S916" s="86" t="s">
        <v>2768</v>
      </c>
      <c r="T916" s="91">
        <v>0.75</v>
      </c>
      <c r="Z916" s="87" t="s">
        <v>3051</v>
      </c>
      <c r="AB916" s="86" t="s">
        <v>2769</v>
      </c>
      <c r="AC916" s="98" t="s">
        <v>3295</v>
      </c>
    </row>
    <row r="917" spans="1:29" x14ac:dyDescent="0.4">
      <c r="A917" s="102" t="s">
        <v>3858</v>
      </c>
      <c r="B917" s="85" t="s">
        <v>2685</v>
      </c>
      <c r="C917" s="84" t="s">
        <v>3466</v>
      </c>
      <c r="D917" s="143" t="s">
        <v>4294</v>
      </c>
      <c r="E917" s="145"/>
      <c r="I917" s="106" t="s">
        <v>2998</v>
      </c>
      <c r="L917" s="100">
        <v>5000</v>
      </c>
      <c r="M917" s="100">
        <v>5000</v>
      </c>
      <c r="N917" s="136">
        <f t="shared" si="40"/>
        <v>25</v>
      </c>
      <c r="P917" s="63"/>
      <c r="R917" s="86"/>
      <c r="AC917" s="98" t="s">
        <v>2400</v>
      </c>
    </row>
    <row r="918" spans="1:29" x14ac:dyDescent="0.4">
      <c r="A918" s="102" t="s">
        <v>99</v>
      </c>
      <c r="B918" s="85" t="s">
        <v>1653</v>
      </c>
      <c r="C918" s="84" t="s">
        <v>1714</v>
      </c>
      <c r="D918" s="143" t="s">
        <v>4294</v>
      </c>
      <c r="E918" s="145"/>
      <c r="I918" s="106" t="s">
        <v>4027</v>
      </c>
      <c r="L918" s="100">
        <v>2000</v>
      </c>
      <c r="M918" s="100">
        <v>3100</v>
      </c>
      <c r="N918" s="136">
        <f t="shared" si="40"/>
        <v>6.2</v>
      </c>
      <c r="R918" s="86"/>
      <c r="S918" s="86" t="s">
        <v>2768</v>
      </c>
      <c r="AC918" s="98" t="s">
        <v>3579</v>
      </c>
    </row>
    <row r="919" spans="1:29" x14ac:dyDescent="0.4">
      <c r="A919" s="102" t="s">
        <v>117</v>
      </c>
      <c r="B919" s="85" t="s">
        <v>628</v>
      </c>
      <c r="C919" s="84" t="s">
        <v>1714</v>
      </c>
      <c r="D919" s="143" t="s">
        <v>4294</v>
      </c>
      <c r="E919" s="145"/>
      <c r="I919" s="106" t="s">
        <v>4027</v>
      </c>
      <c r="J919" s="86">
        <v>100</v>
      </c>
      <c r="L919" s="100">
        <v>1820</v>
      </c>
      <c r="M919" s="100">
        <v>3000</v>
      </c>
      <c r="N919" s="136">
        <f t="shared" si="40"/>
        <v>5.46</v>
      </c>
      <c r="R919" s="86"/>
      <c r="S919" s="86" t="s">
        <v>2766</v>
      </c>
      <c r="AC919" s="98" t="s">
        <v>3565</v>
      </c>
    </row>
    <row r="920" spans="1:29" x14ac:dyDescent="0.4">
      <c r="A920" s="119" t="s">
        <v>158</v>
      </c>
      <c r="B920" s="120" t="s">
        <v>642</v>
      </c>
      <c r="C920" s="121" t="s">
        <v>1714</v>
      </c>
      <c r="D920" s="143" t="s">
        <v>4294</v>
      </c>
      <c r="E920" s="145"/>
      <c r="H920" s="90"/>
      <c r="I920" s="106" t="s">
        <v>4027</v>
      </c>
      <c r="J920" s="86">
        <v>100</v>
      </c>
      <c r="L920" s="103">
        <v>1900</v>
      </c>
      <c r="M920" s="100">
        <v>2800</v>
      </c>
      <c r="N920" s="136">
        <f t="shared" si="40"/>
        <v>5.32</v>
      </c>
      <c r="Q920" s="86" t="s">
        <v>3069</v>
      </c>
      <c r="R920" s="86"/>
      <c r="S920" s="86" t="s">
        <v>2768</v>
      </c>
      <c r="T920" s="122"/>
      <c r="Z920" s="87" t="s">
        <v>3051</v>
      </c>
      <c r="AC920" s="98" t="s">
        <v>3491</v>
      </c>
    </row>
    <row r="921" spans="1:29" x14ac:dyDescent="0.4">
      <c r="A921" s="102" t="s">
        <v>176</v>
      </c>
      <c r="B921" s="85" t="s">
        <v>653</v>
      </c>
      <c r="C921" s="121" t="s">
        <v>1714</v>
      </c>
      <c r="D921" s="143" t="s">
        <v>4294</v>
      </c>
      <c r="E921" s="145"/>
      <c r="I921" s="106"/>
      <c r="R921" s="86"/>
    </row>
    <row r="922" spans="1:29" x14ac:dyDescent="0.4">
      <c r="A922" s="102" t="s">
        <v>3409</v>
      </c>
      <c r="B922" s="85" t="s">
        <v>710</v>
      </c>
      <c r="C922" s="84" t="s">
        <v>2531</v>
      </c>
      <c r="D922" s="143" t="s">
        <v>4294</v>
      </c>
      <c r="E922" s="145"/>
      <c r="I922" s="106" t="s">
        <v>2998</v>
      </c>
      <c r="L922" s="100">
        <v>2500</v>
      </c>
      <c r="M922" s="100">
        <v>3450</v>
      </c>
      <c r="N922" s="136">
        <f>L922*M922/1000000</f>
        <v>8.625</v>
      </c>
      <c r="R922" s="86"/>
      <c r="AC922" s="98" t="s">
        <v>2530</v>
      </c>
    </row>
    <row r="923" spans="1:29" x14ac:dyDescent="0.4">
      <c r="A923" s="102" t="s">
        <v>36</v>
      </c>
      <c r="B923" s="85" t="s">
        <v>1322</v>
      </c>
      <c r="C923" s="84" t="s">
        <v>1321</v>
      </c>
      <c r="D923" s="143" t="s">
        <v>4294</v>
      </c>
      <c r="E923" s="145"/>
      <c r="I923" s="106" t="s">
        <v>3028</v>
      </c>
      <c r="R923" s="86"/>
      <c r="AC923" s="98" t="s">
        <v>1138</v>
      </c>
    </row>
    <row r="924" spans="1:29" x14ac:dyDescent="0.4">
      <c r="A924" s="102" t="s">
        <v>3857</v>
      </c>
      <c r="B924" s="85" t="s">
        <v>1312</v>
      </c>
      <c r="C924" s="84" t="s">
        <v>1316</v>
      </c>
      <c r="D924" s="143" t="s">
        <v>4294</v>
      </c>
      <c r="E924" s="145"/>
      <c r="I924" s="106" t="s">
        <v>1133</v>
      </c>
      <c r="L924" s="100">
        <v>5000</v>
      </c>
      <c r="M924" s="100">
        <v>5000</v>
      </c>
      <c r="N924" s="136">
        <f>L924*M924/1000000</f>
        <v>25</v>
      </c>
      <c r="R924" s="86"/>
      <c r="S924" s="86" t="s">
        <v>2766</v>
      </c>
      <c r="AC924" s="98" t="s">
        <v>1315</v>
      </c>
    </row>
    <row r="925" spans="1:29" x14ac:dyDescent="0.4">
      <c r="A925" s="102" t="s">
        <v>1318</v>
      </c>
      <c r="B925" s="85" t="s">
        <v>1312</v>
      </c>
      <c r="C925" s="84" t="s">
        <v>1316</v>
      </c>
      <c r="D925" s="143" t="s">
        <v>4294</v>
      </c>
      <c r="E925" s="145"/>
      <c r="I925" s="106" t="s">
        <v>4027</v>
      </c>
      <c r="L925" s="100">
        <v>3000</v>
      </c>
      <c r="M925" s="100">
        <v>3200</v>
      </c>
      <c r="N925" s="136">
        <f>L925*M925/1000000</f>
        <v>9.6</v>
      </c>
      <c r="R925" s="86"/>
      <c r="S925" s="86" t="s">
        <v>2766</v>
      </c>
      <c r="AC925" s="98" t="s">
        <v>3661</v>
      </c>
    </row>
    <row r="926" spans="1:29" x14ac:dyDescent="0.4">
      <c r="A926" s="102" t="s">
        <v>17</v>
      </c>
      <c r="B926" s="85" t="s">
        <v>1233</v>
      </c>
      <c r="C926" s="84" t="s">
        <v>1206</v>
      </c>
      <c r="D926" s="143" t="s">
        <v>4294</v>
      </c>
      <c r="E926" s="145"/>
      <c r="H926" s="86">
        <v>3</v>
      </c>
      <c r="I926" s="106" t="s">
        <v>4027</v>
      </c>
      <c r="L926" s="100">
        <v>1810</v>
      </c>
      <c r="M926" s="100">
        <v>3000</v>
      </c>
      <c r="N926" s="136">
        <f>L926*M926/1000000</f>
        <v>5.43</v>
      </c>
      <c r="R926" s="86"/>
      <c r="S926" s="86" t="s">
        <v>2768</v>
      </c>
      <c r="AC926" s="98" t="s">
        <v>3900</v>
      </c>
    </row>
    <row r="927" spans="1:29" x14ac:dyDescent="0.4">
      <c r="A927" s="102" t="s">
        <v>1557</v>
      </c>
      <c r="B927" s="85" t="s">
        <v>1233</v>
      </c>
      <c r="C927" s="84" t="s">
        <v>1206</v>
      </c>
      <c r="D927" s="143" t="s">
        <v>4294</v>
      </c>
      <c r="E927" s="145"/>
      <c r="I927" s="106" t="s">
        <v>4027</v>
      </c>
      <c r="L927" s="100">
        <v>1800</v>
      </c>
      <c r="M927" s="100">
        <v>3000</v>
      </c>
      <c r="N927" s="136">
        <f>L927*M927/1000000</f>
        <v>5.4</v>
      </c>
      <c r="R927" s="86"/>
      <c r="S927" s="86" t="s">
        <v>2768</v>
      </c>
      <c r="AC927" s="98" t="s">
        <v>3899</v>
      </c>
    </row>
    <row r="928" spans="1:29" x14ac:dyDescent="0.4">
      <c r="A928" s="102" t="s">
        <v>516</v>
      </c>
      <c r="B928" s="85" t="s">
        <v>860</v>
      </c>
      <c r="C928" s="84" t="s">
        <v>1206</v>
      </c>
      <c r="D928" s="143" t="s">
        <v>4294</v>
      </c>
      <c r="E928" s="145"/>
      <c r="I928" s="106" t="s">
        <v>2998</v>
      </c>
      <c r="R928" s="86"/>
      <c r="AC928" s="98" t="s">
        <v>2793</v>
      </c>
    </row>
    <row r="929" spans="1:29" x14ac:dyDescent="0.4">
      <c r="A929" s="102" t="s">
        <v>477</v>
      </c>
      <c r="B929" s="85" t="s">
        <v>837</v>
      </c>
      <c r="C929" s="84" t="s">
        <v>2117</v>
      </c>
      <c r="D929" s="143" t="s">
        <v>4294</v>
      </c>
      <c r="E929" s="145"/>
      <c r="I929" s="106" t="s">
        <v>3001</v>
      </c>
      <c r="L929" s="100">
        <v>1810</v>
      </c>
      <c r="M929" s="100">
        <v>3000</v>
      </c>
      <c r="N929" s="136">
        <f t="shared" ref="N929:N937" si="41">L929*M929/1000000</f>
        <v>5.43</v>
      </c>
      <c r="R929" s="86"/>
      <c r="S929" s="86" t="s">
        <v>2768</v>
      </c>
      <c r="AC929" s="98" t="s">
        <v>2850</v>
      </c>
    </row>
    <row r="930" spans="1:29" x14ac:dyDescent="0.4">
      <c r="A930" s="102" t="s">
        <v>343</v>
      </c>
      <c r="B930" s="85" t="s">
        <v>771</v>
      </c>
      <c r="C930" s="84" t="s">
        <v>3164</v>
      </c>
      <c r="D930" s="143" t="s">
        <v>4294</v>
      </c>
      <c r="E930" s="145"/>
      <c r="I930" s="106" t="s">
        <v>1131</v>
      </c>
      <c r="J930" s="86">
        <v>150</v>
      </c>
      <c r="L930" s="100">
        <v>3600</v>
      </c>
      <c r="M930" s="100">
        <v>4000</v>
      </c>
      <c r="N930" s="136">
        <f t="shared" si="41"/>
        <v>14.4</v>
      </c>
      <c r="P930" s="90" t="s">
        <v>1132</v>
      </c>
      <c r="Q930" s="86" t="s">
        <v>3062</v>
      </c>
      <c r="R930" s="86"/>
      <c r="S930" s="86" t="s">
        <v>2766</v>
      </c>
      <c r="T930" s="91">
        <v>1.5</v>
      </c>
      <c r="U930" s="92">
        <v>15</v>
      </c>
      <c r="Z930" s="99" t="s">
        <v>3051</v>
      </c>
      <c r="AC930" s="98" t="s">
        <v>3024</v>
      </c>
    </row>
    <row r="931" spans="1:29" x14ac:dyDescent="0.4">
      <c r="A931" s="102" t="s">
        <v>331</v>
      </c>
      <c r="B931" s="85" t="s">
        <v>2715</v>
      </c>
      <c r="C931" s="84" t="s">
        <v>3188</v>
      </c>
      <c r="D931" s="143" t="s">
        <v>4294</v>
      </c>
      <c r="E931" s="145"/>
      <c r="I931" s="106" t="s">
        <v>4027</v>
      </c>
      <c r="J931" s="86">
        <v>125</v>
      </c>
      <c r="L931" s="100">
        <v>3000</v>
      </c>
      <c r="M931" s="100">
        <v>3000</v>
      </c>
      <c r="N931" s="136">
        <f t="shared" si="41"/>
        <v>9</v>
      </c>
      <c r="P931" s="90" t="s">
        <v>1132</v>
      </c>
      <c r="Q931" s="86" t="s">
        <v>3062</v>
      </c>
      <c r="R931" s="86" t="s">
        <v>3077</v>
      </c>
      <c r="S931" s="86" t="s">
        <v>1439</v>
      </c>
      <c r="T931" s="91">
        <v>0.75</v>
      </c>
      <c r="V931" s="93">
        <v>1</v>
      </c>
      <c r="Z931" s="87" t="s">
        <v>3051</v>
      </c>
      <c r="AB931" s="86" t="s">
        <v>2769</v>
      </c>
      <c r="AC931" s="98" t="s">
        <v>2371</v>
      </c>
    </row>
    <row r="932" spans="1:29" x14ac:dyDescent="0.4">
      <c r="A932" s="102" t="s">
        <v>1179</v>
      </c>
      <c r="B932" s="85" t="s">
        <v>747</v>
      </c>
      <c r="C932" s="84" t="s">
        <v>2631</v>
      </c>
      <c r="D932" s="143" t="s">
        <v>4294</v>
      </c>
      <c r="E932" s="145"/>
      <c r="I932" s="106" t="s">
        <v>4027</v>
      </c>
      <c r="J932" s="86">
        <v>125</v>
      </c>
      <c r="L932" s="100">
        <v>2200</v>
      </c>
      <c r="M932" s="100">
        <v>3000</v>
      </c>
      <c r="N932" s="136">
        <f t="shared" si="41"/>
        <v>6.6</v>
      </c>
      <c r="P932" s="90" t="s">
        <v>1132</v>
      </c>
      <c r="Q932" s="86" t="s">
        <v>3062</v>
      </c>
      <c r="R932" s="86" t="s">
        <v>3077</v>
      </c>
      <c r="S932" s="86" t="s">
        <v>2768</v>
      </c>
      <c r="T932" s="91">
        <v>0.75</v>
      </c>
      <c r="Z932" s="87" t="s">
        <v>3051</v>
      </c>
      <c r="AC932" s="98" t="s">
        <v>3268</v>
      </c>
    </row>
    <row r="933" spans="1:29" x14ac:dyDescent="0.4">
      <c r="A933" s="102" t="s">
        <v>1162</v>
      </c>
      <c r="B933" s="85" t="s">
        <v>2707</v>
      </c>
      <c r="C933" s="84" t="s">
        <v>2599</v>
      </c>
      <c r="D933" s="143" t="s">
        <v>4294</v>
      </c>
      <c r="E933" s="145"/>
      <c r="I933" s="106" t="s">
        <v>4027</v>
      </c>
      <c r="J933" s="86">
        <v>100</v>
      </c>
      <c r="L933" s="100">
        <v>2000</v>
      </c>
      <c r="M933" s="100">
        <v>2800</v>
      </c>
      <c r="N933" s="136">
        <f t="shared" si="41"/>
        <v>5.6</v>
      </c>
      <c r="P933" s="90" t="s">
        <v>1132</v>
      </c>
      <c r="Q933" s="86" t="s">
        <v>3062</v>
      </c>
      <c r="R933" s="86" t="s">
        <v>3077</v>
      </c>
      <c r="S933" s="86" t="s">
        <v>2768</v>
      </c>
      <c r="T933" s="91">
        <v>0.75</v>
      </c>
      <c r="Z933" s="87" t="s">
        <v>3051</v>
      </c>
      <c r="AC933" s="98" t="s">
        <v>4010</v>
      </c>
    </row>
    <row r="934" spans="1:29" ht="26.25" x14ac:dyDescent="0.4">
      <c r="A934" s="102" t="s">
        <v>1173</v>
      </c>
      <c r="B934" s="85" t="s">
        <v>742</v>
      </c>
      <c r="C934" s="112" t="s">
        <v>3235</v>
      </c>
      <c r="D934" s="143" t="s">
        <v>4294</v>
      </c>
      <c r="E934" s="145"/>
      <c r="I934" s="106" t="s">
        <v>4027</v>
      </c>
      <c r="J934" s="86">
        <v>100</v>
      </c>
      <c r="L934" s="100">
        <v>2000</v>
      </c>
      <c r="M934" s="100">
        <v>2400</v>
      </c>
      <c r="N934" s="136">
        <f t="shared" si="41"/>
        <v>4.8</v>
      </c>
      <c r="R934" s="86" t="s">
        <v>3077</v>
      </c>
      <c r="T934" s="91">
        <v>0.75</v>
      </c>
      <c r="Z934" s="87" t="s">
        <v>3051</v>
      </c>
      <c r="AB934" s="86" t="s">
        <v>2769</v>
      </c>
      <c r="AC934" s="98" t="s">
        <v>3236</v>
      </c>
    </row>
    <row r="935" spans="1:29" x14ac:dyDescent="0.4">
      <c r="A935" s="102" t="s">
        <v>3175</v>
      </c>
      <c r="B935" s="85" t="s">
        <v>768</v>
      </c>
      <c r="C935" s="84" t="s">
        <v>2357</v>
      </c>
      <c r="D935" s="143" t="s">
        <v>4294</v>
      </c>
      <c r="E935" s="145"/>
      <c r="I935" s="106" t="s">
        <v>4027</v>
      </c>
      <c r="J935" s="86">
        <v>125</v>
      </c>
      <c r="N935" s="136">
        <f t="shared" si="41"/>
        <v>0</v>
      </c>
      <c r="R935" s="86"/>
      <c r="S935" s="86" t="s">
        <v>3185</v>
      </c>
      <c r="AC935" s="98" t="s">
        <v>3029</v>
      </c>
    </row>
    <row r="936" spans="1:29" x14ac:dyDescent="0.4">
      <c r="A936" s="102" t="s">
        <v>327</v>
      </c>
      <c r="B936" s="85" t="s">
        <v>2714</v>
      </c>
      <c r="C936" s="84" t="s">
        <v>2379</v>
      </c>
      <c r="D936" s="143" t="s">
        <v>4294</v>
      </c>
      <c r="E936" s="145"/>
      <c r="I936" s="106" t="s">
        <v>4027</v>
      </c>
      <c r="J936" s="86">
        <v>125</v>
      </c>
      <c r="L936" s="100">
        <v>3000</v>
      </c>
      <c r="M936" s="100">
        <v>3000</v>
      </c>
      <c r="N936" s="136">
        <f t="shared" si="41"/>
        <v>9</v>
      </c>
      <c r="R936" s="86"/>
      <c r="S936" s="86" t="s">
        <v>2768</v>
      </c>
      <c r="AC936" s="98" t="s">
        <v>3261</v>
      </c>
    </row>
    <row r="937" spans="1:29" x14ac:dyDescent="0.4">
      <c r="A937" s="102" t="s">
        <v>520</v>
      </c>
      <c r="B937" s="85" t="s">
        <v>862</v>
      </c>
      <c r="C937" s="84" t="s">
        <v>2884</v>
      </c>
      <c r="D937" s="143" t="s">
        <v>4294</v>
      </c>
      <c r="E937" s="145"/>
      <c r="H937" s="86">
        <v>1</v>
      </c>
      <c r="I937" s="106" t="s">
        <v>4027</v>
      </c>
      <c r="J937" s="86">
        <v>125</v>
      </c>
      <c r="L937" s="100">
        <v>3300</v>
      </c>
      <c r="M937" s="100">
        <v>3100</v>
      </c>
      <c r="N937" s="136">
        <f t="shared" si="41"/>
        <v>10.23</v>
      </c>
      <c r="R937" s="86"/>
      <c r="S937" s="86" t="s">
        <v>2768</v>
      </c>
      <c r="T937" s="91">
        <v>0.75</v>
      </c>
      <c r="U937" s="92">
        <v>10</v>
      </c>
      <c r="Z937" s="99" t="s">
        <v>3051</v>
      </c>
      <c r="AB937" s="86" t="s">
        <v>2769</v>
      </c>
      <c r="AC937" s="98" t="s">
        <v>2042</v>
      </c>
    </row>
    <row r="938" spans="1:29" x14ac:dyDescent="0.4">
      <c r="A938" s="102" t="s">
        <v>115</v>
      </c>
      <c r="B938" s="85" t="s">
        <v>626</v>
      </c>
      <c r="C938" s="84" t="s">
        <v>4242</v>
      </c>
      <c r="D938" s="143" t="s">
        <v>4294</v>
      </c>
      <c r="E938" s="145"/>
      <c r="I938" s="106"/>
      <c r="R938" s="86"/>
      <c r="AC938" s="98" t="s">
        <v>1695</v>
      </c>
    </row>
    <row r="939" spans="1:29" x14ac:dyDescent="0.4">
      <c r="A939" s="102" t="s">
        <v>485</v>
      </c>
      <c r="B939" s="85" t="s">
        <v>840</v>
      </c>
      <c r="C939" s="84" t="s">
        <v>2106</v>
      </c>
      <c r="D939" s="143" t="s">
        <v>4294</v>
      </c>
      <c r="E939" s="145"/>
      <c r="I939" s="106" t="s">
        <v>3001</v>
      </c>
      <c r="R939" s="86"/>
      <c r="AC939" s="98" t="s">
        <v>2840</v>
      </c>
    </row>
    <row r="940" spans="1:29" x14ac:dyDescent="0.4">
      <c r="A940" s="102" t="s">
        <v>472</v>
      </c>
      <c r="B940" s="85" t="s">
        <v>833</v>
      </c>
      <c r="C940" s="84" t="s">
        <v>4288</v>
      </c>
      <c r="D940" s="143" t="s">
        <v>4294</v>
      </c>
      <c r="E940" s="145"/>
      <c r="I940" s="106" t="s">
        <v>2998</v>
      </c>
      <c r="L940" s="100">
        <v>5000</v>
      </c>
      <c r="M940" s="100">
        <v>5000</v>
      </c>
      <c r="N940" s="136">
        <f>L940*M940/1000000</f>
        <v>25</v>
      </c>
      <c r="R940" s="86"/>
      <c r="AC940" s="98" t="s">
        <v>3030</v>
      </c>
    </row>
    <row r="941" spans="1:29" x14ac:dyDescent="0.4">
      <c r="A941" s="102" t="s">
        <v>1288</v>
      </c>
      <c r="B941" s="85" t="s">
        <v>1290</v>
      </c>
      <c r="C941" s="84" t="s">
        <v>3861</v>
      </c>
      <c r="E941" s="145"/>
      <c r="I941" s="106" t="s">
        <v>4027</v>
      </c>
      <c r="L941" s="100">
        <v>3600</v>
      </c>
      <c r="M941" s="100">
        <v>3600</v>
      </c>
      <c r="N941" s="136">
        <f>L941*M941/1000000</f>
        <v>12.96</v>
      </c>
      <c r="R941" s="86"/>
      <c r="S941" s="86" t="s">
        <v>2768</v>
      </c>
      <c r="AC941" s="98" t="s">
        <v>3665</v>
      </c>
    </row>
    <row r="942" spans="1:29" x14ac:dyDescent="0.4">
      <c r="A942" s="102" t="s">
        <v>63</v>
      </c>
      <c r="B942" s="85" t="s">
        <v>595</v>
      </c>
      <c r="C942" s="84" t="s">
        <v>893</v>
      </c>
      <c r="E942" s="145"/>
      <c r="I942" s="106"/>
      <c r="L942" s="100">
        <v>2900</v>
      </c>
      <c r="M942" s="100">
        <v>3600</v>
      </c>
      <c r="N942" s="136">
        <f>L942*M942/1000000</f>
        <v>10.44</v>
      </c>
      <c r="Q942" s="86" t="s">
        <v>3840</v>
      </c>
      <c r="R942" s="86"/>
      <c r="S942" s="86" t="s">
        <v>2768</v>
      </c>
      <c r="AC942" s="98" t="s">
        <v>3636</v>
      </c>
    </row>
    <row r="943" spans="1:29" x14ac:dyDescent="0.4">
      <c r="A943" s="102" t="s">
        <v>1168</v>
      </c>
      <c r="B943" s="85" t="s">
        <v>740</v>
      </c>
      <c r="C943" s="84" t="s">
        <v>2610</v>
      </c>
      <c r="E943" s="145"/>
      <c r="I943" s="106" t="s">
        <v>3028</v>
      </c>
      <c r="R943" s="86"/>
      <c r="U943" s="92" t="s">
        <v>3194</v>
      </c>
      <c r="AC943" s="98" t="s">
        <v>2609</v>
      </c>
    </row>
    <row r="944" spans="1:29" x14ac:dyDescent="0.4">
      <c r="A944" s="102" t="s">
        <v>77</v>
      </c>
      <c r="B944" s="85" t="s">
        <v>600</v>
      </c>
      <c r="C944" s="84" t="s">
        <v>900</v>
      </c>
      <c r="E944" s="145"/>
      <c r="I944" s="106" t="s">
        <v>4027</v>
      </c>
      <c r="L944" s="100">
        <v>3100</v>
      </c>
      <c r="M944" s="100">
        <v>3550</v>
      </c>
      <c r="N944" s="136">
        <f t="shared" ref="N944:N950" si="42">L944*M944/1000000</f>
        <v>11.005000000000001</v>
      </c>
      <c r="R944" s="86"/>
      <c r="AC944" s="98" t="s">
        <v>3835</v>
      </c>
    </row>
    <row r="945" spans="1:29" x14ac:dyDescent="0.4">
      <c r="A945" s="102" t="s">
        <v>1541</v>
      </c>
      <c r="B945" s="85" t="s">
        <v>609</v>
      </c>
      <c r="C945" s="84" t="s">
        <v>900</v>
      </c>
      <c r="E945" s="145"/>
      <c r="I945" s="106" t="s">
        <v>4027</v>
      </c>
      <c r="N945" s="136">
        <f t="shared" si="42"/>
        <v>0</v>
      </c>
      <c r="R945" s="86"/>
      <c r="S945" s="86" t="s">
        <v>2768</v>
      </c>
      <c r="AC945" s="98" t="s">
        <v>3606</v>
      </c>
    </row>
    <row r="946" spans="1:29" x14ac:dyDescent="0.4">
      <c r="A946" s="102" t="s">
        <v>155</v>
      </c>
      <c r="B946" s="85" t="s">
        <v>641</v>
      </c>
      <c r="C946" s="84" t="s">
        <v>4074</v>
      </c>
      <c r="D946" s="143" t="s">
        <v>4122</v>
      </c>
      <c r="E946" s="145"/>
      <c r="F946" s="96" t="s">
        <v>4113</v>
      </c>
      <c r="G946" s="143" t="s">
        <v>4114</v>
      </c>
      <c r="I946" s="106" t="s">
        <v>4027</v>
      </c>
      <c r="L946" s="100">
        <v>2450</v>
      </c>
      <c r="M946" s="100">
        <v>3000</v>
      </c>
      <c r="N946" s="136">
        <f t="shared" si="42"/>
        <v>7.35</v>
      </c>
      <c r="P946" s="63" t="s">
        <v>3177</v>
      </c>
      <c r="Q946" s="86" t="s">
        <v>3053</v>
      </c>
      <c r="R946" s="86"/>
      <c r="S946" s="86" t="s">
        <v>2766</v>
      </c>
      <c r="T946" s="91">
        <v>0.75</v>
      </c>
      <c r="Z946" s="87" t="s">
        <v>3051</v>
      </c>
      <c r="AC946" s="98" t="s">
        <v>3801</v>
      </c>
    </row>
    <row r="947" spans="1:29" x14ac:dyDescent="0.4">
      <c r="A947" s="102" t="s">
        <v>1992</v>
      </c>
      <c r="B947" s="85" t="s">
        <v>660</v>
      </c>
      <c r="C947" s="84" t="s">
        <v>4074</v>
      </c>
      <c r="D947" s="143" t="s">
        <v>4122</v>
      </c>
      <c r="E947" s="145"/>
      <c r="F947" s="96" t="s">
        <v>4113</v>
      </c>
      <c r="G947" s="143" t="s">
        <v>4114</v>
      </c>
      <c r="I947" s="106" t="s">
        <v>4027</v>
      </c>
      <c r="J947" s="86">
        <v>125</v>
      </c>
      <c r="L947" s="100">
        <v>4300</v>
      </c>
      <c r="M947" s="100">
        <v>4425</v>
      </c>
      <c r="N947" s="136">
        <f t="shared" si="42"/>
        <v>19.0275</v>
      </c>
      <c r="O947" s="88">
        <v>4825</v>
      </c>
      <c r="P947" s="90" t="s">
        <v>1132</v>
      </c>
      <c r="Q947" s="86" t="s">
        <v>3053</v>
      </c>
      <c r="R947" s="86" t="s">
        <v>3078</v>
      </c>
      <c r="S947" s="86" t="s">
        <v>2768</v>
      </c>
      <c r="T947" s="91">
        <v>1.5</v>
      </c>
      <c r="V947" s="93">
        <v>1.5</v>
      </c>
      <c r="AA947" s="116" t="s">
        <v>3052</v>
      </c>
      <c r="AB947" s="86" t="s">
        <v>2769</v>
      </c>
      <c r="AC947" s="98" t="s">
        <v>3979</v>
      </c>
    </row>
    <row r="948" spans="1:29" x14ac:dyDescent="0.4">
      <c r="A948" s="102" t="s">
        <v>1993</v>
      </c>
      <c r="B948" s="85" t="s">
        <v>660</v>
      </c>
      <c r="C948" s="84" t="s">
        <v>4074</v>
      </c>
      <c r="D948" s="143" t="s">
        <v>4122</v>
      </c>
      <c r="E948" s="145"/>
      <c r="F948" s="96" t="s">
        <v>4113</v>
      </c>
      <c r="G948" s="143" t="s">
        <v>4114</v>
      </c>
      <c r="I948" s="106" t="s">
        <v>4027</v>
      </c>
      <c r="J948" s="86">
        <v>125</v>
      </c>
      <c r="L948" s="100">
        <v>4300</v>
      </c>
      <c r="M948" s="100">
        <v>4400</v>
      </c>
      <c r="N948" s="136">
        <f t="shared" si="42"/>
        <v>18.920000000000002</v>
      </c>
      <c r="O948" s="88">
        <v>4800</v>
      </c>
      <c r="P948" s="90" t="s">
        <v>1132</v>
      </c>
      <c r="Q948" s="86" t="s">
        <v>3053</v>
      </c>
      <c r="R948" s="86" t="s">
        <v>3078</v>
      </c>
      <c r="S948" s="86" t="s">
        <v>2768</v>
      </c>
      <c r="T948" s="91">
        <v>1.5</v>
      </c>
      <c r="V948" s="93">
        <v>1.5</v>
      </c>
      <c r="AA948" s="116" t="s">
        <v>3052</v>
      </c>
      <c r="AB948" s="86" t="s">
        <v>2769</v>
      </c>
      <c r="AC948" s="98" t="s">
        <v>3729</v>
      </c>
    </row>
    <row r="949" spans="1:29" x14ac:dyDescent="0.4">
      <c r="A949" s="102" t="s">
        <v>1994</v>
      </c>
      <c r="B949" s="85" t="s">
        <v>660</v>
      </c>
      <c r="C949" s="84" t="s">
        <v>4074</v>
      </c>
      <c r="D949" s="143" t="s">
        <v>4122</v>
      </c>
      <c r="E949" s="145"/>
      <c r="F949" s="96" t="s">
        <v>4113</v>
      </c>
      <c r="G949" s="143" t="s">
        <v>4114</v>
      </c>
      <c r="I949" s="106" t="s">
        <v>4027</v>
      </c>
      <c r="J949" s="86">
        <v>100</v>
      </c>
      <c r="L949" s="100">
        <v>2350</v>
      </c>
      <c r="M949" s="100">
        <v>3300</v>
      </c>
      <c r="N949" s="136">
        <f t="shared" si="42"/>
        <v>7.7549999999999999</v>
      </c>
      <c r="P949" s="63" t="s">
        <v>3177</v>
      </c>
      <c r="Q949" s="86" t="s">
        <v>3053</v>
      </c>
      <c r="R949" s="86"/>
      <c r="S949" s="86" t="s">
        <v>2768</v>
      </c>
      <c r="T949" s="91">
        <v>0.75</v>
      </c>
      <c r="V949" s="93">
        <v>1</v>
      </c>
      <c r="Z949" s="87" t="s">
        <v>3051</v>
      </c>
      <c r="AB949" s="86" t="s">
        <v>2769</v>
      </c>
      <c r="AC949" s="98" t="s">
        <v>3754</v>
      </c>
    </row>
    <row r="950" spans="1:29" x14ac:dyDescent="0.4">
      <c r="A950" s="102" t="s">
        <v>344</v>
      </c>
      <c r="B950" s="85" t="s">
        <v>2718</v>
      </c>
      <c r="C950" s="84" t="s">
        <v>4074</v>
      </c>
      <c r="D950" s="143" t="s">
        <v>4122</v>
      </c>
      <c r="E950" s="145"/>
      <c r="F950" s="96" t="s">
        <v>4113</v>
      </c>
      <c r="G950" s="143" t="s">
        <v>4114</v>
      </c>
      <c r="I950" s="106" t="s">
        <v>4027</v>
      </c>
      <c r="J950" s="86">
        <v>125</v>
      </c>
      <c r="L950" s="100">
        <v>2550</v>
      </c>
      <c r="M950" s="100">
        <v>3200</v>
      </c>
      <c r="N950" s="136">
        <f t="shared" si="42"/>
        <v>8.16</v>
      </c>
      <c r="O950" s="88">
        <v>3600</v>
      </c>
      <c r="P950" s="90" t="s">
        <v>1132</v>
      </c>
      <c r="Q950" s="86" t="s">
        <v>3053</v>
      </c>
      <c r="R950" s="86"/>
      <c r="S950" s="86" t="s">
        <v>2766</v>
      </c>
      <c r="T950" s="91">
        <v>0.75</v>
      </c>
      <c r="U950" s="92">
        <v>10</v>
      </c>
      <c r="AA950" s="99" t="s">
        <v>3052</v>
      </c>
      <c r="AC950" s="98" t="s">
        <v>3163</v>
      </c>
    </row>
    <row r="951" spans="1:29" x14ac:dyDescent="0.4">
      <c r="A951" s="109" t="s">
        <v>356</v>
      </c>
      <c r="B951" s="85" t="s">
        <v>777</v>
      </c>
      <c r="C951" s="84" t="s">
        <v>4074</v>
      </c>
      <c r="D951" s="143" t="s">
        <v>4122</v>
      </c>
      <c r="E951" s="145"/>
      <c r="F951" s="96" t="s">
        <v>4113</v>
      </c>
      <c r="G951" s="143" t="s">
        <v>4114</v>
      </c>
      <c r="I951" s="106" t="s">
        <v>3001</v>
      </c>
      <c r="R951" s="86"/>
      <c r="AC951" s="98" t="s">
        <v>3144</v>
      </c>
    </row>
    <row r="952" spans="1:29" x14ac:dyDescent="0.4">
      <c r="A952" s="102" t="s">
        <v>356</v>
      </c>
      <c r="B952" s="85" t="s">
        <v>778</v>
      </c>
      <c r="C952" s="84" t="s">
        <v>4074</v>
      </c>
      <c r="D952" s="143" t="s">
        <v>4122</v>
      </c>
      <c r="E952" s="145"/>
      <c r="F952" s="96" t="s">
        <v>4113</v>
      </c>
      <c r="G952" s="143" t="s">
        <v>4114</v>
      </c>
      <c r="I952" s="106" t="s">
        <v>4027</v>
      </c>
      <c r="J952" s="86">
        <v>100</v>
      </c>
      <c r="L952" s="100">
        <v>2300</v>
      </c>
      <c r="M952" s="100">
        <v>2900</v>
      </c>
      <c r="N952" s="136">
        <f t="shared" ref="N952:N958" si="43">L952*M952/1000000</f>
        <v>6.67</v>
      </c>
      <c r="P952" s="90" t="s">
        <v>1132</v>
      </c>
      <c r="Q952" s="86" t="s">
        <v>3053</v>
      </c>
      <c r="R952" s="86" t="s">
        <v>3078</v>
      </c>
      <c r="S952" s="86" t="s">
        <v>2766</v>
      </c>
      <c r="T952" s="91">
        <v>0.75</v>
      </c>
      <c r="AB952" s="86" t="s">
        <v>2769</v>
      </c>
      <c r="AC952" s="98" t="s">
        <v>3131</v>
      </c>
    </row>
    <row r="953" spans="1:29" x14ac:dyDescent="0.4">
      <c r="A953" s="102" t="s">
        <v>395</v>
      </c>
      <c r="B953" s="85" t="s">
        <v>798</v>
      </c>
      <c r="C953" s="84" t="s">
        <v>4074</v>
      </c>
      <c r="D953" s="143" t="s">
        <v>4122</v>
      </c>
      <c r="E953" s="145"/>
      <c r="F953" s="96" t="s">
        <v>4113</v>
      </c>
      <c r="G953" s="143" t="s">
        <v>4114</v>
      </c>
      <c r="I953" s="106" t="s">
        <v>4027</v>
      </c>
      <c r="J953" s="86">
        <v>125</v>
      </c>
      <c r="L953" s="100">
        <v>2500</v>
      </c>
      <c r="M953" s="100">
        <v>3300</v>
      </c>
      <c r="N953" s="136">
        <f t="shared" si="43"/>
        <v>8.25</v>
      </c>
      <c r="P953" s="90" t="s">
        <v>1132</v>
      </c>
      <c r="Q953" s="86" t="s">
        <v>3053</v>
      </c>
      <c r="R953" s="86"/>
      <c r="S953" s="86" t="s">
        <v>2768</v>
      </c>
      <c r="T953" s="91">
        <v>0.75</v>
      </c>
      <c r="U953" s="92">
        <v>10</v>
      </c>
      <c r="AA953" s="99" t="s">
        <v>3052</v>
      </c>
      <c r="AB953" s="86" t="s">
        <v>2769</v>
      </c>
      <c r="AC953" s="98" t="s">
        <v>3925</v>
      </c>
    </row>
    <row r="954" spans="1:29" x14ac:dyDescent="0.4">
      <c r="A954" s="102" t="s">
        <v>465</v>
      </c>
      <c r="B954" s="85" t="s">
        <v>2747</v>
      </c>
      <c r="C954" s="84" t="s">
        <v>4074</v>
      </c>
      <c r="D954" s="143" t="s">
        <v>4122</v>
      </c>
      <c r="E954" s="145"/>
      <c r="F954" s="96" t="s">
        <v>4113</v>
      </c>
      <c r="G954" s="143" t="s">
        <v>4114</v>
      </c>
      <c r="I954" s="106" t="s">
        <v>4027</v>
      </c>
      <c r="J954" s="86">
        <v>125</v>
      </c>
      <c r="L954" s="100">
        <v>1750</v>
      </c>
      <c r="M954" s="100">
        <v>4100</v>
      </c>
      <c r="N954" s="136">
        <f t="shared" si="43"/>
        <v>7.1749999999999998</v>
      </c>
      <c r="P954" s="90" t="s">
        <v>1132</v>
      </c>
      <c r="Q954" s="86" t="s">
        <v>3053</v>
      </c>
      <c r="R954" s="86"/>
      <c r="S954" s="86" t="s">
        <v>2766</v>
      </c>
      <c r="T954" s="91">
        <v>0.75</v>
      </c>
      <c r="U954" s="92">
        <v>10</v>
      </c>
      <c r="V954" s="93">
        <v>6</v>
      </c>
      <c r="W954" s="94" t="s">
        <v>3050</v>
      </c>
      <c r="AB954" s="86" t="s">
        <v>2769</v>
      </c>
      <c r="AC954" s="98" t="s">
        <v>2867</v>
      </c>
    </row>
    <row r="955" spans="1:29" x14ac:dyDescent="0.4">
      <c r="A955" s="102" t="s">
        <v>508</v>
      </c>
      <c r="B955" s="85" t="s">
        <v>854</v>
      </c>
      <c r="C955" s="84" t="s">
        <v>4074</v>
      </c>
      <c r="D955" s="143" t="s">
        <v>4122</v>
      </c>
      <c r="E955" s="145"/>
      <c r="F955" s="96" t="s">
        <v>4113</v>
      </c>
      <c r="G955" s="143" t="s">
        <v>4114</v>
      </c>
      <c r="I955" s="106" t="s">
        <v>4027</v>
      </c>
      <c r="J955" s="86">
        <v>125</v>
      </c>
      <c r="L955" s="100">
        <v>2200</v>
      </c>
      <c r="M955" s="100">
        <v>2900</v>
      </c>
      <c r="N955" s="136">
        <f t="shared" si="43"/>
        <v>6.38</v>
      </c>
      <c r="P955" s="90" t="s">
        <v>1132</v>
      </c>
      <c r="Q955" s="86" t="s">
        <v>3053</v>
      </c>
      <c r="R955" s="86"/>
      <c r="S955" s="86" t="s">
        <v>2768</v>
      </c>
      <c r="T955" s="91">
        <v>0.75</v>
      </c>
      <c r="U955" s="92">
        <v>10</v>
      </c>
      <c r="V955" s="93">
        <v>2.5</v>
      </c>
      <c r="W955" s="86" t="s">
        <v>3050</v>
      </c>
      <c r="AB955" s="86" t="s">
        <v>2769</v>
      </c>
      <c r="AC955" s="98" t="s">
        <v>3045</v>
      </c>
    </row>
    <row r="956" spans="1:29" x14ac:dyDescent="0.4">
      <c r="A956" s="102" t="s">
        <v>523</v>
      </c>
      <c r="B956" s="85" t="s">
        <v>864</v>
      </c>
      <c r="C956" s="84" t="s">
        <v>4074</v>
      </c>
      <c r="D956" s="143" t="s">
        <v>4122</v>
      </c>
      <c r="E956" s="145"/>
      <c r="F956" s="96" t="s">
        <v>4113</v>
      </c>
      <c r="G956" s="143" t="s">
        <v>4114</v>
      </c>
      <c r="H956" s="86">
        <v>1</v>
      </c>
      <c r="I956" s="106" t="s">
        <v>4027</v>
      </c>
      <c r="J956" s="86">
        <v>125</v>
      </c>
      <c r="L956" s="100">
        <v>4000</v>
      </c>
      <c r="M956" s="100">
        <v>4150</v>
      </c>
      <c r="N956" s="136">
        <f t="shared" si="43"/>
        <v>16.600000000000001</v>
      </c>
      <c r="P956" s="90" t="s">
        <v>1132</v>
      </c>
      <c r="Q956" s="86" t="s">
        <v>3053</v>
      </c>
      <c r="R956" s="86"/>
      <c r="S956" s="86" t="s">
        <v>2768</v>
      </c>
      <c r="T956" s="91">
        <v>1.5</v>
      </c>
      <c r="U956" s="92">
        <v>15</v>
      </c>
      <c r="V956" s="93">
        <v>1</v>
      </c>
      <c r="W956" s="94" t="s">
        <v>3050</v>
      </c>
      <c r="AB956" s="86" t="s">
        <v>2769</v>
      </c>
      <c r="AC956" s="98" t="s">
        <v>2037</v>
      </c>
    </row>
    <row r="957" spans="1:29" x14ac:dyDescent="0.4">
      <c r="A957" s="83" t="s">
        <v>4068</v>
      </c>
      <c r="B957" s="64" t="s">
        <v>4073</v>
      </c>
      <c r="C957" s="84" t="s">
        <v>4074</v>
      </c>
      <c r="D957" s="143" t="s">
        <v>4122</v>
      </c>
      <c r="E957" s="145"/>
      <c r="F957" s="96" t="s">
        <v>4113</v>
      </c>
      <c r="G957" s="143" t="s">
        <v>4114</v>
      </c>
      <c r="H957" s="86">
        <v>1</v>
      </c>
      <c r="I957" s="106" t="s">
        <v>4027</v>
      </c>
      <c r="J957" s="86">
        <v>125</v>
      </c>
      <c r="L957" s="89">
        <v>1800</v>
      </c>
      <c r="M957" s="89">
        <v>2900</v>
      </c>
      <c r="N957" s="136">
        <f t="shared" si="43"/>
        <v>5.22</v>
      </c>
      <c r="P957" s="90" t="s">
        <v>1132</v>
      </c>
      <c r="Q957" s="86" t="s">
        <v>4008</v>
      </c>
      <c r="R957" s="86" t="s">
        <v>4030</v>
      </c>
      <c r="S957" s="86" t="s">
        <v>2766</v>
      </c>
      <c r="T957" s="91">
        <v>0.75</v>
      </c>
      <c r="U957" s="92">
        <f>IF(T957="NA","-",IF(T957&gt;=1.5,15,IF(T957=0.75,10,"")))</f>
        <v>10</v>
      </c>
      <c r="V957" s="93">
        <v>1</v>
      </c>
      <c r="W957" s="94" t="s">
        <v>4064</v>
      </c>
      <c r="X957" s="86" t="s">
        <v>4037</v>
      </c>
      <c r="AB957" s="86" t="s">
        <v>2769</v>
      </c>
    </row>
    <row r="958" spans="1:29" x14ac:dyDescent="0.4">
      <c r="C958" s="84"/>
      <c r="I958" s="106"/>
      <c r="L958" s="89"/>
      <c r="M958" s="89"/>
      <c r="N958" s="136">
        <f t="shared" si="43"/>
        <v>0</v>
      </c>
      <c r="R958" s="86"/>
    </row>
    <row r="959" spans="1:29" x14ac:dyDescent="0.4">
      <c r="E959" s="145"/>
      <c r="Y959" s="99"/>
    </row>
    <row r="960" spans="1:29" x14ac:dyDescent="0.4">
      <c r="E960" s="145"/>
    </row>
    <row r="961" spans="5:5" x14ac:dyDescent="0.4">
      <c r="E961" s="145"/>
    </row>
    <row r="962" spans="5:5" x14ac:dyDescent="0.4">
      <c r="E962" s="145"/>
    </row>
    <row r="963" spans="5:5" x14ac:dyDescent="0.4">
      <c r="E963" s="145"/>
    </row>
    <row r="964" spans="5:5" x14ac:dyDescent="0.4">
      <c r="E964" s="145"/>
    </row>
    <row r="965" spans="5:5" x14ac:dyDescent="0.4">
      <c r="E965" s="145"/>
    </row>
    <row r="966" spans="5:5" x14ac:dyDescent="0.4">
      <c r="E966" s="145"/>
    </row>
    <row r="967" spans="5:5" x14ac:dyDescent="0.4">
      <c r="E967" s="145"/>
    </row>
    <row r="968" spans="5:5" x14ac:dyDescent="0.4">
      <c r="E968" s="145"/>
    </row>
    <row r="969" spans="5:5" x14ac:dyDescent="0.4">
      <c r="E969" s="145"/>
    </row>
  </sheetData>
  <autoFilter ref="A3:AC958" xr:uid="{D73DB8A8-3FA6-4C08-B022-57A592040621}">
    <sortState xmlns:xlrd2="http://schemas.microsoft.com/office/spreadsheetml/2017/richdata2" ref="A486:AC498">
      <sortCondition ref="A3:A958"/>
    </sortState>
  </autoFilter>
  <mergeCells count="8">
    <mergeCell ref="Y2:AA2"/>
    <mergeCell ref="A1:A2"/>
    <mergeCell ref="H1:H2"/>
    <mergeCell ref="B1:B2"/>
    <mergeCell ref="I1:O1"/>
    <mergeCell ref="C1:C2"/>
    <mergeCell ref="D1:D2"/>
    <mergeCell ref="E1:G2"/>
  </mergeCells>
  <phoneticPr fontId="3" type="noConversion"/>
  <conditionalFormatting sqref="I4:I958">
    <cfRule type="expression" dxfId="20" priority="1">
      <formula>$I4="ETC"</formula>
    </cfRule>
    <cfRule type="expression" dxfId="19" priority="2">
      <formula>$I4="CB"</formula>
    </cfRule>
    <cfRule type="expression" dxfId="18" priority="3">
      <formula>$I4="REP"</formula>
    </cfRule>
    <cfRule type="expression" dxfId="17" priority="4">
      <formula>$I4="CUR"</formula>
    </cfRule>
    <cfRule type="expression" dxfId="16" priority="5">
      <formula>$I4="CAD"</formula>
    </cfRule>
    <cfRule type="expression" dxfId="15" priority="6">
      <formula>$I4="FR"</formula>
    </cfRule>
    <cfRule type="expression" dxfId="14" priority="7">
      <formula>$I4="SP"</formula>
    </cfRule>
    <cfRule type="expression" dxfId="13" priority="8">
      <formula>$I4="PE"</formula>
    </cfRule>
  </conditionalFormatting>
  <conditionalFormatting sqref="Q4:Q958">
    <cfRule type="expression" dxfId="12" priority="16">
      <formula>ISNUMBER(SEARCH("WT",$Q4))</formula>
    </cfRule>
    <cfRule type="expression" dxfId="11" priority="17">
      <formula>ISNUMBER(SEARCH("GY",$Q4))</formula>
    </cfRule>
    <cfRule type="expression" dxfId="10" priority="18">
      <formula>ISNUMBER(SEARCH("GN",$Q4))</formula>
    </cfRule>
    <cfRule type="expression" dxfId="9" priority="19">
      <formula>ISNUMBER(SEARCH("OR",$Q4))</formula>
    </cfRule>
    <cfRule type="expression" dxfId="8" priority="20">
      <formula>ISNUMBER(SEARCH("YL",$Q4))</formula>
    </cfRule>
    <cfRule type="expression" dxfId="7" priority="21">
      <formula>ISNUMBER(SEARCH("RD",$Q4))</formula>
    </cfRule>
    <cfRule type="expression" dxfId="6" priority="25">
      <formula>ISNUMBER(SEARCH("BL",$Q4))</formula>
    </cfRule>
  </conditionalFormatting>
  <conditionalFormatting sqref="R4:R958">
    <cfRule type="expression" dxfId="5" priority="10">
      <formula>ISNUMBER(SEARCH("GY",$R4))</formula>
    </cfRule>
    <cfRule type="expression" dxfId="4" priority="11">
      <formula>ISNUMBER(SEARCH("GN",$R4))</formula>
    </cfRule>
    <cfRule type="expression" dxfId="3" priority="12">
      <formula>ISNUMBER(SEARCH("OR",$R4))</formula>
    </cfRule>
    <cfRule type="expression" dxfId="2" priority="13">
      <formula>ISNUMBER(SEARCH("YL",$R4))</formula>
    </cfRule>
    <cfRule type="expression" dxfId="1" priority="14">
      <formula>ISNUMBER(SEARCH("RD",$R4))</formula>
    </cfRule>
    <cfRule type="expression" dxfId="0" priority="15">
      <formula>ISNUMBER(SEARCH("BL",$R4))</formula>
    </cfRule>
  </conditionalFormatting>
  <hyperlinks>
    <hyperlink ref="F285" r:id="rId1" display="mailto:Sydney.Muller@farmpride.com.au" xr:uid="{F091C54F-750F-4215-9B94-BF75BE75E2E8}"/>
    <hyperlink ref="F286" r:id="rId2" display="mailto:Sydney.Muller@farmpride.com.au" xr:uid="{795D397F-347F-4EBC-88B4-F55AE39F45AE}"/>
    <hyperlink ref="F214" r:id="rId3" xr:uid="{3A4D37AC-5F70-4594-978C-F469D89B3006}"/>
    <hyperlink ref="F215" r:id="rId4" xr:uid="{DAB431A6-3B97-41E4-9B82-A32934F7F8D6}"/>
    <hyperlink ref="F957" r:id="rId5" xr:uid="{9213DB34-BD3A-4AD1-BE70-B8B2F328C680}"/>
    <hyperlink ref="F71" r:id="rId6" display="mailto:catherine.howard@awgd.net.au" xr:uid="{B9F943F3-E5FA-40A7-BB10-70F95D562410}"/>
    <hyperlink ref="F288" r:id="rId7" display="mailto:Sydney.Muller@farmpride.com.au" xr:uid="{6EAEE8E6-1339-43DE-901B-F9E8F0EEFE59}"/>
    <hyperlink ref="F287" r:id="rId8" display="mailto:Sydney.Muller@farmpride.com.au" xr:uid="{032EC475-F346-4698-B92D-3734B2A8B664}"/>
    <hyperlink ref="F391" r:id="rId9" display="mailto:paul@gazzolafarms.com.au" xr:uid="{2A7FCEF3-5767-43A9-B04E-DA86BFB39026}"/>
    <hyperlink ref="F392" r:id="rId10" display="mailto:paul@gazzolafarms.com.au" xr:uid="{77174F22-E583-4AEB-9C09-5C94534363BD}"/>
    <hyperlink ref="F393" r:id="rId11" display="mailto:paul@gazzolafarms.com.au" xr:uid="{2B6A29F9-4E17-4EC5-A61D-210C5583FC5A}"/>
    <hyperlink ref="F620" r:id="rId12" xr:uid="{7BBB76AC-4D5E-4895-8BD2-2BE821443B46}"/>
    <hyperlink ref="F619" r:id="rId13" xr:uid="{77359F33-B28D-4189-84F7-40861CC846C7}"/>
    <hyperlink ref="F643" r:id="rId14" xr:uid="{08B85203-261F-4B15-A173-0A5BE9A23D23}"/>
    <hyperlink ref="F339" r:id="rId15" xr:uid="{913D26D0-986F-4EB3-9F63-EAA55CADAF11}"/>
    <hyperlink ref="F134" r:id="rId16" display="mailto:gerty@biodynamic.om.au" xr:uid="{58EC67DE-848D-4E3A-A0A7-9BFBD2208F41}"/>
    <hyperlink ref="F135" r:id="rId17" display="mailto:gerty@biodynamic.om.au" xr:uid="{453D65BE-19DD-461A-997C-B7A51E092757}"/>
    <hyperlink ref="F340" r:id="rId18" xr:uid="{536293D9-5B5F-4A65-9F47-AA125B15A648}"/>
    <hyperlink ref="F283" r:id="rId19" display="mailto:Sydney.Muller@farmpride.com.au" xr:uid="{F81C642F-D596-4CE8-96B8-7D308AA03B5D}"/>
    <hyperlink ref="F282" r:id="rId20" display="mailto:Sydney.Muller@farmpride.com.au" xr:uid="{325CC7C5-F08C-4009-9FC9-8139A5B6E57B}"/>
    <hyperlink ref="F956" r:id="rId21" xr:uid="{3DDA7AAF-72A3-4CDF-86BD-BA7B9387FD52}"/>
    <hyperlink ref="F955" r:id="rId22" xr:uid="{5DD71852-63E5-49A2-B874-6C5EF956336F}"/>
    <hyperlink ref="F954" r:id="rId23" xr:uid="{21A5B83E-79E0-443F-AC5E-3A9AD46F3D14}"/>
    <hyperlink ref="F953" r:id="rId24" xr:uid="{7954AABE-EEE1-470A-BE19-C30C3C4735F3}"/>
    <hyperlink ref="F951" r:id="rId25" xr:uid="{815BD8F1-519E-4F5A-A69F-265B06F6AC30}"/>
    <hyperlink ref="F952" r:id="rId26" xr:uid="{36C1AE4B-D21B-4B02-B692-C745E8040246}"/>
    <hyperlink ref="F950" r:id="rId27" xr:uid="{24C7BF75-BCD9-41F3-AE54-76F2EFE7DC5F}"/>
    <hyperlink ref="F949" r:id="rId28" xr:uid="{B2F3BDC4-A3F2-43D3-84B9-674234DF8428}"/>
    <hyperlink ref="F948" r:id="rId29" xr:uid="{09709801-D23F-4B47-BB4C-C284A81BB8E8}"/>
    <hyperlink ref="F947" r:id="rId30" xr:uid="{1A787B3F-A08C-4AAB-8C5B-AA250375C7EA}"/>
    <hyperlink ref="F946" r:id="rId31" xr:uid="{E5B06C6E-3352-45B1-8681-EFF125F3FD16}"/>
    <hyperlink ref="E436" r:id="rId32" display="https://www.google.com/search?q=Hawkes+Vegetables&amp;rlz=1C1OPNX_en-GBAU1166AU1166&amp;oq=Hawkes+Vegetables&amp;gs_lcrp=EgZjaHJvbWUyBggAEEUYOdIBBzM0NGowajSoAgCwAgE&amp;sourceid=chrome&amp;ie=UTF-8" xr:uid="{57D61B2E-8461-457D-AFB4-2626671202F4}"/>
    <hyperlink ref="E437" r:id="rId33" display="https://www.google.com/search?q=Hawkes+Vegetables&amp;rlz=1C1OPNX_en-GBAU1166AU1166&amp;oq=Hawkes+Vegetables&amp;gs_lcrp=EgZjaHJvbWUyBggAEEUYOdIBBzM0NGowajSoAgCwAgE&amp;sourceid=chrome&amp;ie=UTF-8" xr:uid="{A84075C4-C247-42BD-A3EF-9A9503E3EF92}"/>
    <hyperlink ref="E597" r:id="rId34" display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xr:uid="{81095901-54AA-49AD-96A0-AFE4B9DDBD60}"/>
    <hyperlink ref="E598" r:id="rId35" display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xr:uid="{1133A668-3E7F-4F08-BC36-3CA0564BA1EC}"/>
    <hyperlink ref="E599" r:id="rId36" display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xr:uid="{31332312-22AC-4039-B700-FD7D3C46DC7D}"/>
    <hyperlink ref="E600" r:id="rId37" display="https://www.google.com/search?q=Master+Poultry%0D%0A&amp;sca_esv=8b7032114d8adf20&amp;rlz=1C1OPNX_en-GBAU1166AU1166&amp;sxsrf=ANbL-n6D9i9JnTNiNwFeL0cAj3uJScdCtg%3A1773610176112&amp;ei=wCS3acTDBpq10-kPzJuR8A0&amp;biw=1424&amp;bih=922&amp;ved=0ahUKEwjEo5Hk7KKTAxWa2jQHHcxNBN4Q4dUDCBE&amp;uact=5&amp;oq=Master+Poultry%0D%0A&amp;gs_lp=Egxnd3Mtd2l6LXNlcnAiD01hc3RlciBQb3VsdHJ5CkgAUABYAHAAeAGQAQCYAQCgAQCqAQC4AQPIAQD4AQL4AQGYAgCgAgCYAwCSBwCgBwCyBwC4BwDCBwDIBwCACAA&amp;sclient=gws-wiz-serp" xr:uid="{4F1B8779-1F5B-4CA9-A9EA-EFE32E8E7DFC}"/>
    <hyperlink ref="E604" r:id="rId38" display="https://www.google.com/search?q=Meat+2++%0D%0A&amp;sca_esv=8b7032114d8adf20&amp;rlz=1C1OPNX_en-GBAU1166AU1166&amp;biw=1424&amp;bih=922&amp;sxsrf=ANbL-n5L5WsM97nd6NAXQKaJuehBp_8iEA%3A1773610196417&amp;ei=1CS3aZOYGa6k2roPtfOg4Qc&amp;ved=0ahUKEwiT0ujt7KKTAxUuklYBHbU5KHwQ4dUDCBE&amp;uact=5&amp;oq=Meat+2++%0D%0A&amp;gs_lp=Egxnd3Mtd2l6LXNlcnAiCU1lYXQgMiAgCkgAUABYAHAAeAGQAQCYAQCgAQCqAQC4AQPIAQD4AQL4AQGYAgCgAgCYAwCSBwCgBwCyBwC4BwDCBwDIBwCACAA&amp;sclient=gws-wiz-serp" xr:uid="{4CBD1707-A74E-47E7-99AC-A1F54BEBCA0C}"/>
    <hyperlink ref="E622" r:id="rId39" display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xr:uid="{AF90C014-92DF-429D-9709-68579579F52E}"/>
    <hyperlink ref="E623" r:id="rId40" display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xr:uid="{EBF210E8-6C8E-4C11-A3DB-262504F187A1}"/>
    <hyperlink ref="E624" r:id="rId41" display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xr:uid="{C8800086-E554-45B8-B8D4-3B3FEA9B1FAB}"/>
    <hyperlink ref="E625" r:id="rId42" display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xr:uid="{93CE5DA9-77A7-4DF1-AB9F-7BA7CE734ABE}"/>
    <hyperlink ref="E626" r:id="rId43" display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xr:uid="{05E7032E-41CC-43A5-8EA7-D5D1BDDCF699}"/>
    <hyperlink ref="E627" r:id="rId44" display="https://www.google.com/search?q=Moka+Foods%0D%0A&amp;sca_esv=8b7032114d8adf20&amp;rlz=1C1OPNX_en-GBAU1166AU1166&amp;biw=1424&amp;bih=922&amp;sxsrf=ANbL-n5OvtyHLBbgZvr3b4Hj2mLliVEZGg%3A1773610258245&amp;ei=EiW3adW9Dtbf2roPr4aUsAc&amp;ved=0ahUKEwjVjqaL7aKTAxXWr1YBHS8DBXYQ4dUDCBE&amp;uact=5&amp;oq=Moka+Foods%0D%0A&amp;gs_lp=Egxnd3Mtd2l6LXNlcnAiC01va2EgRm9vZHMKSABQAFgAcAB4AZABAJgBAKABAKoBALgBA8gBAPgBAvgBAZgCAKACAJgDAJIHAKAHALIHALgHAMIHAMgHAIAIAA&amp;sclient=gws-wiz-serp" xr:uid="{69F9CEF3-F1B6-4E00-A323-E53D110155CA}"/>
    <hyperlink ref="E14" r:id="rId45" display="https://www.google.com/search?q=Aligator+Pasta&amp;rlz=1C1OPNX_en-GBAU1166AU1166&amp;oq=Aligator+Pasta&amp;gs_lcrp=EgZjaHJvbWUyBggAEEUYOTIGCAEQRRg70gEHNjU5ajBqOagCALACAQ&amp;sourceid=chrome&amp;ie=UTF-8" xr:uid="{2B93F952-35A3-4EE2-B7AB-BC7A17960C03}"/>
    <hyperlink ref="E15:E17" r:id="rId46" display="https://www.google.com/search?q=Aligator+Pasta&amp;rlz=1C1OPNX_en-GBAU1166AU1166&amp;oq=Aligator+Pasta&amp;gs_lcrp=EgZjaHJvbWUyBggAEEUYOTIGCAEQRRg70gEHNjU5ajBqOagCALACAQ&amp;sourceid=chrome&amp;ie=UTF-8" xr:uid="{F534985F-FDA1-41A9-9CAC-1E896DF0C5EB}"/>
    <hyperlink ref="E44" r:id="rId47" display="https://www.google.com/search?q=Aurora+Foods%0D%0A&amp;sca_esv=8b7032114d8adf20&amp;rlz=1C1OPNX_en-GBAU1166AU1166&amp;biw=1718&amp;bih=1270&amp;sxsrf=ANbL-n6dymRacNANjUF4BRfAR52-J9_4gg%3A1773611964028&amp;ei=vCu3aeq7AbaGnesPz7GhgQc&amp;ved=0ahUKEwjqide486KTAxU2Q2cHHc9YKHAQ4dUDCBE&amp;uact=5&amp;oq=Aurora+Foods%0D%0A&amp;gs_lp=Egxnd3Mtd2l6LXNlcnAiDUF1cm9yYSBGb29kcwpIAFAAWABwAHgBkAEAmAEAoAEAqgEAuAEDyAEA-AEC-AEBmAIAoAIAmAMA4gMFEgExIECSBwCgBwCyBwC4BwDCBwDIBwCACAA&amp;sclient=gws-wiz-serp" xr:uid="{6103CA62-D59C-4720-9496-3024903C8447}"/>
    <hyperlink ref="E45:E47" r:id="rId48" display="https://www.google.com/search?q=Aurora+Foods%0D%0A&amp;sca_esv=8b7032114d8adf20&amp;rlz=1C1OPNX_en-GBAU1166AU1166&amp;biw=1718&amp;bih=1270&amp;sxsrf=ANbL-n6dymRacNANjUF4BRfAR52-J9_4gg%3A1773611964028&amp;ei=vCu3aeq7AbaGnesPz7GhgQc&amp;ved=0ahUKEwjqide486KTAxU2Q2cHHc9YKHAQ4dUDCBE&amp;uact=5&amp;oq=Aurora+Foods%0D%0A&amp;gs_lp=Egxnd3Mtd2l6LXNlcnAiDUF1cm9yYSBGb29kcwpIAFAAWABwAHgBkAEAmAEAoAEAqgEAuAEDyAEA-AEC-AEBmAIAoAIAmAMA4gMFEgExIECSBwCgBwCyBwC4BwDCBwDIBwCACAA&amp;sclient=gws-wiz-serp" xr:uid="{4F888124-19AD-4AEB-8BE9-7F6691B7A77B}"/>
  </hyperlinks>
  <pageMargins left="0.7" right="0.7" top="0.75" bottom="0.75" header="0.3" footer="0.3"/>
  <pageSetup paperSize="9" orientation="portrait" horizontalDpi="4294967293" verticalDpi="1200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4447-2744-44BA-8921-2658072ABFE4}">
  <dimension ref="A1:M43"/>
  <sheetViews>
    <sheetView zoomScaleNormal="100" workbookViewId="0">
      <pane ySplit="14685" topLeftCell="A46"/>
      <selection activeCell="D18" sqref="D18"/>
      <selection pane="bottomLeft" activeCell="X7" sqref="X7"/>
    </sheetView>
  </sheetViews>
  <sheetFormatPr defaultRowHeight="14.25" x14ac:dyDescent="0.45"/>
  <cols>
    <col min="1" max="1" width="4.73046875" customWidth="1"/>
    <col min="2" max="2" width="13.265625" style="35" customWidth="1"/>
    <col min="3" max="3" width="12.73046875" customWidth="1"/>
    <col min="4" max="4" width="29.73046875" style="34" customWidth="1"/>
    <col min="5" max="6" width="5.73046875" style="8" customWidth="1"/>
    <col min="7" max="7" width="9.73046875" style="8" customWidth="1"/>
    <col min="8" max="9" width="7.73046875" style="31" customWidth="1"/>
    <col min="10" max="10" width="6.1328125" style="27" customWidth="1"/>
    <col min="11" max="13" width="5.73046875" style="8" customWidth="1"/>
  </cols>
  <sheetData>
    <row r="1" spans="1:13" x14ac:dyDescent="0.45">
      <c r="A1" s="162" t="s">
        <v>4105</v>
      </c>
      <c r="B1" s="162" t="s">
        <v>0</v>
      </c>
      <c r="C1" s="164" t="s">
        <v>2</v>
      </c>
      <c r="D1" s="166" t="s">
        <v>1121</v>
      </c>
      <c r="E1" s="170" t="s">
        <v>1130</v>
      </c>
      <c r="F1" s="168"/>
      <c r="G1" s="168"/>
      <c r="H1" s="168"/>
      <c r="I1" s="168"/>
      <c r="J1" s="168"/>
      <c r="K1" s="168"/>
      <c r="L1" s="168"/>
      <c r="M1" s="169"/>
    </row>
    <row r="2" spans="1:13" x14ac:dyDescent="0.45">
      <c r="A2" s="163"/>
      <c r="B2" s="163"/>
      <c r="C2" s="165"/>
      <c r="D2" s="167"/>
      <c r="E2" s="170" t="s">
        <v>1122</v>
      </c>
      <c r="F2" s="169"/>
      <c r="G2" s="55" t="s">
        <v>1146</v>
      </c>
      <c r="H2" s="168"/>
      <c r="I2" s="168"/>
      <c r="J2" s="169"/>
      <c r="K2" s="55" t="s">
        <v>4090</v>
      </c>
      <c r="L2" s="170" t="s">
        <v>4089</v>
      </c>
      <c r="M2" s="169"/>
    </row>
    <row r="3" spans="1:13" x14ac:dyDescent="0.45">
      <c r="A3" s="62"/>
      <c r="B3" s="57" t="s">
        <v>9</v>
      </c>
      <c r="C3" s="56" t="s">
        <v>1140</v>
      </c>
      <c r="D3" s="36" t="s">
        <v>1141</v>
      </c>
      <c r="E3" s="24" t="s">
        <v>1134</v>
      </c>
      <c r="F3" s="25" t="s">
        <v>1133</v>
      </c>
      <c r="G3" s="23" t="s">
        <v>1135</v>
      </c>
      <c r="H3" s="28" t="s">
        <v>3042</v>
      </c>
      <c r="I3" s="29" t="s">
        <v>4097</v>
      </c>
      <c r="J3" s="26" t="s">
        <v>3127</v>
      </c>
      <c r="K3" s="23" t="s">
        <v>4090</v>
      </c>
      <c r="L3" s="25" t="s">
        <v>4091</v>
      </c>
      <c r="M3" s="25" t="s">
        <v>4092</v>
      </c>
    </row>
    <row r="4" spans="1:13" x14ac:dyDescent="0.45">
      <c r="A4" s="60">
        <v>1</v>
      </c>
      <c r="B4" s="58" t="s">
        <v>202</v>
      </c>
      <c r="C4" s="53" t="s">
        <v>2683</v>
      </c>
      <c r="D4" s="52" t="s">
        <v>3702</v>
      </c>
      <c r="E4" s="50" t="s">
        <v>2765</v>
      </c>
      <c r="F4" s="40"/>
      <c r="G4" s="47">
        <v>100</v>
      </c>
      <c r="H4" s="30">
        <v>2800</v>
      </c>
      <c r="I4" s="30">
        <v>4500</v>
      </c>
      <c r="J4" s="43">
        <v>4700</v>
      </c>
      <c r="K4" s="39">
        <v>8</v>
      </c>
      <c r="L4" s="47">
        <v>0</v>
      </c>
      <c r="M4" s="41"/>
    </row>
    <row r="5" spans="1:13" x14ac:dyDescent="0.45">
      <c r="A5" s="60">
        <v>3</v>
      </c>
      <c r="B5" s="58" t="s">
        <v>3690</v>
      </c>
      <c r="C5" s="53" t="s">
        <v>674</v>
      </c>
      <c r="D5" s="52" t="s">
        <v>3465</v>
      </c>
      <c r="E5" s="50" t="s">
        <v>2765</v>
      </c>
      <c r="F5" s="49" t="s">
        <v>1133</v>
      </c>
      <c r="G5" s="47">
        <v>125</v>
      </c>
      <c r="H5" s="30">
        <v>3000</v>
      </c>
      <c r="I5" s="30">
        <v>5550</v>
      </c>
      <c r="J5" s="43">
        <v>5750</v>
      </c>
      <c r="K5" s="39">
        <v>10</v>
      </c>
      <c r="L5" s="47">
        <v>0</v>
      </c>
      <c r="M5" s="40"/>
    </row>
    <row r="6" spans="1:13" x14ac:dyDescent="0.45">
      <c r="A6" s="60">
        <v>6</v>
      </c>
      <c r="B6" s="58" t="s">
        <v>3542</v>
      </c>
      <c r="C6" s="53" t="s">
        <v>681</v>
      </c>
      <c r="D6" s="52" t="s">
        <v>3457</v>
      </c>
      <c r="E6" s="50" t="s">
        <v>2765</v>
      </c>
      <c r="F6" s="49" t="s">
        <v>1133</v>
      </c>
      <c r="G6" s="47">
        <v>125</v>
      </c>
      <c r="H6" s="30">
        <v>2500</v>
      </c>
      <c r="I6" s="30">
        <v>4400</v>
      </c>
      <c r="J6" s="43">
        <v>4600</v>
      </c>
      <c r="K6" s="39">
        <v>8</v>
      </c>
      <c r="L6" s="47">
        <v>0</v>
      </c>
      <c r="M6" s="40"/>
    </row>
    <row r="7" spans="1:13" x14ac:dyDescent="0.45">
      <c r="A7" s="60">
        <v>9</v>
      </c>
      <c r="B7" s="58" t="s">
        <v>3448</v>
      </c>
      <c r="C7" s="53" t="s">
        <v>2692</v>
      </c>
      <c r="D7" s="52" t="s">
        <v>3427</v>
      </c>
      <c r="E7" s="50" t="s">
        <v>2765</v>
      </c>
      <c r="F7" s="49" t="s">
        <v>1133</v>
      </c>
      <c r="G7" s="47">
        <v>125</v>
      </c>
      <c r="H7" s="32">
        <v>4970</v>
      </c>
      <c r="I7" s="32">
        <v>4840</v>
      </c>
      <c r="J7" s="43">
        <v>5040</v>
      </c>
      <c r="K7" s="39">
        <v>9</v>
      </c>
      <c r="L7" s="47">
        <v>0</v>
      </c>
      <c r="M7" s="40"/>
    </row>
    <row r="8" spans="1:13" x14ac:dyDescent="0.45">
      <c r="A8" s="60">
        <v>10</v>
      </c>
      <c r="B8" s="58" t="s">
        <v>3421</v>
      </c>
      <c r="C8" s="53" t="s">
        <v>703</v>
      </c>
      <c r="D8" s="52" t="s">
        <v>3422</v>
      </c>
      <c r="E8" s="50" t="s">
        <v>2765</v>
      </c>
      <c r="F8" s="40"/>
      <c r="G8" s="47">
        <v>125</v>
      </c>
      <c r="H8" s="30">
        <v>2900</v>
      </c>
      <c r="I8" s="30">
        <v>4200</v>
      </c>
      <c r="J8" s="43">
        <v>4400</v>
      </c>
      <c r="K8" s="39">
        <v>7</v>
      </c>
      <c r="L8" s="47">
        <v>1</v>
      </c>
      <c r="M8" s="40" t="s">
        <v>4095</v>
      </c>
    </row>
    <row r="9" spans="1:13" x14ac:dyDescent="0.45">
      <c r="A9" s="60">
        <v>13</v>
      </c>
      <c r="B9" s="58" t="s">
        <v>285</v>
      </c>
      <c r="C9" s="53" t="s">
        <v>713</v>
      </c>
      <c r="D9" s="52" t="s">
        <v>2533</v>
      </c>
      <c r="E9" s="50" t="s">
        <v>2765</v>
      </c>
      <c r="F9" s="40"/>
      <c r="G9" s="47">
        <v>125</v>
      </c>
      <c r="H9" s="30">
        <v>2500</v>
      </c>
      <c r="I9" s="30">
        <v>4400</v>
      </c>
      <c r="J9" s="43">
        <v>4600</v>
      </c>
      <c r="K9" s="39">
        <v>7</v>
      </c>
      <c r="L9" s="47">
        <v>1</v>
      </c>
      <c r="M9" s="40" t="s">
        <v>4095</v>
      </c>
    </row>
    <row r="10" spans="1:13" x14ac:dyDescent="0.45">
      <c r="A10" s="60">
        <v>19</v>
      </c>
      <c r="B10" s="58" t="s">
        <v>3238</v>
      </c>
      <c r="C10" s="53" t="s">
        <v>741</v>
      </c>
      <c r="D10" s="52" t="s">
        <v>905</v>
      </c>
      <c r="E10" s="50" t="s">
        <v>2765</v>
      </c>
      <c r="F10" s="40"/>
      <c r="G10" s="47">
        <v>125</v>
      </c>
      <c r="H10" s="30">
        <v>2900</v>
      </c>
      <c r="I10" s="30">
        <v>4200</v>
      </c>
      <c r="J10" s="43">
        <v>4400</v>
      </c>
      <c r="K10" s="39">
        <v>7</v>
      </c>
      <c r="L10" s="47">
        <v>1</v>
      </c>
      <c r="M10" s="40" t="s">
        <v>4095</v>
      </c>
    </row>
    <row r="11" spans="1:13" x14ac:dyDescent="0.45">
      <c r="A11" s="60">
        <v>20</v>
      </c>
      <c r="B11" s="58" t="s">
        <v>3239</v>
      </c>
      <c r="C11" s="53" t="s">
        <v>741</v>
      </c>
      <c r="D11" s="52" t="s">
        <v>905</v>
      </c>
      <c r="E11" s="50" t="s">
        <v>2765</v>
      </c>
      <c r="F11" s="40"/>
      <c r="G11" s="47">
        <v>125</v>
      </c>
      <c r="H11" s="30">
        <v>2900</v>
      </c>
      <c r="I11" s="30">
        <v>4200</v>
      </c>
      <c r="J11" s="43">
        <v>4400</v>
      </c>
      <c r="K11" s="39">
        <v>7</v>
      </c>
      <c r="L11" s="47">
        <v>1</v>
      </c>
      <c r="M11" s="40" t="s">
        <v>4095</v>
      </c>
    </row>
    <row r="12" spans="1:13" x14ac:dyDescent="0.45">
      <c r="A12" s="60">
        <v>21</v>
      </c>
      <c r="B12" s="58" t="s">
        <v>3249</v>
      </c>
      <c r="C12" s="53" t="s">
        <v>2710</v>
      </c>
      <c r="D12" s="52" t="s">
        <v>905</v>
      </c>
      <c r="E12" s="50" t="s">
        <v>2765</v>
      </c>
      <c r="F12" s="40"/>
      <c r="G12" s="47">
        <v>125</v>
      </c>
      <c r="H12" s="30">
        <v>2450</v>
      </c>
      <c r="I12" s="30">
        <v>3600</v>
      </c>
      <c r="J12" s="43">
        <v>3800</v>
      </c>
      <c r="K12" s="39">
        <v>5</v>
      </c>
      <c r="L12" s="47">
        <v>1</v>
      </c>
      <c r="M12" s="40" t="s">
        <v>4095</v>
      </c>
    </row>
    <row r="13" spans="1:13" x14ac:dyDescent="0.45">
      <c r="A13" s="60">
        <v>22</v>
      </c>
      <c r="B13" s="58" t="s">
        <v>4101</v>
      </c>
      <c r="C13" s="53" t="s">
        <v>743</v>
      </c>
      <c r="D13" s="52" t="s">
        <v>905</v>
      </c>
      <c r="E13" s="50" t="s">
        <v>2765</v>
      </c>
      <c r="F13" s="40"/>
      <c r="G13" s="47">
        <v>125</v>
      </c>
      <c r="H13" s="30">
        <v>1475</v>
      </c>
      <c r="I13" s="44">
        <v>4225</v>
      </c>
      <c r="J13" s="43">
        <v>5200</v>
      </c>
      <c r="K13" s="39">
        <v>7</v>
      </c>
      <c r="L13" s="47">
        <v>1</v>
      </c>
      <c r="M13" s="40" t="s">
        <v>4095</v>
      </c>
    </row>
    <row r="14" spans="1:13" x14ac:dyDescent="0.45">
      <c r="A14" s="60">
        <v>23</v>
      </c>
      <c r="B14" s="58" t="s">
        <v>4098</v>
      </c>
      <c r="C14" s="53" t="s">
        <v>743</v>
      </c>
      <c r="D14" s="52" t="s">
        <v>905</v>
      </c>
      <c r="E14" s="50" t="s">
        <v>2765</v>
      </c>
      <c r="F14" s="40"/>
      <c r="G14" s="47">
        <v>125</v>
      </c>
      <c r="H14" s="30">
        <v>2850</v>
      </c>
      <c r="I14" s="44">
        <v>5600</v>
      </c>
      <c r="J14" s="43">
        <v>5800</v>
      </c>
      <c r="K14" s="39">
        <v>9</v>
      </c>
      <c r="L14" s="47">
        <v>1</v>
      </c>
      <c r="M14" s="40" t="s">
        <v>4095</v>
      </c>
    </row>
    <row r="15" spans="1:13" x14ac:dyDescent="0.45">
      <c r="A15" s="60">
        <v>24</v>
      </c>
      <c r="B15" s="58" t="s">
        <v>354</v>
      </c>
      <c r="C15" s="53" t="s">
        <v>776</v>
      </c>
      <c r="D15" s="52" t="s">
        <v>3145</v>
      </c>
      <c r="E15" s="50" t="s">
        <v>2765</v>
      </c>
      <c r="F15" s="41"/>
      <c r="G15" s="47">
        <v>125</v>
      </c>
      <c r="H15" s="30">
        <v>2350</v>
      </c>
      <c r="I15" s="30">
        <v>4400</v>
      </c>
      <c r="J15" s="43">
        <v>4600</v>
      </c>
      <c r="K15" s="39">
        <v>7</v>
      </c>
      <c r="L15" s="47">
        <v>1</v>
      </c>
      <c r="M15" s="40" t="s">
        <v>4095</v>
      </c>
    </row>
    <row r="16" spans="1:13" x14ac:dyDescent="0.45">
      <c r="A16" s="60">
        <v>25</v>
      </c>
      <c r="B16" s="58" t="s">
        <v>360</v>
      </c>
      <c r="C16" s="53" t="s">
        <v>781</v>
      </c>
      <c r="D16" s="52" t="s">
        <v>2318</v>
      </c>
      <c r="E16" s="50" t="s">
        <v>2765</v>
      </c>
      <c r="F16" s="41"/>
      <c r="G16" s="47">
        <v>150</v>
      </c>
      <c r="H16" s="30">
        <v>4650</v>
      </c>
      <c r="I16" s="30">
        <v>6100</v>
      </c>
      <c r="J16" s="43">
        <v>6350</v>
      </c>
      <c r="K16" s="39">
        <v>11</v>
      </c>
      <c r="L16" s="47">
        <v>1</v>
      </c>
      <c r="M16" s="40" t="s">
        <v>4095</v>
      </c>
    </row>
    <row r="17" spans="1:13" x14ac:dyDescent="0.45">
      <c r="A17" s="60">
        <v>26</v>
      </c>
      <c r="B17" s="58" t="s">
        <v>373</v>
      </c>
      <c r="C17" s="53" t="s">
        <v>3108</v>
      </c>
      <c r="D17" s="52" t="s">
        <v>2293</v>
      </c>
      <c r="E17" s="50" t="s">
        <v>2765</v>
      </c>
      <c r="F17" s="40"/>
      <c r="G17" s="47">
        <v>125</v>
      </c>
      <c r="H17" s="30">
        <v>2600</v>
      </c>
      <c r="I17" s="30">
        <v>4450</v>
      </c>
      <c r="J17" s="43">
        <v>4650</v>
      </c>
      <c r="K17" s="39">
        <v>7</v>
      </c>
      <c r="L17" s="47">
        <v>1</v>
      </c>
      <c r="M17" s="40" t="s">
        <v>4093</v>
      </c>
    </row>
    <row r="18" spans="1:13" x14ac:dyDescent="0.45">
      <c r="A18" s="60">
        <v>27</v>
      </c>
      <c r="B18" s="58" t="s">
        <v>3101</v>
      </c>
      <c r="C18" s="53" t="s">
        <v>787</v>
      </c>
      <c r="D18" s="52" t="s">
        <v>2288</v>
      </c>
      <c r="E18" s="50" t="s">
        <v>2765</v>
      </c>
      <c r="F18" s="40"/>
      <c r="G18" s="47">
        <v>125</v>
      </c>
      <c r="H18" s="30">
        <v>2500</v>
      </c>
      <c r="I18" s="30">
        <v>4250</v>
      </c>
      <c r="J18" s="43">
        <v>4450</v>
      </c>
      <c r="K18" s="39">
        <v>8</v>
      </c>
      <c r="L18" s="47">
        <v>1</v>
      </c>
      <c r="M18" s="40" t="s">
        <v>4095</v>
      </c>
    </row>
    <row r="19" spans="1:13" x14ac:dyDescent="0.45">
      <c r="A19" s="60">
        <v>30</v>
      </c>
      <c r="B19" s="58" t="s">
        <v>406</v>
      </c>
      <c r="C19" s="53" t="s">
        <v>2732</v>
      </c>
      <c r="D19" s="52" t="s">
        <v>2211</v>
      </c>
      <c r="E19" s="50" t="s">
        <v>2765</v>
      </c>
      <c r="F19" s="49" t="s">
        <v>1133</v>
      </c>
      <c r="G19" s="47">
        <v>150</v>
      </c>
      <c r="H19" s="30">
        <v>5650</v>
      </c>
      <c r="I19" s="30">
        <v>4200</v>
      </c>
      <c r="J19" s="43">
        <v>4450</v>
      </c>
      <c r="K19" s="39">
        <v>4</v>
      </c>
      <c r="L19" s="47">
        <v>4</v>
      </c>
      <c r="M19" s="40" t="s">
        <v>4094</v>
      </c>
    </row>
    <row r="20" spans="1:13" x14ac:dyDescent="0.45">
      <c r="A20" s="60">
        <v>31</v>
      </c>
      <c r="B20" s="58" t="s">
        <v>3171</v>
      </c>
      <c r="C20" s="53" t="s">
        <v>2939</v>
      </c>
      <c r="D20" s="52" t="s">
        <v>2211</v>
      </c>
      <c r="E20" s="50" t="s">
        <v>2765</v>
      </c>
      <c r="F20" s="49" t="s">
        <v>1133</v>
      </c>
      <c r="G20" s="47">
        <v>150</v>
      </c>
      <c r="H20" s="30">
        <v>5650</v>
      </c>
      <c r="I20" s="30">
        <v>4200</v>
      </c>
      <c r="J20" s="43">
        <v>4450</v>
      </c>
      <c r="K20" s="39">
        <v>4</v>
      </c>
      <c r="L20" s="47">
        <v>4</v>
      </c>
      <c r="M20" s="40" t="s">
        <v>4094</v>
      </c>
    </row>
    <row r="21" spans="1:13" x14ac:dyDescent="0.45">
      <c r="A21" s="60">
        <v>37</v>
      </c>
      <c r="B21" s="58" t="s">
        <v>474</v>
      </c>
      <c r="C21" s="53" t="s">
        <v>835</v>
      </c>
      <c r="D21" s="52" t="s">
        <v>2123</v>
      </c>
      <c r="E21" s="50" t="s">
        <v>2765</v>
      </c>
      <c r="F21" s="49" t="s">
        <v>1133</v>
      </c>
      <c r="G21" s="47">
        <v>125</v>
      </c>
      <c r="H21" s="30">
        <v>1900</v>
      </c>
      <c r="I21" s="30">
        <v>3900</v>
      </c>
      <c r="J21" s="43">
        <v>4100</v>
      </c>
      <c r="K21" s="39">
        <v>5</v>
      </c>
      <c r="L21" s="47">
        <v>1</v>
      </c>
      <c r="M21" s="40" t="s">
        <v>4095</v>
      </c>
    </row>
    <row r="22" spans="1:13" x14ac:dyDescent="0.45">
      <c r="A22" s="60">
        <v>38</v>
      </c>
      <c r="B22" s="58" t="s">
        <v>488</v>
      </c>
      <c r="C22" s="53" t="s">
        <v>2750</v>
      </c>
      <c r="D22" s="52" t="s">
        <v>1183</v>
      </c>
      <c r="E22" s="50" t="s">
        <v>2765</v>
      </c>
      <c r="F22" s="40"/>
      <c r="G22" s="47">
        <v>125</v>
      </c>
      <c r="H22" s="30">
        <v>2700</v>
      </c>
      <c r="I22" s="30">
        <v>3700</v>
      </c>
      <c r="J22" s="43">
        <v>5000</v>
      </c>
      <c r="K22" s="39">
        <v>7</v>
      </c>
      <c r="L22" s="47">
        <v>1</v>
      </c>
      <c r="M22" s="40" t="s">
        <v>4093</v>
      </c>
    </row>
    <row r="23" spans="1:13" x14ac:dyDescent="0.45">
      <c r="A23" s="60">
        <v>39</v>
      </c>
      <c r="B23" s="58" t="s">
        <v>518</v>
      </c>
      <c r="C23" s="53" t="s">
        <v>2758</v>
      </c>
      <c r="D23" s="52" t="s">
        <v>4040</v>
      </c>
      <c r="E23" s="50" t="s">
        <v>2765</v>
      </c>
      <c r="F23" s="40"/>
      <c r="G23" s="47">
        <v>125</v>
      </c>
      <c r="H23" s="30">
        <v>4200</v>
      </c>
      <c r="I23" s="30">
        <v>4200</v>
      </c>
      <c r="J23" s="43">
        <v>5600</v>
      </c>
      <c r="K23" s="39">
        <v>9</v>
      </c>
      <c r="L23" s="47">
        <v>1</v>
      </c>
      <c r="M23" s="40" t="s">
        <v>4095</v>
      </c>
    </row>
    <row r="24" spans="1:13" x14ac:dyDescent="0.45">
      <c r="A24" s="60">
        <v>2</v>
      </c>
      <c r="B24" s="58" t="s">
        <v>3858</v>
      </c>
      <c r="C24" s="53" t="s">
        <v>2685</v>
      </c>
      <c r="D24" s="52" t="s">
        <v>3466</v>
      </c>
      <c r="E24" s="39"/>
      <c r="F24" s="49" t="s">
        <v>1133</v>
      </c>
      <c r="G24" s="47">
        <v>150</v>
      </c>
      <c r="H24" s="30">
        <v>5000</v>
      </c>
      <c r="I24" s="30">
        <v>5700</v>
      </c>
      <c r="J24" s="43">
        <v>5900</v>
      </c>
      <c r="K24" s="39">
        <v>5</v>
      </c>
      <c r="L24" s="47">
        <v>6</v>
      </c>
      <c r="M24" s="40" t="s">
        <v>4095</v>
      </c>
    </row>
    <row r="25" spans="1:13" x14ac:dyDescent="0.45">
      <c r="A25" s="60">
        <v>4</v>
      </c>
      <c r="B25" s="58" t="s">
        <v>3684</v>
      </c>
      <c r="C25" s="53" t="s">
        <v>675</v>
      </c>
      <c r="D25" s="52" t="s">
        <v>3464</v>
      </c>
      <c r="E25" s="39"/>
      <c r="F25" s="49" t="s">
        <v>1133</v>
      </c>
      <c r="G25" s="47">
        <v>150</v>
      </c>
      <c r="H25" s="30">
        <v>5000</v>
      </c>
      <c r="I25" s="30">
        <v>5700</v>
      </c>
      <c r="J25" s="43">
        <v>5850</v>
      </c>
      <c r="K25" s="39">
        <v>5</v>
      </c>
      <c r="L25" s="47">
        <v>5</v>
      </c>
      <c r="M25" s="40" t="s">
        <v>4095</v>
      </c>
    </row>
    <row r="26" spans="1:13" x14ac:dyDescent="0.45">
      <c r="A26" s="60">
        <v>5</v>
      </c>
      <c r="B26" s="58" t="s">
        <v>221</v>
      </c>
      <c r="C26" s="53" t="s">
        <v>2686</v>
      </c>
      <c r="D26" s="52" t="s">
        <v>3461</v>
      </c>
      <c r="E26" s="39"/>
      <c r="F26" s="49" t="s">
        <v>1133</v>
      </c>
      <c r="G26" s="47">
        <v>150</v>
      </c>
      <c r="H26" s="30">
        <v>4520</v>
      </c>
      <c r="I26" s="30">
        <v>5720</v>
      </c>
      <c r="J26" s="43">
        <v>5920</v>
      </c>
      <c r="K26" s="39">
        <v>6</v>
      </c>
      <c r="L26" s="47">
        <v>5</v>
      </c>
      <c r="M26" s="40" t="s">
        <v>4095</v>
      </c>
    </row>
    <row r="27" spans="1:13" x14ac:dyDescent="0.45">
      <c r="A27" s="60">
        <v>7</v>
      </c>
      <c r="B27" s="58" t="s">
        <v>3513</v>
      </c>
      <c r="C27" s="53" t="s">
        <v>688</v>
      </c>
      <c r="D27" s="52" t="s">
        <v>3453</v>
      </c>
      <c r="E27" s="39"/>
      <c r="F27" s="49" t="s">
        <v>1133</v>
      </c>
      <c r="G27" s="47">
        <v>150</v>
      </c>
      <c r="H27" s="30">
        <v>5750</v>
      </c>
      <c r="I27" s="30">
        <v>6650</v>
      </c>
      <c r="J27" s="43">
        <v>6850</v>
      </c>
      <c r="K27" s="39">
        <v>6</v>
      </c>
      <c r="L27" s="47">
        <v>6</v>
      </c>
      <c r="M27" s="40" t="s">
        <v>4095</v>
      </c>
    </row>
    <row r="28" spans="1:13" x14ac:dyDescent="0.45">
      <c r="A28" s="60">
        <v>8</v>
      </c>
      <c r="B28" s="58" t="s">
        <v>3514</v>
      </c>
      <c r="C28" s="53" t="s">
        <v>688</v>
      </c>
      <c r="D28" s="52" t="s">
        <v>3453</v>
      </c>
      <c r="E28" s="39"/>
      <c r="F28" s="49" t="s">
        <v>1133</v>
      </c>
      <c r="G28" s="47">
        <v>150</v>
      </c>
      <c r="H28" s="30">
        <v>5750</v>
      </c>
      <c r="I28" s="30">
        <v>6650</v>
      </c>
      <c r="J28" s="43">
        <v>6850</v>
      </c>
      <c r="K28" s="39">
        <v>6</v>
      </c>
      <c r="L28" s="47">
        <v>6</v>
      </c>
      <c r="M28" s="40" t="s">
        <v>4095</v>
      </c>
    </row>
    <row r="29" spans="1:13" x14ac:dyDescent="0.45">
      <c r="A29" s="60">
        <v>11</v>
      </c>
      <c r="B29" s="58" t="s">
        <v>272</v>
      </c>
      <c r="C29" s="53" t="s">
        <v>706</v>
      </c>
      <c r="D29" s="52" t="s">
        <v>3423</v>
      </c>
      <c r="E29" s="39"/>
      <c r="F29" s="49" t="s">
        <v>1133</v>
      </c>
      <c r="G29" s="47">
        <v>150</v>
      </c>
      <c r="H29" s="30">
        <v>7800</v>
      </c>
      <c r="I29" s="30">
        <v>5500</v>
      </c>
      <c r="J29" s="43">
        <v>5800</v>
      </c>
      <c r="K29" s="39">
        <v>5</v>
      </c>
      <c r="L29" s="47">
        <v>5</v>
      </c>
      <c r="M29" s="40" t="s">
        <v>4096</v>
      </c>
    </row>
    <row r="30" spans="1:13" x14ac:dyDescent="0.45">
      <c r="A30" s="60">
        <v>12</v>
      </c>
      <c r="B30" s="58" t="s">
        <v>3393</v>
      </c>
      <c r="C30" s="53" t="s">
        <v>712</v>
      </c>
      <c r="D30" s="52" t="s">
        <v>3391</v>
      </c>
      <c r="E30" s="39"/>
      <c r="F30" s="49" t="s">
        <v>1133</v>
      </c>
      <c r="G30" s="47">
        <v>150</v>
      </c>
      <c r="H30" s="30">
        <v>4600</v>
      </c>
      <c r="I30" s="30">
        <v>5300</v>
      </c>
      <c r="J30" s="43">
        <v>5500</v>
      </c>
      <c r="K30" s="39">
        <v>5</v>
      </c>
      <c r="L30" s="47">
        <v>5</v>
      </c>
      <c r="M30" s="40" t="s">
        <v>4095</v>
      </c>
    </row>
    <row r="31" spans="1:13" x14ac:dyDescent="0.45">
      <c r="A31" s="60">
        <v>14</v>
      </c>
      <c r="B31" s="58" t="s">
        <v>296</v>
      </c>
      <c r="C31" s="53" t="s">
        <v>2701</v>
      </c>
      <c r="D31" s="52" t="s">
        <v>3373</v>
      </c>
      <c r="E31" s="39"/>
      <c r="F31" s="49" t="s">
        <v>1133</v>
      </c>
      <c r="G31" s="47">
        <v>150</v>
      </c>
      <c r="H31" s="30">
        <v>3800</v>
      </c>
      <c r="I31" s="30">
        <v>4600</v>
      </c>
      <c r="J31" s="43">
        <v>4800</v>
      </c>
      <c r="K31" s="39">
        <v>5</v>
      </c>
      <c r="L31" s="47">
        <v>4</v>
      </c>
      <c r="M31" s="40" t="s">
        <v>4095</v>
      </c>
    </row>
    <row r="32" spans="1:13" x14ac:dyDescent="0.45">
      <c r="A32" s="60">
        <v>15</v>
      </c>
      <c r="B32" s="58" t="s">
        <v>3369</v>
      </c>
      <c r="C32" s="53" t="s">
        <v>723</v>
      </c>
      <c r="D32" s="52" t="s">
        <v>3368</v>
      </c>
      <c r="E32" s="39"/>
      <c r="F32" s="49" t="s">
        <v>1133</v>
      </c>
      <c r="G32" s="47">
        <v>150</v>
      </c>
      <c r="H32" s="30">
        <v>4600</v>
      </c>
      <c r="I32" s="30">
        <v>5300</v>
      </c>
      <c r="J32" s="43">
        <v>5500</v>
      </c>
      <c r="K32" s="39">
        <v>5</v>
      </c>
      <c r="L32" s="47">
        <v>5</v>
      </c>
      <c r="M32" s="40" t="s">
        <v>4095</v>
      </c>
    </row>
    <row r="33" spans="1:13" x14ac:dyDescent="0.45">
      <c r="A33" s="60">
        <v>16</v>
      </c>
      <c r="B33" s="58" t="s">
        <v>302</v>
      </c>
      <c r="C33" s="53" t="s">
        <v>724</v>
      </c>
      <c r="D33" s="52" t="s">
        <v>2563</v>
      </c>
      <c r="E33" s="39"/>
      <c r="F33" s="49" t="s">
        <v>1133</v>
      </c>
      <c r="G33" s="47">
        <v>150</v>
      </c>
      <c r="H33" s="30">
        <v>5520</v>
      </c>
      <c r="I33" s="30">
        <v>5000</v>
      </c>
      <c r="J33" s="43">
        <v>5250</v>
      </c>
      <c r="K33" s="39">
        <v>4</v>
      </c>
      <c r="L33" s="47">
        <v>5</v>
      </c>
      <c r="M33" s="40" t="s">
        <v>4095</v>
      </c>
    </row>
    <row r="34" spans="1:13" x14ac:dyDescent="0.45">
      <c r="A34" s="60">
        <v>17</v>
      </c>
      <c r="B34" s="58" t="s">
        <v>308</v>
      </c>
      <c r="C34" s="53" t="s">
        <v>2704</v>
      </c>
      <c r="D34" s="52" t="s">
        <v>2573</v>
      </c>
      <c r="E34" s="39"/>
      <c r="F34" s="49" t="s">
        <v>1133</v>
      </c>
      <c r="G34" s="47">
        <v>150</v>
      </c>
      <c r="H34" s="30">
        <v>7000</v>
      </c>
      <c r="I34" s="30">
        <v>5750</v>
      </c>
      <c r="J34" s="43">
        <v>6000</v>
      </c>
      <c r="K34" s="39">
        <v>5</v>
      </c>
      <c r="L34" s="47">
        <v>5</v>
      </c>
      <c r="M34" s="40" t="s">
        <v>4095</v>
      </c>
    </row>
    <row r="35" spans="1:13" x14ac:dyDescent="0.45">
      <c r="A35" s="60">
        <v>18</v>
      </c>
      <c r="B35" s="58" t="s">
        <v>1163</v>
      </c>
      <c r="C35" s="53" t="s">
        <v>2663</v>
      </c>
      <c r="D35" s="52" t="s">
        <v>2601</v>
      </c>
      <c r="E35" s="39"/>
      <c r="F35" s="49" t="s">
        <v>1133</v>
      </c>
      <c r="G35" s="47">
        <v>150</v>
      </c>
      <c r="H35" s="30">
        <v>7000</v>
      </c>
      <c r="I35" s="30">
        <v>4750</v>
      </c>
      <c r="J35" s="43">
        <v>5050</v>
      </c>
      <c r="K35" s="39">
        <v>4</v>
      </c>
      <c r="L35" s="47">
        <v>5</v>
      </c>
      <c r="M35" s="40" t="s">
        <v>4096</v>
      </c>
    </row>
    <row r="36" spans="1:13" x14ac:dyDescent="0.45">
      <c r="A36" s="60">
        <v>28</v>
      </c>
      <c r="B36" s="58" t="s">
        <v>2986</v>
      </c>
      <c r="C36" s="53" t="s">
        <v>2729</v>
      </c>
      <c r="D36" s="52" t="s">
        <v>2255</v>
      </c>
      <c r="E36" s="39"/>
      <c r="F36" s="49" t="s">
        <v>1133</v>
      </c>
      <c r="G36" s="47">
        <v>200</v>
      </c>
      <c r="H36" s="30">
        <v>7000</v>
      </c>
      <c r="I36" s="30">
        <v>5750</v>
      </c>
      <c r="J36" s="43">
        <v>6000</v>
      </c>
      <c r="K36" s="39">
        <v>5</v>
      </c>
      <c r="L36" s="47">
        <v>5</v>
      </c>
      <c r="M36" s="40" t="s">
        <v>4094</v>
      </c>
    </row>
    <row r="37" spans="1:13" x14ac:dyDescent="0.45">
      <c r="A37" s="60">
        <v>29</v>
      </c>
      <c r="B37" s="58" t="s">
        <v>2987</v>
      </c>
      <c r="C37" s="53" t="s">
        <v>2729</v>
      </c>
      <c r="D37" s="52" t="s">
        <v>2255</v>
      </c>
      <c r="E37" s="39"/>
      <c r="F37" s="49" t="s">
        <v>1133</v>
      </c>
      <c r="G37" s="47">
        <v>200</v>
      </c>
      <c r="H37" s="30">
        <v>6700</v>
      </c>
      <c r="I37" s="30">
        <v>5750</v>
      </c>
      <c r="J37" s="43">
        <v>6000</v>
      </c>
      <c r="K37" s="39">
        <v>5</v>
      </c>
      <c r="L37" s="47">
        <v>5</v>
      </c>
      <c r="M37" s="40" t="s">
        <v>4094</v>
      </c>
    </row>
    <row r="38" spans="1:13" x14ac:dyDescent="0.45">
      <c r="A38" s="60">
        <v>32</v>
      </c>
      <c r="B38" s="58" t="s">
        <v>2900</v>
      </c>
      <c r="C38" s="53" t="s">
        <v>824</v>
      </c>
      <c r="D38" s="52" t="s">
        <v>2187</v>
      </c>
      <c r="E38" s="39"/>
      <c r="F38" s="49" t="s">
        <v>1133</v>
      </c>
      <c r="G38" s="47">
        <v>200</v>
      </c>
      <c r="H38" s="30">
        <v>7950</v>
      </c>
      <c r="I38" s="30">
        <v>6050</v>
      </c>
      <c r="J38" s="43">
        <v>6300</v>
      </c>
      <c r="K38" s="39">
        <v>5</v>
      </c>
      <c r="L38" s="47">
        <v>5</v>
      </c>
      <c r="M38" s="40" t="s">
        <v>4094</v>
      </c>
    </row>
    <row r="39" spans="1:13" x14ac:dyDescent="0.45">
      <c r="A39" s="60">
        <v>33</v>
      </c>
      <c r="B39" s="58" t="s">
        <v>2901</v>
      </c>
      <c r="C39" s="53" t="s">
        <v>824</v>
      </c>
      <c r="D39" s="52" t="s">
        <v>2187</v>
      </c>
      <c r="E39" s="39"/>
      <c r="F39" s="49" t="s">
        <v>1133</v>
      </c>
      <c r="G39" s="47">
        <v>200</v>
      </c>
      <c r="H39" s="30">
        <v>7950</v>
      </c>
      <c r="I39" s="30">
        <v>6050</v>
      </c>
      <c r="J39" s="43">
        <v>6300</v>
      </c>
      <c r="K39" s="39">
        <v>5</v>
      </c>
      <c r="L39" s="47">
        <v>5</v>
      </c>
      <c r="M39" s="40" t="s">
        <v>4094</v>
      </c>
    </row>
    <row r="40" spans="1:13" x14ac:dyDescent="0.45">
      <c r="A40" s="60">
        <v>34</v>
      </c>
      <c r="B40" s="58" t="s">
        <v>452</v>
      </c>
      <c r="C40" s="53" t="s">
        <v>2742</v>
      </c>
      <c r="D40" s="52" t="s">
        <v>2319</v>
      </c>
      <c r="E40" s="39"/>
      <c r="F40" s="49" t="s">
        <v>1133</v>
      </c>
      <c r="G40" s="47">
        <v>150</v>
      </c>
      <c r="H40" s="30">
        <v>6000</v>
      </c>
      <c r="I40" s="30">
        <v>5750</v>
      </c>
      <c r="J40" s="43">
        <v>6000</v>
      </c>
      <c r="K40" s="39">
        <v>6</v>
      </c>
      <c r="L40" s="47">
        <v>5</v>
      </c>
      <c r="M40" s="40" t="s">
        <v>4094</v>
      </c>
    </row>
    <row r="41" spans="1:13" x14ac:dyDescent="0.45">
      <c r="A41" s="60">
        <v>35</v>
      </c>
      <c r="B41" s="58" t="s">
        <v>2856</v>
      </c>
      <c r="C41" s="53" t="s">
        <v>833</v>
      </c>
      <c r="D41" s="52" t="s">
        <v>2853</v>
      </c>
      <c r="E41" s="39"/>
      <c r="F41" s="49" t="s">
        <v>1133</v>
      </c>
      <c r="G41" s="47">
        <v>200</v>
      </c>
      <c r="H41" s="30">
        <v>8000</v>
      </c>
      <c r="I41" s="30">
        <v>6100</v>
      </c>
      <c r="J41" s="43">
        <v>6350</v>
      </c>
      <c r="K41" s="39">
        <v>5</v>
      </c>
      <c r="L41" s="47">
        <v>5</v>
      </c>
      <c r="M41" s="40" t="s">
        <v>4094</v>
      </c>
    </row>
    <row r="42" spans="1:13" x14ac:dyDescent="0.45">
      <c r="A42" s="61">
        <v>36</v>
      </c>
      <c r="B42" s="59" t="s">
        <v>473</v>
      </c>
      <c r="C42" s="54" t="s">
        <v>2851</v>
      </c>
      <c r="D42" s="36" t="s">
        <v>2852</v>
      </c>
      <c r="E42" s="42"/>
      <c r="F42" s="51" t="s">
        <v>1133</v>
      </c>
      <c r="G42" s="48">
        <v>150</v>
      </c>
      <c r="H42" s="45">
        <v>5500</v>
      </c>
      <c r="I42" s="45">
        <v>6750</v>
      </c>
      <c r="J42" s="46">
        <v>7000</v>
      </c>
      <c r="K42" s="42">
        <v>6</v>
      </c>
      <c r="L42" s="48">
        <v>6</v>
      </c>
      <c r="M42" s="48" t="s">
        <v>4094</v>
      </c>
    </row>
    <row r="43" spans="1:13" x14ac:dyDescent="0.45">
      <c r="I43" s="33" t="s">
        <v>4102</v>
      </c>
    </row>
  </sheetData>
  <autoFilter ref="A3:M3" xr:uid="{7FC14447-2744-44BA-8921-2658072ABFE4}">
    <sortState xmlns:xlrd2="http://schemas.microsoft.com/office/spreadsheetml/2017/richdata2" ref="A4:M43">
      <sortCondition ref="E3"/>
    </sortState>
  </autoFilter>
  <mergeCells count="8">
    <mergeCell ref="A1:A2"/>
    <mergeCell ref="B1:B2"/>
    <mergeCell ref="C1:C2"/>
    <mergeCell ref="D1:D2"/>
    <mergeCell ref="H2:J2"/>
    <mergeCell ref="E2:F2"/>
    <mergeCell ref="E1:M1"/>
    <mergeCell ref="L2:M2"/>
  </mergeCells>
  <phoneticPr fontId="3" type="noConversion"/>
  <pageMargins left="0.7" right="0.7" top="0.75" bottom="0.75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9"/>
  <sheetViews>
    <sheetView workbookViewId="0">
      <selection activeCell="E243" sqref="E243"/>
    </sheetView>
  </sheetViews>
  <sheetFormatPr defaultColWidth="8.73046875" defaultRowHeight="14.25" x14ac:dyDescent="0.45"/>
  <cols>
    <col min="1" max="1" width="9.1328125" style="6" customWidth="1"/>
    <col min="2" max="2" width="12.73046875" style="7" customWidth="1"/>
    <col min="3" max="3" width="28.1328125" style="5" customWidth="1"/>
    <col min="4" max="4" width="7.86328125" style="8" customWidth="1"/>
    <col min="5" max="5" width="68.3984375" style="9" customWidth="1"/>
    <col min="6" max="6" width="35.3984375" style="5" customWidth="1"/>
    <col min="7" max="7" width="23.3984375" style="5" customWidth="1"/>
    <col min="8" max="8" width="10.86328125" style="5" customWidth="1"/>
    <col min="9" max="9" width="16.86328125" style="5" customWidth="1"/>
    <col min="10" max="10" width="13.3984375" style="5" customWidth="1"/>
    <col min="11" max="11" width="31.73046875" style="5" customWidth="1"/>
    <col min="12" max="16384" width="8.73046875" style="5"/>
  </cols>
  <sheetData>
    <row r="1" spans="1:10" x14ac:dyDescent="0.45">
      <c r="A1" s="3" t="s">
        <v>0</v>
      </c>
      <c r="B1" s="2" t="s">
        <v>2</v>
      </c>
      <c r="C1" s="1" t="s">
        <v>3</v>
      </c>
      <c r="D1" s="1" t="s">
        <v>1556</v>
      </c>
      <c r="E1" s="4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6" t="s">
        <v>9</v>
      </c>
      <c r="E2" s="9" t="s">
        <v>541</v>
      </c>
    </row>
    <row r="3" spans="1:10" ht="28.5" x14ac:dyDescent="0.45">
      <c r="A3" s="6" t="s">
        <v>540</v>
      </c>
      <c r="B3" s="7" t="s">
        <v>870</v>
      </c>
      <c r="C3" s="5" t="s">
        <v>2014</v>
      </c>
      <c r="E3" s="9" t="s">
        <v>2013</v>
      </c>
      <c r="H3" s="5" t="s">
        <v>1097</v>
      </c>
      <c r="J3" s="5" t="s">
        <v>1113</v>
      </c>
    </row>
    <row r="4" spans="1:10" ht="28.5" x14ac:dyDescent="0.45">
      <c r="A4" s="6" t="s">
        <v>539</v>
      </c>
      <c r="B4" s="7" t="s">
        <v>2764</v>
      </c>
      <c r="C4" s="5" t="s">
        <v>2016</v>
      </c>
      <c r="E4" s="9" t="s">
        <v>2015</v>
      </c>
      <c r="J4" s="5" t="s">
        <v>1113</v>
      </c>
    </row>
    <row r="5" spans="1:10" ht="28.5" x14ac:dyDescent="0.45">
      <c r="A5" s="6" t="s">
        <v>538</v>
      </c>
      <c r="B5" s="7" t="s">
        <v>870</v>
      </c>
      <c r="C5" s="5" t="s">
        <v>2014</v>
      </c>
      <c r="E5" s="9" t="s">
        <v>2013</v>
      </c>
      <c r="H5" s="5" t="s">
        <v>1097</v>
      </c>
      <c r="J5" s="5" t="s">
        <v>1113</v>
      </c>
    </row>
    <row r="6" spans="1:10" ht="28.5" x14ac:dyDescent="0.45">
      <c r="A6" s="6" t="s">
        <v>537</v>
      </c>
      <c r="B6" s="7" t="s">
        <v>2764</v>
      </c>
      <c r="C6" s="5" t="s">
        <v>2016</v>
      </c>
      <c r="E6" s="9" t="s">
        <v>2015</v>
      </c>
      <c r="J6" s="5" t="s">
        <v>1113</v>
      </c>
    </row>
    <row r="7" spans="1:10" ht="28.5" x14ac:dyDescent="0.45">
      <c r="A7" s="6" t="s">
        <v>536</v>
      </c>
      <c r="B7" s="7" t="s">
        <v>2764</v>
      </c>
      <c r="C7" s="5" t="s">
        <v>2018</v>
      </c>
      <c r="E7" s="9" t="s">
        <v>2017</v>
      </c>
      <c r="J7" s="5" t="s">
        <v>1113</v>
      </c>
    </row>
    <row r="8" spans="1:10" ht="28.5" x14ac:dyDescent="0.45">
      <c r="A8" s="6" t="s">
        <v>535</v>
      </c>
      <c r="B8" s="7" t="s">
        <v>869</v>
      </c>
      <c r="C8" s="5" t="s">
        <v>2020</v>
      </c>
      <c r="E8" s="9" t="s">
        <v>2019</v>
      </c>
      <c r="J8" s="5" t="s">
        <v>1113</v>
      </c>
    </row>
    <row r="9" spans="1:10" ht="28.5" x14ac:dyDescent="0.45">
      <c r="A9" s="6" t="s">
        <v>534</v>
      </c>
      <c r="B9" s="7" t="s">
        <v>2763</v>
      </c>
      <c r="C9" s="5" t="s">
        <v>2022</v>
      </c>
      <c r="E9" s="9" t="s">
        <v>2021</v>
      </c>
      <c r="F9" s="5" t="s">
        <v>1952</v>
      </c>
      <c r="G9" s="5" t="s">
        <v>1085</v>
      </c>
      <c r="H9" s="5" t="s">
        <v>1096</v>
      </c>
      <c r="J9" s="5" t="s">
        <v>1119</v>
      </c>
    </row>
    <row r="10" spans="1:10" ht="28.5" x14ac:dyDescent="0.45">
      <c r="A10" s="6" t="s">
        <v>533</v>
      </c>
      <c r="B10" s="7" t="s">
        <v>868</v>
      </c>
      <c r="C10" s="5" t="s">
        <v>2024</v>
      </c>
      <c r="E10" s="9" t="s">
        <v>2023</v>
      </c>
      <c r="H10" s="5" t="s">
        <v>1095</v>
      </c>
      <c r="J10" s="5" t="s">
        <v>1113</v>
      </c>
    </row>
    <row r="11" spans="1:10" ht="28.5" x14ac:dyDescent="0.45">
      <c r="A11" s="6" t="s">
        <v>532</v>
      </c>
      <c r="B11" s="7" t="s">
        <v>867</v>
      </c>
      <c r="C11" s="5" t="s">
        <v>2026</v>
      </c>
      <c r="E11" s="9" t="s">
        <v>2025</v>
      </c>
      <c r="J11" s="5" t="s">
        <v>1113</v>
      </c>
    </row>
    <row r="12" spans="1:10" ht="28.5" x14ac:dyDescent="0.45">
      <c r="A12" s="6" t="s">
        <v>531</v>
      </c>
      <c r="B12" s="7" t="s">
        <v>2762</v>
      </c>
      <c r="C12" s="5" t="s">
        <v>2028</v>
      </c>
      <c r="E12" s="9" t="s">
        <v>2027</v>
      </c>
      <c r="J12" s="5" t="s">
        <v>1113</v>
      </c>
    </row>
    <row r="13" spans="1:10" ht="28.5" x14ac:dyDescent="0.45">
      <c r="A13" s="6" t="s">
        <v>530</v>
      </c>
      <c r="B13" s="7" t="s">
        <v>2761</v>
      </c>
      <c r="C13" s="5" t="s">
        <v>2030</v>
      </c>
      <c r="E13" s="9" t="s">
        <v>2029</v>
      </c>
      <c r="J13" s="5" t="s">
        <v>1113</v>
      </c>
    </row>
    <row r="14" spans="1:10" x14ac:dyDescent="0.45">
      <c r="A14" s="6" t="s">
        <v>529</v>
      </c>
      <c r="B14" s="7" t="s">
        <v>866</v>
      </c>
      <c r="C14" s="5" t="s">
        <v>2031</v>
      </c>
      <c r="E14" s="9" t="s">
        <v>1186</v>
      </c>
    </row>
    <row r="15" spans="1:10" ht="28.5" x14ac:dyDescent="0.45">
      <c r="A15" s="6" t="s">
        <v>528</v>
      </c>
      <c r="B15" s="7" t="s">
        <v>866</v>
      </c>
      <c r="C15" s="5" t="s">
        <v>1187</v>
      </c>
      <c r="E15" s="9" t="s">
        <v>2032</v>
      </c>
      <c r="H15" s="5" t="s">
        <v>1096</v>
      </c>
      <c r="J15" s="5" t="s">
        <v>1118</v>
      </c>
    </row>
    <row r="16" spans="1:10" ht="28.5" x14ac:dyDescent="0.45">
      <c r="A16" s="6" t="s">
        <v>527</v>
      </c>
      <c r="B16" s="7" t="s">
        <v>2760</v>
      </c>
      <c r="C16" s="5" t="s">
        <v>1188</v>
      </c>
      <c r="E16" s="9" t="s">
        <v>2033</v>
      </c>
      <c r="J16" s="5" t="s">
        <v>1113</v>
      </c>
    </row>
    <row r="17" spans="1:10" ht="28.5" x14ac:dyDescent="0.45">
      <c r="A17" s="6" t="s">
        <v>526</v>
      </c>
      <c r="B17" s="7" t="s">
        <v>2760</v>
      </c>
      <c r="C17" s="5" t="s">
        <v>1189</v>
      </c>
      <c r="E17" s="9" t="s">
        <v>2034</v>
      </c>
      <c r="H17" s="5" t="s">
        <v>1095</v>
      </c>
      <c r="J17" s="5" t="s">
        <v>1113</v>
      </c>
    </row>
    <row r="18" spans="1:10" ht="28.5" x14ac:dyDescent="0.45">
      <c r="A18" s="6" t="s">
        <v>525</v>
      </c>
      <c r="B18" s="7" t="s">
        <v>865</v>
      </c>
      <c r="C18" s="5" t="s">
        <v>1190</v>
      </c>
      <c r="E18" s="9" t="s">
        <v>2035</v>
      </c>
      <c r="J18" s="5" t="s">
        <v>1113</v>
      </c>
    </row>
    <row r="19" spans="1:10" ht="28.5" x14ac:dyDescent="0.45">
      <c r="A19" s="6" t="s">
        <v>524</v>
      </c>
      <c r="B19" s="7" t="s">
        <v>864</v>
      </c>
      <c r="C19" s="5" t="s">
        <v>1191</v>
      </c>
      <c r="E19" s="9" t="s">
        <v>2036</v>
      </c>
      <c r="J19" s="5" t="s">
        <v>1112</v>
      </c>
    </row>
    <row r="20" spans="1:10" ht="28.5" x14ac:dyDescent="0.45">
      <c r="A20" s="6" t="s">
        <v>523</v>
      </c>
      <c r="B20" s="7" t="s">
        <v>864</v>
      </c>
      <c r="C20" s="5" t="s">
        <v>1192</v>
      </c>
      <c r="E20" s="9" t="s">
        <v>2037</v>
      </c>
      <c r="H20" s="5" t="s">
        <v>1095</v>
      </c>
      <c r="J20" s="5" t="s">
        <v>1113</v>
      </c>
    </row>
    <row r="21" spans="1:10" ht="28.5" x14ac:dyDescent="0.45">
      <c r="A21" s="6" t="s">
        <v>522</v>
      </c>
      <c r="B21" s="7" t="s">
        <v>863</v>
      </c>
      <c r="C21" s="5" t="s">
        <v>2039</v>
      </c>
      <c r="E21" s="9" t="s">
        <v>2038</v>
      </c>
      <c r="H21" s="5" t="s">
        <v>1095</v>
      </c>
      <c r="J21" s="5" t="s">
        <v>1113</v>
      </c>
    </row>
    <row r="22" spans="1:10" ht="57" x14ac:dyDescent="0.45">
      <c r="A22" s="6" t="s">
        <v>521</v>
      </c>
      <c r="B22" s="7" t="s">
        <v>2759</v>
      </c>
      <c r="C22" s="5" t="s">
        <v>2041</v>
      </c>
      <c r="E22" s="9" t="s">
        <v>2040</v>
      </c>
      <c r="J22" s="5" t="s">
        <v>1113</v>
      </c>
    </row>
    <row r="23" spans="1:10" x14ac:dyDescent="0.45">
      <c r="A23" s="6" t="s">
        <v>520</v>
      </c>
      <c r="B23" s="7" t="s">
        <v>862</v>
      </c>
      <c r="C23" s="5" t="s">
        <v>2043</v>
      </c>
      <c r="E23" s="9" t="s">
        <v>2042</v>
      </c>
    </row>
    <row r="24" spans="1:10" ht="28.5" x14ac:dyDescent="0.45">
      <c r="A24" s="6" t="s">
        <v>519</v>
      </c>
      <c r="B24" s="7" t="s">
        <v>861</v>
      </c>
      <c r="C24" s="5" t="s">
        <v>1184</v>
      </c>
      <c r="D24" s="8">
        <v>2</v>
      </c>
      <c r="E24" s="9" t="s">
        <v>2044</v>
      </c>
      <c r="H24" s="5" t="s">
        <v>1096</v>
      </c>
      <c r="J24" s="5" t="s">
        <v>1113</v>
      </c>
    </row>
    <row r="25" spans="1:10" ht="28.5" x14ac:dyDescent="0.45">
      <c r="A25" s="6" t="s">
        <v>518</v>
      </c>
      <c r="B25" s="7" t="s">
        <v>2758</v>
      </c>
      <c r="C25" s="5" t="s">
        <v>1875</v>
      </c>
      <c r="E25" s="9" t="s">
        <v>2045</v>
      </c>
      <c r="H25" s="5" t="s">
        <v>1110</v>
      </c>
      <c r="J25" s="5" t="s">
        <v>1113</v>
      </c>
    </row>
    <row r="26" spans="1:10" x14ac:dyDescent="0.45">
      <c r="A26" s="6" t="s">
        <v>517</v>
      </c>
      <c r="B26" s="7" t="s">
        <v>2757</v>
      </c>
      <c r="C26" s="5" t="s">
        <v>1194</v>
      </c>
      <c r="E26" s="9" t="s">
        <v>2046</v>
      </c>
    </row>
    <row r="27" spans="1:10" x14ac:dyDescent="0.45">
      <c r="A27" s="6" t="s">
        <v>516</v>
      </c>
      <c r="B27" s="7" t="s">
        <v>860</v>
      </c>
      <c r="C27" s="5" t="s">
        <v>2048</v>
      </c>
      <c r="E27" s="9" t="s">
        <v>2047</v>
      </c>
    </row>
    <row r="28" spans="1:10" ht="28.5" x14ac:dyDescent="0.45">
      <c r="A28" s="6" t="s">
        <v>515</v>
      </c>
      <c r="B28" s="7" t="s">
        <v>859</v>
      </c>
      <c r="C28" s="5" t="s">
        <v>2051</v>
      </c>
      <c r="E28" s="9" t="s">
        <v>2050</v>
      </c>
      <c r="H28" s="5" t="s">
        <v>1109</v>
      </c>
      <c r="J28" s="5" t="s">
        <v>1113</v>
      </c>
    </row>
    <row r="29" spans="1:10" ht="28.5" x14ac:dyDescent="0.45">
      <c r="A29" s="6" t="s">
        <v>514</v>
      </c>
      <c r="B29" s="7" t="s">
        <v>858</v>
      </c>
      <c r="C29" s="5" t="s">
        <v>1960</v>
      </c>
      <c r="E29" s="9" t="s">
        <v>2049</v>
      </c>
      <c r="J29" s="5" t="s">
        <v>1113</v>
      </c>
    </row>
    <row r="30" spans="1:10" ht="28.5" x14ac:dyDescent="0.45">
      <c r="A30" s="6" t="s">
        <v>513</v>
      </c>
      <c r="B30" s="7" t="s">
        <v>2756</v>
      </c>
      <c r="C30" s="5" t="s">
        <v>2020</v>
      </c>
      <c r="E30" s="9" t="s">
        <v>2052</v>
      </c>
      <c r="J30" s="5" t="s">
        <v>1113</v>
      </c>
    </row>
    <row r="31" spans="1:10" ht="28.5" x14ac:dyDescent="0.45">
      <c r="A31" s="6" t="s">
        <v>512</v>
      </c>
      <c r="B31" s="7" t="s">
        <v>857</v>
      </c>
      <c r="C31" s="5" t="s">
        <v>2054</v>
      </c>
      <c r="E31" s="9" t="s">
        <v>2053</v>
      </c>
      <c r="F31" s="5" t="s">
        <v>1951</v>
      </c>
      <c r="G31" s="5" t="s">
        <v>1084</v>
      </c>
      <c r="J31" s="5" t="s">
        <v>1113</v>
      </c>
    </row>
    <row r="32" spans="1:10" ht="28.5" x14ac:dyDescent="0.45">
      <c r="A32" s="6" t="s">
        <v>511</v>
      </c>
      <c r="B32" s="7" t="s">
        <v>856</v>
      </c>
      <c r="C32" s="5" t="s">
        <v>2056</v>
      </c>
      <c r="E32" s="9" t="s">
        <v>2055</v>
      </c>
      <c r="H32" s="5" t="s">
        <v>1096</v>
      </c>
      <c r="J32" s="5" t="s">
        <v>1114</v>
      </c>
    </row>
    <row r="33" spans="1:10" x14ac:dyDescent="0.45">
      <c r="A33" s="6" t="s">
        <v>510</v>
      </c>
      <c r="B33" s="7" t="s">
        <v>855</v>
      </c>
      <c r="C33" s="5" t="s">
        <v>877</v>
      </c>
      <c r="E33" s="9" t="s">
        <v>2057</v>
      </c>
    </row>
    <row r="34" spans="1:10" ht="28.5" x14ac:dyDescent="0.45">
      <c r="A34" s="6" t="s">
        <v>509</v>
      </c>
      <c r="B34" s="7" t="s">
        <v>854</v>
      </c>
      <c r="C34" s="5" t="s">
        <v>2059</v>
      </c>
      <c r="E34" s="9" t="s">
        <v>2058</v>
      </c>
      <c r="J34" s="5" t="s">
        <v>1119</v>
      </c>
    </row>
    <row r="35" spans="1:10" ht="28.5" x14ac:dyDescent="0.45">
      <c r="A35" s="6" t="s">
        <v>508</v>
      </c>
      <c r="B35" s="7" t="s">
        <v>854</v>
      </c>
      <c r="C35" s="5" t="s">
        <v>1192</v>
      </c>
      <c r="E35" s="9" t="s">
        <v>2060</v>
      </c>
      <c r="J35" s="5" t="s">
        <v>1113</v>
      </c>
    </row>
    <row r="36" spans="1:10" ht="28.5" x14ac:dyDescent="0.45">
      <c r="A36" s="6" t="s">
        <v>507</v>
      </c>
      <c r="B36" s="7" t="s">
        <v>853</v>
      </c>
      <c r="C36" s="5" t="s">
        <v>2062</v>
      </c>
      <c r="E36" s="9" t="s">
        <v>2061</v>
      </c>
      <c r="H36" s="5" t="s">
        <v>1096</v>
      </c>
      <c r="J36" s="5" t="s">
        <v>1113</v>
      </c>
    </row>
    <row r="37" spans="1:10" ht="28.5" x14ac:dyDescent="0.45">
      <c r="A37" s="6" t="s">
        <v>506</v>
      </c>
      <c r="B37" s="7" t="s">
        <v>2755</v>
      </c>
      <c r="C37" s="5" t="s">
        <v>2064</v>
      </c>
      <c r="E37" s="9" t="s">
        <v>2063</v>
      </c>
      <c r="J37" s="5" t="s">
        <v>1113</v>
      </c>
    </row>
    <row r="38" spans="1:10" ht="28.5" x14ac:dyDescent="0.45">
      <c r="A38" s="6" t="s">
        <v>505</v>
      </c>
      <c r="B38" s="7" t="s">
        <v>2755</v>
      </c>
      <c r="C38" s="5" t="s">
        <v>2066</v>
      </c>
      <c r="E38" s="9" t="s">
        <v>2065</v>
      </c>
      <c r="J38" s="5" t="s">
        <v>1113</v>
      </c>
    </row>
    <row r="39" spans="1:10" ht="85.5" x14ac:dyDescent="0.45">
      <c r="A39" s="6" t="s">
        <v>504</v>
      </c>
      <c r="B39" s="7" t="s">
        <v>852</v>
      </c>
      <c r="C39" s="5" t="s">
        <v>2068</v>
      </c>
      <c r="E39" s="9" t="s">
        <v>2067</v>
      </c>
      <c r="H39" s="5" t="s">
        <v>1095</v>
      </c>
      <c r="J39" s="5" t="s">
        <v>1113</v>
      </c>
    </row>
    <row r="40" spans="1:10" ht="28.5" x14ac:dyDescent="0.45">
      <c r="A40" s="6" t="s">
        <v>503</v>
      </c>
      <c r="B40" s="7" t="s">
        <v>851</v>
      </c>
      <c r="C40" s="5" t="s">
        <v>2070</v>
      </c>
      <c r="E40" s="9" t="s">
        <v>2069</v>
      </c>
      <c r="H40" s="5" t="s">
        <v>1098</v>
      </c>
      <c r="J40" s="5" t="s">
        <v>1111</v>
      </c>
    </row>
    <row r="41" spans="1:10" ht="28.5" x14ac:dyDescent="0.45">
      <c r="A41" s="6" t="s">
        <v>502</v>
      </c>
      <c r="B41" s="7" t="s">
        <v>850</v>
      </c>
      <c r="C41" s="5" t="s">
        <v>1187</v>
      </c>
      <c r="E41" s="9" t="s">
        <v>2071</v>
      </c>
      <c r="J41" s="5" t="s">
        <v>1118</v>
      </c>
    </row>
    <row r="42" spans="1:10" ht="28.5" x14ac:dyDescent="0.45">
      <c r="A42" s="6" t="s">
        <v>501</v>
      </c>
      <c r="B42" s="7" t="s">
        <v>2754</v>
      </c>
      <c r="C42" s="5" t="s">
        <v>2073</v>
      </c>
      <c r="E42" s="9" t="s">
        <v>2072</v>
      </c>
      <c r="J42" s="5" t="s">
        <v>1111</v>
      </c>
    </row>
    <row r="43" spans="1:10" ht="28.5" x14ac:dyDescent="0.45">
      <c r="A43" s="6" t="s">
        <v>451</v>
      </c>
      <c r="B43" s="7" t="s">
        <v>2754</v>
      </c>
      <c r="C43" s="5" t="s">
        <v>2077</v>
      </c>
      <c r="E43" s="9" t="s">
        <v>2076</v>
      </c>
      <c r="J43" s="5" t="s">
        <v>1113</v>
      </c>
    </row>
    <row r="44" spans="1:10" ht="28.5" x14ac:dyDescent="0.45">
      <c r="A44" s="6" t="s">
        <v>451</v>
      </c>
      <c r="B44" s="7" t="s">
        <v>2754</v>
      </c>
      <c r="C44" s="5" t="s">
        <v>2075</v>
      </c>
      <c r="E44" s="9" t="s">
        <v>2074</v>
      </c>
      <c r="J44" s="5" t="s">
        <v>1113</v>
      </c>
    </row>
    <row r="45" spans="1:10" x14ac:dyDescent="0.45">
      <c r="A45" s="6" t="s">
        <v>500</v>
      </c>
      <c r="B45" s="7" t="s">
        <v>847</v>
      </c>
      <c r="C45" s="5" t="s">
        <v>2031</v>
      </c>
      <c r="E45" s="9" t="s">
        <v>2078</v>
      </c>
    </row>
    <row r="46" spans="1:10" ht="28.5" x14ac:dyDescent="0.45">
      <c r="A46" s="6" t="s">
        <v>499</v>
      </c>
      <c r="B46" s="7" t="s">
        <v>2753</v>
      </c>
      <c r="C46" s="5" t="s">
        <v>2080</v>
      </c>
      <c r="E46" s="9" t="s">
        <v>2079</v>
      </c>
      <c r="J46" s="5" t="s">
        <v>1113</v>
      </c>
    </row>
    <row r="47" spans="1:10" ht="28.5" x14ac:dyDescent="0.45">
      <c r="A47" s="6" t="s">
        <v>498</v>
      </c>
      <c r="B47" s="7" t="s">
        <v>848</v>
      </c>
      <c r="C47" s="5" t="s">
        <v>2082</v>
      </c>
      <c r="E47" s="9" t="s">
        <v>2081</v>
      </c>
      <c r="J47" s="5" t="s">
        <v>1113</v>
      </c>
    </row>
    <row r="48" spans="1:10" x14ac:dyDescent="0.45">
      <c r="A48" s="6" t="s">
        <v>497</v>
      </c>
      <c r="B48" s="7" t="s">
        <v>849</v>
      </c>
      <c r="C48" s="5" t="s">
        <v>2084</v>
      </c>
      <c r="E48" s="9" t="s">
        <v>2083</v>
      </c>
    </row>
    <row r="49" spans="1:10" ht="28.5" x14ac:dyDescent="0.45">
      <c r="A49" s="6" t="s">
        <v>496</v>
      </c>
      <c r="B49" s="7" t="s">
        <v>846</v>
      </c>
      <c r="C49" s="5" t="s">
        <v>2086</v>
      </c>
      <c r="E49" s="9" t="s">
        <v>2085</v>
      </c>
      <c r="H49" s="5" t="s">
        <v>1108</v>
      </c>
      <c r="J49" s="5" t="s">
        <v>1113</v>
      </c>
    </row>
    <row r="50" spans="1:10" ht="28.5" x14ac:dyDescent="0.45">
      <c r="A50" s="6" t="s">
        <v>495</v>
      </c>
      <c r="B50" s="7" t="s">
        <v>845</v>
      </c>
      <c r="C50" s="5" t="s">
        <v>2088</v>
      </c>
      <c r="D50" s="8">
        <v>2</v>
      </c>
      <c r="E50" s="9" t="s">
        <v>2087</v>
      </c>
      <c r="J50" s="5" t="s">
        <v>1113</v>
      </c>
    </row>
    <row r="51" spans="1:10" ht="28.5" x14ac:dyDescent="0.45">
      <c r="A51" s="6" t="s">
        <v>494</v>
      </c>
      <c r="B51" s="7" t="s">
        <v>2752</v>
      </c>
      <c r="C51" s="5" t="s">
        <v>2090</v>
      </c>
      <c r="E51" s="9" t="s">
        <v>2089</v>
      </c>
      <c r="H51" s="5" t="s">
        <v>1105</v>
      </c>
      <c r="J51" s="5" t="s">
        <v>1113</v>
      </c>
    </row>
    <row r="52" spans="1:10" ht="28.5" x14ac:dyDescent="0.45">
      <c r="A52" s="6" t="s">
        <v>493</v>
      </c>
      <c r="B52" s="7" t="s">
        <v>844</v>
      </c>
      <c r="C52" s="5" t="s">
        <v>2092</v>
      </c>
      <c r="E52" s="9" t="s">
        <v>2091</v>
      </c>
    </row>
    <row r="53" spans="1:10" ht="28.5" x14ac:dyDescent="0.45">
      <c r="A53" s="6" t="s">
        <v>492</v>
      </c>
      <c r="B53" s="7" t="s">
        <v>844</v>
      </c>
      <c r="C53" s="5" t="s">
        <v>2094</v>
      </c>
      <c r="E53" s="9" t="s">
        <v>2093</v>
      </c>
      <c r="J53" s="5" t="s">
        <v>1114</v>
      </c>
    </row>
    <row r="54" spans="1:10" ht="28.5" x14ac:dyDescent="0.45">
      <c r="A54" s="6" t="s">
        <v>491</v>
      </c>
      <c r="B54" s="7" t="s">
        <v>2751</v>
      </c>
      <c r="C54" s="5" t="s">
        <v>2096</v>
      </c>
      <c r="E54" s="9" t="s">
        <v>2095</v>
      </c>
      <c r="J54" s="5" t="s">
        <v>1111</v>
      </c>
    </row>
    <row r="55" spans="1:10" ht="28.5" x14ac:dyDescent="0.45">
      <c r="A55" s="6" t="s">
        <v>490</v>
      </c>
      <c r="B55" s="7" t="s">
        <v>843</v>
      </c>
      <c r="C55" s="5" t="s">
        <v>2098</v>
      </c>
      <c r="E55" s="9" t="s">
        <v>2097</v>
      </c>
      <c r="J55" s="5" t="s">
        <v>1113</v>
      </c>
    </row>
    <row r="56" spans="1:10" ht="28.5" x14ac:dyDescent="0.45">
      <c r="A56" s="6" t="s">
        <v>489</v>
      </c>
      <c r="B56" s="7" t="s">
        <v>842</v>
      </c>
      <c r="C56" s="5" t="s">
        <v>2082</v>
      </c>
      <c r="E56" s="9" t="s">
        <v>2099</v>
      </c>
      <c r="H56" s="5" t="s">
        <v>1105</v>
      </c>
    </row>
    <row r="57" spans="1:10" ht="28.5" x14ac:dyDescent="0.45">
      <c r="A57" s="6" t="s">
        <v>488</v>
      </c>
      <c r="B57" s="7" t="s">
        <v>2750</v>
      </c>
      <c r="C57" s="5" t="s">
        <v>2018</v>
      </c>
      <c r="E57" s="9" t="s">
        <v>2100</v>
      </c>
      <c r="H57" s="5" t="s">
        <v>1108</v>
      </c>
      <c r="J57" s="5" t="s">
        <v>1113</v>
      </c>
    </row>
    <row r="58" spans="1:10" ht="28.5" x14ac:dyDescent="0.45">
      <c r="A58" s="6" t="s">
        <v>487</v>
      </c>
      <c r="B58" s="7" t="s">
        <v>2749</v>
      </c>
      <c r="C58" s="5" t="s">
        <v>2102</v>
      </c>
      <c r="E58" s="9" t="s">
        <v>2101</v>
      </c>
      <c r="J58" s="5" t="s">
        <v>1113</v>
      </c>
    </row>
    <row r="59" spans="1:10" ht="28.5" x14ac:dyDescent="0.45">
      <c r="A59" s="6" t="s">
        <v>486</v>
      </c>
      <c r="B59" s="7" t="s">
        <v>841</v>
      </c>
      <c r="C59" s="5" t="s">
        <v>2104</v>
      </c>
      <c r="E59" s="9" t="s">
        <v>2103</v>
      </c>
      <c r="J59" s="5" t="s">
        <v>1111</v>
      </c>
    </row>
    <row r="60" spans="1:10" x14ac:dyDescent="0.45">
      <c r="A60" s="6" t="s">
        <v>485</v>
      </c>
      <c r="B60" s="7" t="s">
        <v>840</v>
      </c>
      <c r="C60" s="5" t="s">
        <v>2106</v>
      </c>
      <c r="E60" s="9" t="s">
        <v>2105</v>
      </c>
    </row>
    <row r="61" spans="1:10" ht="28.5" x14ac:dyDescent="0.45">
      <c r="A61" s="6" t="s">
        <v>484</v>
      </c>
      <c r="B61" s="7" t="s">
        <v>840</v>
      </c>
      <c r="C61" s="5" t="s">
        <v>2108</v>
      </c>
      <c r="E61" s="9" t="s">
        <v>2107</v>
      </c>
      <c r="J61" s="5" t="s">
        <v>1118</v>
      </c>
    </row>
    <row r="62" spans="1:10" ht="28.5" x14ac:dyDescent="0.45">
      <c r="A62" s="6" t="s">
        <v>483</v>
      </c>
      <c r="B62" s="7" t="s">
        <v>839</v>
      </c>
      <c r="C62" s="5" t="s">
        <v>884</v>
      </c>
      <c r="E62" s="9" t="s">
        <v>2109</v>
      </c>
      <c r="F62" s="5" t="s">
        <v>995</v>
      </c>
      <c r="G62" s="5" t="s">
        <v>1083</v>
      </c>
      <c r="J62" s="5" t="s">
        <v>1114</v>
      </c>
    </row>
    <row r="63" spans="1:10" ht="28.5" x14ac:dyDescent="0.45">
      <c r="A63" s="6" t="s">
        <v>482</v>
      </c>
      <c r="C63" s="5" t="s">
        <v>2111</v>
      </c>
      <c r="E63" s="9" t="s">
        <v>2110</v>
      </c>
      <c r="J63" s="5" t="s">
        <v>1111</v>
      </c>
    </row>
    <row r="64" spans="1:10" x14ac:dyDescent="0.45">
      <c r="A64" s="6" t="s">
        <v>481</v>
      </c>
      <c r="C64" s="5" t="s">
        <v>2113</v>
      </c>
      <c r="E64" s="9" t="s">
        <v>2112</v>
      </c>
      <c r="J64" s="5" t="s">
        <v>1113</v>
      </c>
    </row>
    <row r="65" spans="1:10" x14ac:dyDescent="0.45">
      <c r="A65" s="6" t="s">
        <v>480</v>
      </c>
      <c r="B65" s="7" t="s">
        <v>838</v>
      </c>
      <c r="C65" s="5" t="s">
        <v>1875</v>
      </c>
      <c r="E65" s="9" t="s">
        <v>2114</v>
      </c>
      <c r="J65" s="5" t="s">
        <v>1119</v>
      </c>
    </row>
    <row r="66" spans="1:10" ht="28.5" x14ac:dyDescent="0.45">
      <c r="A66" s="6" t="s">
        <v>479</v>
      </c>
      <c r="C66" s="5" t="s">
        <v>905</v>
      </c>
      <c r="E66" s="9" t="s">
        <v>2115</v>
      </c>
    </row>
    <row r="67" spans="1:10" ht="28.5" x14ac:dyDescent="0.45">
      <c r="A67" s="6" t="s">
        <v>478</v>
      </c>
      <c r="B67" s="7" t="s">
        <v>837</v>
      </c>
      <c r="C67" s="5" t="s">
        <v>2094</v>
      </c>
      <c r="E67" s="9" t="s">
        <v>2116</v>
      </c>
      <c r="J67" s="5" t="s">
        <v>1113</v>
      </c>
    </row>
    <row r="68" spans="1:10" x14ac:dyDescent="0.45">
      <c r="A68" s="6" t="s">
        <v>477</v>
      </c>
      <c r="B68" s="7" t="s">
        <v>837</v>
      </c>
      <c r="C68" s="5" t="s">
        <v>2117</v>
      </c>
      <c r="E68" s="9" t="s">
        <v>2118</v>
      </c>
    </row>
    <row r="69" spans="1:10" ht="28.5" x14ac:dyDescent="0.45">
      <c r="A69" s="6" t="s">
        <v>476</v>
      </c>
      <c r="B69" s="7" t="s">
        <v>836</v>
      </c>
      <c r="C69" s="5" t="s">
        <v>2020</v>
      </c>
      <c r="E69" s="9" t="s">
        <v>2119</v>
      </c>
      <c r="J69" s="5" t="s">
        <v>1113</v>
      </c>
    </row>
    <row r="70" spans="1:10" ht="28.5" x14ac:dyDescent="0.45">
      <c r="A70" s="6" t="s">
        <v>475</v>
      </c>
      <c r="B70" s="7" t="s">
        <v>836</v>
      </c>
      <c r="C70" s="5" t="s">
        <v>2121</v>
      </c>
      <c r="E70" s="9" t="s">
        <v>2120</v>
      </c>
      <c r="J70" s="5" t="s">
        <v>1113</v>
      </c>
    </row>
    <row r="71" spans="1:10" ht="42.75" x14ac:dyDescent="0.45">
      <c r="A71" s="6" t="s">
        <v>474</v>
      </c>
      <c r="C71" s="5" t="s">
        <v>2123</v>
      </c>
      <c r="E71" s="9" t="s">
        <v>2122</v>
      </c>
      <c r="H71" s="5" t="s">
        <v>1105</v>
      </c>
      <c r="J71" s="5" t="s">
        <v>1113</v>
      </c>
    </row>
    <row r="72" spans="1:10" ht="28.5" x14ac:dyDescent="0.45">
      <c r="A72" s="6" t="s">
        <v>473</v>
      </c>
      <c r="B72" s="7" t="s">
        <v>835</v>
      </c>
      <c r="C72" s="5" t="s">
        <v>2125</v>
      </c>
      <c r="E72" s="9" t="s">
        <v>2124</v>
      </c>
      <c r="J72" s="5" t="s">
        <v>1119</v>
      </c>
    </row>
    <row r="73" spans="1:10" x14ac:dyDescent="0.45">
      <c r="A73" s="6" t="s">
        <v>472</v>
      </c>
      <c r="B73" s="7" t="s">
        <v>834</v>
      </c>
      <c r="C73" s="5" t="s">
        <v>2127</v>
      </c>
      <c r="E73" s="9" t="s">
        <v>2126</v>
      </c>
    </row>
    <row r="74" spans="1:10" ht="28.5" x14ac:dyDescent="0.45">
      <c r="A74" s="6" t="s">
        <v>471</v>
      </c>
      <c r="C74" s="5" t="s">
        <v>2129</v>
      </c>
      <c r="E74" s="9" t="s">
        <v>2128</v>
      </c>
      <c r="H74" s="5" t="s">
        <v>1108</v>
      </c>
      <c r="J74" s="5" t="s">
        <v>1113</v>
      </c>
    </row>
    <row r="75" spans="1:10" x14ac:dyDescent="0.45">
      <c r="A75" s="6" t="s">
        <v>470</v>
      </c>
      <c r="B75" s="7" t="s">
        <v>833</v>
      </c>
      <c r="C75" s="5" t="s">
        <v>2130</v>
      </c>
      <c r="E75" s="9" t="s">
        <v>2131</v>
      </c>
      <c r="F75" s="5" t="s">
        <v>994</v>
      </c>
      <c r="G75" s="5" t="s">
        <v>1082</v>
      </c>
    </row>
    <row r="76" spans="1:10" ht="28.5" x14ac:dyDescent="0.45">
      <c r="A76" s="6" t="s">
        <v>469</v>
      </c>
      <c r="B76" s="7" t="s">
        <v>2748</v>
      </c>
      <c r="C76" s="5" t="s">
        <v>1639</v>
      </c>
      <c r="E76" s="9" t="s">
        <v>2132</v>
      </c>
      <c r="J76" s="5" t="s">
        <v>1117</v>
      </c>
    </row>
    <row r="77" spans="1:10" ht="28.5" x14ac:dyDescent="0.45">
      <c r="A77" s="6" t="s">
        <v>468</v>
      </c>
      <c r="B77" s="7" t="s">
        <v>832</v>
      </c>
      <c r="C77" s="5" t="s">
        <v>2134</v>
      </c>
      <c r="E77" s="9" t="s">
        <v>2133</v>
      </c>
      <c r="J77" s="5" t="s">
        <v>1113</v>
      </c>
    </row>
    <row r="78" spans="1:10" ht="28.5" x14ac:dyDescent="0.45">
      <c r="A78" s="6" t="s">
        <v>467</v>
      </c>
      <c r="B78" s="7" t="s">
        <v>831</v>
      </c>
      <c r="C78" s="5" t="s">
        <v>2136</v>
      </c>
      <c r="E78" s="9" t="s">
        <v>2135</v>
      </c>
      <c r="J78" s="5" t="s">
        <v>1111</v>
      </c>
    </row>
    <row r="79" spans="1:10" ht="28.5" x14ac:dyDescent="0.45">
      <c r="A79" s="6" t="s">
        <v>466</v>
      </c>
      <c r="B79" s="7" t="s">
        <v>831</v>
      </c>
      <c r="C79" s="5" t="s">
        <v>2138</v>
      </c>
      <c r="E79" s="9" t="s">
        <v>2137</v>
      </c>
      <c r="H79" s="5" t="s">
        <v>1105</v>
      </c>
      <c r="J79" s="5" t="s">
        <v>1114</v>
      </c>
    </row>
    <row r="80" spans="1:10" ht="28.5" x14ac:dyDescent="0.45">
      <c r="A80" s="6" t="s">
        <v>465</v>
      </c>
      <c r="B80" s="7" t="s">
        <v>2747</v>
      </c>
      <c r="C80" s="5" t="s">
        <v>2140</v>
      </c>
      <c r="E80" s="9" t="s">
        <v>2139</v>
      </c>
      <c r="J80" s="5" t="s">
        <v>1113</v>
      </c>
    </row>
    <row r="81" spans="1:10" ht="28.5" x14ac:dyDescent="0.45">
      <c r="A81" s="6" t="s">
        <v>464</v>
      </c>
      <c r="B81" s="7" t="s">
        <v>2746</v>
      </c>
      <c r="C81" s="5" t="s">
        <v>2142</v>
      </c>
      <c r="E81" s="9" t="s">
        <v>2141</v>
      </c>
      <c r="J81" s="5" t="s">
        <v>1113</v>
      </c>
    </row>
    <row r="82" spans="1:10" ht="28.5" x14ac:dyDescent="0.45">
      <c r="A82" s="6" t="s">
        <v>463</v>
      </c>
      <c r="B82" s="7" t="s">
        <v>2746</v>
      </c>
      <c r="C82" s="5" t="s">
        <v>2144</v>
      </c>
      <c r="E82" s="9" t="s">
        <v>2143</v>
      </c>
      <c r="J82" s="5" t="s">
        <v>1113</v>
      </c>
    </row>
    <row r="83" spans="1:10" ht="28.5" x14ac:dyDescent="0.45">
      <c r="A83" s="6" t="s">
        <v>462</v>
      </c>
      <c r="B83" s="7" t="s">
        <v>2745</v>
      </c>
      <c r="C83" s="5" t="s">
        <v>2146</v>
      </c>
      <c r="E83" s="9" t="s">
        <v>2145</v>
      </c>
      <c r="F83" s="5" t="s">
        <v>1950</v>
      </c>
      <c r="G83" s="5" t="s">
        <v>1081</v>
      </c>
      <c r="J83" s="5" t="s">
        <v>1113</v>
      </c>
    </row>
    <row r="84" spans="1:10" ht="28.5" x14ac:dyDescent="0.45">
      <c r="A84" s="6" t="s">
        <v>461</v>
      </c>
      <c r="B84" s="7" t="s">
        <v>2744</v>
      </c>
      <c r="C84" s="5" t="s">
        <v>2148</v>
      </c>
      <c r="E84" s="9" t="s">
        <v>2147</v>
      </c>
    </row>
    <row r="85" spans="1:10" x14ac:dyDescent="0.45">
      <c r="A85" s="6" t="s">
        <v>460</v>
      </c>
      <c r="B85" s="7" t="s">
        <v>830</v>
      </c>
      <c r="C85" s="5" t="s">
        <v>2150</v>
      </c>
      <c r="E85" s="9" t="s">
        <v>2149</v>
      </c>
      <c r="F85" s="5" t="s">
        <v>993</v>
      </c>
      <c r="G85" s="5" t="s">
        <v>1080</v>
      </c>
    </row>
    <row r="86" spans="1:10" ht="28.5" x14ac:dyDescent="0.45">
      <c r="A86" s="6" t="s">
        <v>459</v>
      </c>
      <c r="B86" s="7" t="s">
        <v>829</v>
      </c>
      <c r="C86" s="5" t="s">
        <v>2152</v>
      </c>
      <c r="E86" s="9" t="s">
        <v>2151</v>
      </c>
      <c r="H86" s="5" t="s">
        <v>1108</v>
      </c>
      <c r="J86" s="5" t="s">
        <v>1111</v>
      </c>
    </row>
    <row r="87" spans="1:10" x14ac:dyDescent="0.45">
      <c r="A87" s="6" t="s">
        <v>458</v>
      </c>
      <c r="B87" s="7" t="s">
        <v>828</v>
      </c>
      <c r="C87" s="5" t="s">
        <v>2154</v>
      </c>
      <c r="E87" s="9" t="s">
        <v>2153</v>
      </c>
      <c r="J87" s="5" t="s">
        <v>1113</v>
      </c>
    </row>
    <row r="88" spans="1:10" ht="28.5" x14ac:dyDescent="0.45">
      <c r="A88" s="6" t="s">
        <v>457</v>
      </c>
      <c r="B88" s="7" t="s">
        <v>2743</v>
      </c>
      <c r="C88" s="5" t="s">
        <v>2156</v>
      </c>
      <c r="E88" s="9" t="s">
        <v>2155</v>
      </c>
    </row>
    <row r="89" spans="1:10" ht="28.5" x14ac:dyDescent="0.45">
      <c r="A89" s="6" t="s">
        <v>456</v>
      </c>
      <c r="B89" s="7" t="s">
        <v>2743</v>
      </c>
      <c r="C89" s="5" t="s">
        <v>2158</v>
      </c>
      <c r="E89" s="9" t="s">
        <v>2157</v>
      </c>
      <c r="H89" s="5" t="s">
        <v>1108</v>
      </c>
      <c r="J89" s="5" t="s">
        <v>1113</v>
      </c>
    </row>
    <row r="90" spans="1:10" ht="28.5" x14ac:dyDescent="0.45">
      <c r="A90" s="6" t="s">
        <v>455</v>
      </c>
      <c r="B90" s="7" t="s">
        <v>827</v>
      </c>
      <c r="C90" s="5" t="s">
        <v>2160</v>
      </c>
      <c r="E90" s="9" t="s">
        <v>2159</v>
      </c>
      <c r="J90" s="5" t="s">
        <v>1119</v>
      </c>
    </row>
    <row r="91" spans="1:10" ht="28.5" x14ac:dyDescent="0.45">
      <c r="A91" s="6" t="s">
        <v>454</v>
      </c>
      <c r="B91" s="7" t="s">
        <v>827</v>
      </c>
      <c r="C91" s="5" t="s">
        <v>2152</v>
      </c>
      <c r="E91" s="9" t="s">
        <v>2161</v>
      </c>
      <c r="H91" s="5" t="s">
        <v>1108</v>
      </c>
      <c r="J91" s="5" t="s">
        <v>1111</v>
      </c>
    </row>
    <row r="92" spans="1:10" ht="28.5" x14ac:dyDescent="0.45">
      <c r="A92" s="6" t="s">
        <v>453</v>
      </c>
      <c r="B92" s="7" t="s">
        <v>826</v>
      </c>
      <c r="C92" s="5" t="s">
        <v>2121</v>
      </c>
      <c r="E92" s="9" t="s">
        <v>2162</v>
      </c>
      <c r="J92" s="5" t="s">
        <v>1113</v>
      </c>
    </row>
    <row r="93" spans="1:10" ht="28.5" x14ac:dyDescent="0.45">
      <c r="A93" s="6" t="s">
        <v>452</v>
      </c>
      <c r="B93" s="7" t="s">
        <v>2742</v>
      </c>
      <c r="C93" s="5" t="s">
        <v>2164</v>
      </c>
      <c r="E93" s="9" t="s">
        <v>2163</v>
      </c>
      <c r="H93" s="5" t="s">
        <v>1102</v>
      </c>
      <c r="J93" s="5" t="s">
        <v>1113</v>
      </c>
    </row>
    <row r="94" spans="1:10" ht="28.5" x14ac:dyDescent="0.45">
      <c r="A94" s="6" t="s">
        <v>450</v>
      </c>
      <c r="B94" s="7" t="s">
        <v>2742</v>
      </c>
      <c r="C94" s="5" t="s">
        <v>2166</v>
      </c>
      <c r="E94" s="9" t="s">
        <v>2165</v>
      </c>
      <c r="J94" s="5" t="s">
        <v>1114</v>
      </c>
    </row>
    <row r="95" spans="1:10" ht="28.5" x14ac:dyDescent="0.45">
      <c r="A95" s="6" t="s">
        <v>449</v>
      </c>
      <c r="B95" s="7" t="s">
        <v>825</v>
      </c>
      <c r="C95" s="5" t="s">
        <v>2168</v>
      </c>
      <c r="E95" s="9" t="s">
        <v>2167</v>
      </c>
      <c r="H95" s="5" t="s">
        <v>1105</v>
      </c>
      <c r="J95" s="5" t="s">
        <v>1113</v>
      </c>
    </row>
    <row r="96" spans="1:10" ht="28.5" x14ac:dyDescent="0.45">
      <c r="A96" s="6" t="s">
        <v>448</v>
      </c>
      <c r="B96" s="7" t="s">
        <v>825</v>
      </c>
      <c r="C96" s="5" t="s">
        <v>2170</v>
      </c>
      <c r="E96" s="9" t="s">
        <v>2169</v>
      </c>
      <c r="J96" s="5" t="s">
        <v>1113</v>
      </c>
    </row>
    <row r="97" spans="1:10" ht="28.5" x14ac:dyDescent="0.45">
      <c r="A97" s="6" t="s">
        <v>447</v>
      </c>
      <c r="B97" s="7" t="s">
        <v>825</v>
      </c>
      <c r="C97" s="5" t="s">
        <v>2172</v>
      </c>
      <c r="E97" s="9" t="s">
        <v>2171</v>
      </c>
    </row>
    <row r="98" spans="1:10" ht="28.5" x14ac:dyDescent="0.45">
      <c r="A98" s="6" t="s">
        <v>446</v>
      </c>
      <c r="B98" s="7" t="s">
        <v>2741</v>
      </c>
      <c r="C98" s="5" t="s">
        <v>2173</v>
      </c>
      <c r="E98" s="9" t="s">
        <v>2174</v>
      </c>
      <c r="J98" s="5" t="s">
        <v>1111</v>
      </c>
    </row>
    <row r="99" spans="1:10" ht="28.5" x14ac:dyDescent="0.45">
      <c r="A99" s="6" t="s">
        <v>445</v>
      </c>
      <c r="B99" s="7" t="s">
        <v>2741</v>
      </c>
      <c r="C99" s="5" t="s">
        <v>2176</v>
      </c>
      <c r="E99" s="9" t="s">
        <v>2175</v>
      </c>
    </row>
    <row r="100" spans="1:10" ht="28.5" x14ac:dyDescent="0.45">
      <c r="A100" s="6" t="s">
        <v>444</v>
      </c>
      <c r="B100" s="7" t="s">
        <v>2740</v>
      </c>
      <c r="C100" s="5" t="s">
        <v>2172</v>
      </c>
      <c r="E100" s="9" t="s">
        <v>2177</v>
      </c>
      <c r="F100" s="5" t="s">
        <v>1949</v>
      </c>
      <c r="G100" s="5" t="s">
        <v>1079</v>
      </c>
    </row>
    <row r="101" spans="1:10" ht="28.5" x14ac:dyDescent="0.45">
      <c r="A101" s="6" t="s">
        <v>443</v>
      </c>
      <c r="B101" s="7" t="s">
        <v>2739</v>
      </c>
      <c r="C101" s="5" t="s">
        <v>2179</v>
      </c>
      <c r="E101" s="9" t="s">
        <v>2178</v>
      </c>
      <c r="J101" s="5" t="s">
        <v>1113</v>
      </c>
    </row>
    <row r="102" spans="1:10" ht="28.5" x14ac:dyDescent="0.45">
      <c r="A102" s="6" t="s">
        <v>442</v>
      </c>
      <c r="B102" s="7" t="s">
        <v>2738</v>
      </c>
      <c r="C102" s="5" t="s">
        <v>2181</v>
      </c>
      <c r="E102" s="9" t="s">
        <v>2180</v>
      </c>
    </row>
    <row r="103" spans="1:10" ht="28.5" x14ac:dyDescent="0.45">
      <c r="A103" s="6" t="s">
        <v>441</v>
      </c>
      <c r="B103" s="7" t="s">
        <v>2738</v>
      </c>
      <c r="C103" s="5" t="s">
        <v>2183</v>
      </c>
      <c r="E103" s="9" t="s">
        <v>2182</v>
      </c>
      <c r="H103" s="5" t="s">
        <v>1098</v>
      </c>
      <c r="J103" s="5" t="s">
        <v>1113</v>
      </c>
    </row>
    <row r="104" spans="1:10" ht="28.5" x14ac:dyDescent="0.45">
      <c r="A104" s="6" t="s">
        <v>440</v>
      </c>
      <c r="B104" s="7" t="s">
        <v>2738</v>
      </c>
      <c r="C104" s="5" t="s">
        <v>2185</v>
      </c>
      <c r="E104" s="9" t="s">
        <v>2184</v>
      </c>
      <c r="J104" s="5" t="s">
        <v>1113</v>
      </c>
    </row>
    <row r="105" spans="1:10" ht="28.5" x14ac:dyDescent="0.45">
      <c r="A105" s="6" t="s">
        <v>439</v>
      </c>
      <c r="B105" s="7" t="s">
        <v>824</v>
      </c>
      <c r="C105" s="5" t="s">
        <v>2187</v>
      </c>
      <c r="E105" s="9" t="s">
        <v>2186</v>
      </c>
      <c r="H105" s="5" t="s">
        <v>1107</v>
      </c>
      <c r="J105" s="5" t="s">
        <v>1113</v>
      </c>
    </row>
    <row r="106" spans="1:10" ht="28.5" x14ac:dyDescent="0.45">
      <c r="A106" s="6" t="s">
        <v>438</v>
      </c>
      <c r="B106" s="7" t="s">
        <v>823</v>
      </c>
      <c r="C106" s="5" t="s">
        <v>905</v>
      </c>
      <c r="E106" s="9" t="s">
        <v>1948</v>
      </c>
    </row>
    <row r="107" spans="1:10" ht="28.5" x14ac:dyDescent="0.45">
      <c r="A107" s="6" t="s">
        <v>437</v>
      </c>
      <c r="B107" s="7" t="s">
        <v>816</v>
      </c>
      <c r="C107" s="5" t="s">
        <v>2189</v>
      </c>
      <c r="E107" s="9" t="s">
        <v>2188</v>
      </c>
      <c r="H107" s="5" t="s">
        <v>1098</v>
      </c>
      <c r="J107" s="5" t="s">
        <v>1113</v>
      </c>
    </row>
    <row r="108" spans="1:10" ht="28.5" x14ac:dyDescent="0.45">
      <c r="A108" s="6" t="s">
        <v>436</v>
      </c>
      <c r="B108" s="7" t="s">
        <v>821</v>
      </c>
      <c r="C108" s="5" t="s">
        <v>2168</v>
      </c>
      <c r="E108" s="9" t="s">
        <v>2190</v>
      </c>
      <c r="J108" s="5" t="s">
        <v>1113</v>
      </c>
    </row>
    <row r="109" spans="1:10" ht="28.5" x14ac:dyDescent="0.45">
      <c r="A109" s="6" t="s">
        <v>435</v>
      </c>
      <c r="B109" s="7" t="s">
        <v>820</v>
      </c>
      <c r="C109" s="5" t="s">
        <v>2192</v>
      </c>
      <c r="E109" s="9" t="s">
        <v>2191</v>
      </c>
      <c r="J109" s="5" t="s">
        <v>1111</v>
      </c>
    </row>
    <row r="110" spans="1:10" x14ac:dyDescent="0.45">
      <c r="A110" s="6" t="s">
        <v>434</v>
      </c>
      <c r="B110" s="7" t="s">
        <v>819</v>
      </c>
      <c r="C110" s="5" t="s">
        <v>2195</v>
      </c>
      <c r="E110" s="9" t="s">
        <v>2196</v>
      </c>
      <c r="H110" s="5" t="s">
        <v>1105</v>
      </c>
    </row>
    <row r="111" spans="1:10" ht="28.5" x14ac:dyDescent="0.45">
      <c r="A111" s="6" t="s">
        <v>433</v>
      </c>
      <c r="B111" s="7" t="s">
        <v>818</v>
      </c>
      <c r="C111" s="5" t="s">
        <v>2194</v>
      </c>
      <c r="E111" s="9" t="s">
        <v>2193</v>
      </c>
      <c r="J111" s="5" t="s">
        <v>1113</v>
      </c>
    </row>
    <row r="112" spans="1:10" x14ac:dyDescent="0.45">
      <c r="A112" s="6" t="s">
        <v>432</v>
      </c>
      <c r="B112" s="7" t="s">
        <v>817</v>
      </c>
      <c r="C112" s="5" t="s">
        <v>2198</v>
      </c>
      <c r="E112" s="9" t="s">
        <v>2197</v>
      </c>
    </row>
    <row r="113" spans="1:10" ht="28.5" x14ac:dyDescent="0.45">
      <c r="A113" s="6" t="s">
        <v>431</v>
      </c>
      <c r="B113" s="7" t="s">
        <v>817</v>
      </c>
      <c r="C113" s="5" t="s">
        <v>2200</v>
      </c>
      <c r="E113" s="9" t="s">
        <v>2199</v>
      </c>
      <c r="J113" s="5" t="s">
        <v>1113</v>
      </c>
    </row>
    <row r="114" spans="1:10" ht="28.5" x14ac:dyDescent="0.45">
      <c r="A114" s="6" t="s">
        <v>430</v>
      </c>
      <c r="B114" s="7" t="s">
        <v>822</v>
      </c>
      <c r="C114" s="5" t="s">
        <v>2202</v>
      </c>
      <c r="E114" s="9" t="s">
        <v>2201</v>
      </c>
      <c r="J114" s="5" t="s">
        <v>1113</v>
      </c>
    </row>
    <row r="115" spans="1:10" x14ac:dyDescent="0.45">
      <c r="A115" s="6" t="s">
        <v>429</v>
      </c>
      <c r="B115" s="7" t="s">
        <v>2737</v>
      </c>
      <c r="C115" s="5" t="s">
        <v>2183</v>
      </c>
      <c r="E115" s="9" t="s">
        <v>2203</v>
      </c>
    </row>
    <row r="116" spans="1:10" x14ac:dyDescent="0.45">
      <c r="A116" s="6" t="s">
        <v>428</v>
      </c>
      <c r="B116" s="7" t="s">
        <v>815</v>
      </c>
      <c r="C116" s="5" t="s">
        <v>1193</v>
      </c>
      <c r="E116" s="9" t="s">
        <v>2204</v>
      </c>
    </row>
    <row r="117" spans="1:10" x14ac:dyDescent="0.45">
      <c r="A117" s="6" t="s">
        <v>427</v>
      </c>
      <c r="B117" s="7" t="s">
        <v>814</v>
      </c>
      <c r="C117" s="5" t="s">
        <v>2206</v>
      </c>
      <c r="E117" s="9" t="s">
        <v>2205</v>
      </c>
    </row>
    <row r="118" spans="1:10" ht="28.5" x14ac:dyDescent="0.45">
      <c r="A118" s="6" t="s">
        <v>426</v>
      </c>
      <c r="B118" s="7" t="s">
        <v>813</v>
      </c>
      <c r="C118" s="5" t="s">
        <v>2208</v>
      </c>
      <c r="E118" s="9" t="s">
        <v>2207</v>
      </c>
      <c r="J118" s="5" t="s">
        <v>1111</v>
      </c>
    </row>
    <row r="119" spans="1:10" ht="28.5" x14ac:dyDescent="0.45">
      <c r="A119" s="6" t="s">
        <v>425</v>
      </c>
      <c r="B119" s="7" t="s">
        <v>812</v>
      </c>
      <c r="C119" s="5" t="s">
        <v>2198</v>
      </c>
      <c r="E119" s="9" t="s">
        <v>2209</v>
      </c>
      <c r="J119" s="5" t="s">
        <v>1113</v>
      </c>
    </row>
    <row r="120" spans="1:10" ht="28.5" x14ac:dyDescent="0.45">
      <c r="A120" s="6" t="s">
        <v>424</v>
      </c>
      <c r="B120" s="7" t="s">
        <v>2736</v>
      </c>
      <c r="C120" s="5" t="s">
        <v>2211</v>
      </c>
      <c r="E120" s="9" t="s">
        <v>2210</v>
      </c>
      <c r="F120" s="5" t="s">
        <v>1947</v>
      </c>
      <c r="G120" s="5" t="s">
        <v>1078</v>
      </c>
      <c r="H120" s="5" t="s">
        <v>1102</v>
      </c>
      <c r="J120" s="5" t="s">
        <v>1113</v>
      </c>
    </row>
    <row r="121" spans="1:10" ht="28.5" x14ac:dyDescent="0.45">
      <c r="A121" s="6" t="s">
        <v>423</v>
      </c>
      <c r="B121" s="7" t="s">
        <v>811</v>
      </c>
      <c r="C121" s="5" t="s">
        <v>905</v>
      </c>
      <c r="E121" s="9" t="s">
        <v>1946</v>
      </c>
    </row>
    <row r="122" spans="1:10" ht="42.75" x14ac:dyDescent="0.45">
      <c r="A122" s="6" t="s">
        <v>422</v>
      </c>
      <c r="B122" s="7" t="s">
        <v>2735</v>
      </c>
      <c r="C122" s="5" t="s">
        <v>2213</v>
      </c>
      <c r="E122" s="9" t="s">
        <v>2212</v>
      </c>
      <c r="J122" s="5" t="s">
        <v>1113</v>
      </c>
    </row>
    <row r="123" spans="1:10" ht="28.5" x14ac:dyDescent="0.45">
      <c r="A123" s="6" t="s">
        <v>421</v>
      </c>
      <c r="B123" s="7" t="s">
        <v>810</v>
      </c>
      <c r="C123" s="5" t="s">
        <v>2215</v>
      </c>
      <c r="E123" s="9" t="s">
        <v>2214</v>
      </c>
      <c r="H123" s="5" t="s">
        <v>1098</v>
      </c>
      <c r="J123" s="5" t="s">
        <v>1113</v>
      </c>
    </row>
    <row r="124" spans="1:10" ht="28.5" x14ac:dyDescent="0.45">
      <c r="A124" s="6" t="s">
        <v>420</v>
      </c>
      <c r="B124" s="7" t="s">
        <v>810</v>
      </c>
      <c r="C124" s="5" t="s">
        <v>2217</v>
      </c>
      <c r="E124" s="9" t="s">
        <v>2216</v>
      </c>
      <c r="J124" s="5" t="s">
        <v>1113</v>
      </c>
    </row>
    <row r="125" spans="1:10" ht="42.75" x14ac:dyDescent="0.45">
      <c r="A125" s="6" t="s">
        <v>419</v>
      </c>
      <c r="B125" s="7" t="s">
        <v>809</v>
      </c>
      <c r="C125" s="5" t="s">
        <v>2219</v>
      </c>
      <c r="E125" s="9" t="s">
        <v>2218</v>
      </c>
      <c r="H125" s="5" t="s">
        <v>1099</v>
      </c>
      <c r="J125" s="5" t="s">
        <v>1113</v>
      </c>
    </row>
    <row r="126" spans="1:10" ht="42.75" x14ac:dyDescent="0.45">
      <c r="A126" s="6" t="s">
        <v>418</v>
      </c>
      <c r="B126" s="7" t="s">
        <v>809</v>
      </c>
      <c r="C126" s="5" t="s">
        <v>2221</v>
      </c>
      <c r="E126" s="9" t="s">
        <v>2220</v>
      </c>
      <c r="H126" s="5" t="s">
        <v>1098</v>
      </c>
      <c r="J126" s="5" t="s">
        <v>1113</v>
      </c>
    </row>
    <row r="127" spans="1:10" ht="28.5" x14ac:dyDescent="0.45">
      <c r="A127" s="6" t="s">
        <v>417</v>
      </c>
      <c r="B127" s="7" t="s">
        <v>808</v>
      </c>
      <c r="C127" s="5" t="s">
        <v>2223</v>
      </c>
      <c r="E127" s="9" t="s">
        <v>2222</v>
      </c>
      <c r="J127" s="5" t="s">
        <v>1113</v>
      </c>
    </row>
    <row r="128" spans="1:10" ht="28.5" x14ac:dyDescent="0.45">
      <c r="A128" s="6" t="s">
        <v>416</v>
      </c>
      <c r="B128" s="7" t="s">
        <v>2734</v>
      </c>
      <c r="C128" s="5" t="s">
        <v>2225</v>
      </c>
      <c r="E128" s="9" t="s">
        <v>2224</v>
      </c>
      <c r="J128" s="5" t="s">
        <v>1113</v>
      </c>
    </row>
    <row r="129" spans="1:10" ht="28.5" x14ac:dyDescent="0.45">
      <c r="A129" s="6" t="s">
        <v>415</v>
      </c>
      <c r="B129" s="7" t="s">
        <v>2734</v>
      </c>
      <c r="C129" s="5" t="s">
        <v>2227</v>
      </c>
      <c r="E129" s="9" t="s">
        <v>2226</v>
      </c>
      <c r="J129" s="5" t="s">
        <v>1113</v>
      </c>
    </row>
    <row r="130" spans="1:10" x14ac:dyDescent="0.45">
      <c r="A130" s="6" t="s">
        <v>414</v>
      </c>
      <c r="B130" s="7" t="s">
        <v>807</v>
      </c>
      <c r="C130" s="5" t="s">
        <v>2041</v>
      </c>
      <c r="E130" s="9" t="s">
        <v>2228</v>
      </c>
      <c r="H130" s="5" t="s">
        <v>1106</v>
      </c>
      <c r="J130" s="5" t="s">
        <v>1113</v>
      </c>
    </row>
    <row r="131" spans="1:10" ht="28.5" x14ac:dyDescent="0.45">
      <c r="A131" s="6" t="s">
        <v>413</v>
      </c>
      <c r="B131" s="7" t="s">
        <v>806</v>
      </c>
      <c r="C131" s="5" t="s">
        <v>2230</v>
      </c>
      <c r="E131" s="9" t="s">
        <v>2229</v>
      </c>
      <c r="J131" s="5" t="s">
        <v>1113</v>
      </c>
    </row>
    <row r="132" spans="1:10" ht="28.5" x14ac:dyDescent="0.45">
      <c r="A132" s="6" t="s">
        <v>412</v>
      </c>
      <c r="B132" s="7" t="s">
        <v>803</v>
      </c>
      <c r="C132" s="5" t="s">
        <v>2232</v>
      </c>
      <c r="E132" s="9" t="s">
        <v>2231</v>
      </c>
      <c r="J132" s="5" t="s">
        <v>1111</v>
      </c>
    </row>
    <row r="133" spans="1:10" x14ac:dyDescent="0.45">
      <c r="A133" s="6" t="s">
        <v>411</v>
      </c>
      <c r="B133" s="7" t="s">
        <v>2733</v>
      </c>
      <c r="C133" s="5" t="s">
        <v>2234</v>
      </c>
      <c r="E133" s="9" t="s">
        <v>2233</v>
      </c>
    </row>
    <row r="134" spans="1:10" ht="28.5" x14ac:dyDescent="0.45">
      <c r="A134" s="6" t="s">
        <v>410</v>
      </c>
      <c r="B134" s="7" t="s">
        <v>804</v>
      </c>
      <c r="C134" s="5" t="s">
        <v>2236</v>
      </c>
      <c r="E134" s="9" t="s">
        <v>2235</v>
      </c>
      <c r="J134" s="5" t="s">
        <v>1113</v>
      </c>
    </row>
    <row r="135" spans="1:10" ht="28.5" x14ac:dyDescent="0.45">
      <c r="A135" s="6" t="s">
        <v>409</v>
      </c>
      <c r="B135" s="7" t="s">
        <v>805</v>
      </c>
      <c r="C135" s="5" t="s">
        <v>2238</v>
      </c>
      <c r="E135" s="9" t="s">
        <v>2237</v>
      </c>
      <c r="H135" s="5" t="s">
        <v>1098</v>
      </c>
      <c r="J135" s="5" t="s">
        <v>1113</v>
      </c>
    </row>
    <row r="136" spans="1:10" ht="28.5" x14ac:dyDescent="0.45">
      <c r="A136" s="6" t="s">
        <v>408</v>
      </c>
      <c r="B136" s="7" t="s">
        <v>805</v>
      </c>
      <c r="C136" s="5" t="s">
        <v>2230</v>
      </c>
      <c r="E136" s="9" t="s">
        <v>2239</v>
      </c>
      <c r="J136" s="5" t="s">
        <v>1113</v>
      </c>
    </row>
    <row r="137" spans="1:10" ht="28.5" x14ac:dyDescent="0.45">
      <c r="A137" s="6" t="s">
        <v>407</v>
      </c>
      <c r="B137" s="7" t="s">
        <v>802</v>
      </c>
      <c r="C137" s="5" t="s">
        <v>2001</v>
      </c>
      <c r="E137" s="9" t="s">
        <v>2240</v>
      </c>
      <c r="J137" s="5" t="s">
        <v>1113</v>
      </c>
    </row>
    <row r="138" spans="1:10" ht="28.5" x14ac:dyDescent="0.45">
      <c r="A138" s="6" t="s">
        <v>406</v>
      </c>
      <c r="B138" s="7" t="s">
        <v>2732</v>
      </c>
      <c r="C138" s="5" t="s">
        <v>2211</v>
      </c>
      <c r="E138" s="9" t="s">
        <v>2241</v>
      </c>
      <c r="F138" s="5" t="s">
        <v>1945</v>
      </c>
      <c r="G138" s="5" t="s">
        <v>1078</v>
      </c>
      <c r="H138" s="5" t="s">
        <v>1102</v>
      </c>
      <c r="J138" s="5" t="s">
        <v>1113</v>
      </c>
    </row>
    <row r="139" spans="1:10" ht="28.5" x14ac:dyDescent="0.45">
      <c r="A139" s="6" t="s">
        <v>405</v>
      </c>
      <c r="B139" s="7" t="s">
        <v>2732</v>
      </c>
      <c r="C139" s="5" t="s">
        <v>2215</v>
      </c>
      <c r="E139" s="9" t="s">
        <v>2242</v>
      </c>
      <c r="J139" s="5" t="s">
        <v>1113</v>
      </c>
    </row>
    <row r="140" spans="1:10" ht="28.5" x14ac:dyDescent="0.45">
      <c r="A140" s="6" t="s">
        <v>404</v>
      </c>
      <c r="B140" s="7" t="s">
        <v>2732</v>
      </c>
      <c r="C140" s="5" t="s">
        <v>2244</v>
      </c>
      <c r="E140" s="9" t="s">
        <v>2243</v>
      </c>
      <c r="J140" s="5" t="s">
        <v>1113</v>
      </c>
    </row>
    <row r="141" spans="1:10" x14ac:dyDescent="0.45">
      <c r="A141" s="6" t="s">
        <v>403</v>
      </c>
      <c r="B141" s="7" t="s">
        <v>2732</v>
      </c>
      <c r="C141" s="5" t="s">
        <v>2246</v>
      </c>
      <c r="E141" s="9" t="s">
        <v>2245</v>
      </c>
      <c r="J141" s="5" t="s">
        <v>1113</v>
      </c>
    </row>
    <row r="142" spans="1:10" x14ac:dyDescent="0.45">
      <c r="A142" s="6" t="s">
        <v>402</v>
      </c>
      <c r="B142" s="7" t="s">
        <v>801</v>
      </c>
      <c r="C142" s="5" t="s">
        <v>2248</v>
      </c>
      <c r="E142" s="9" t="s">
        <v>2247</v>
      </c>
    </row>
    <row r="143" spans="1:10" ht="28.5" x14ac:dyDescent="0.45">
      <c r="A143" s="6" t="s">
        <v>401</v>
      </c>
      <c r="B143" s="7" t="s">
        <v>2731</v>
      </c>
      <c r="C143" s="5" t="s">
        <v>2250</v>
      </c>
      <c r="E143" s="9" t="s">
        <v>2249</v>
      </c>
      <c r="J143" s="5" t="s">
        <v>1113</v>
      </c>
    </row>
    <row r="144" spans="1:10" ht="28.5" x14ac:dyDescent="0.45">
      <c r="A144" s="6" t="s">
        <v>400</v>
      </c>
      <c r="B144" s="7" t="s">
        <v>800</v>
      </c>
      <c r="C144" s="5" t="s">
        <v>2252</v>
      </c>
      <c r="E144" s="9" t="s">
        <v>2251</v>
      </c>
      <c r="H144" s="5" t="s">
        <v>1098</v>
      </c>
      <c r="J144" s="5" t="s">
        <v>1113</v>
      </c>
    </row>
    <row r="145" spans="1:10" ht="28.5" x14ac:dyDescent="0.45">
      <c r="A145" s="6" t="s">
        <v>399</v>
      </c>
      <c r="B145" s="7" t="s">
        <v>800</v>
      </c>
      <c r="C145" s="5" t="s">
        <v>884</v>
      </c>
      <c r="E145" s="9" t="s">
        <v>1944</v>
      </c>
      <c r="J145" s="5" t="s">
        <v>1114</v>
      </c>
    </row>
    <row r="146" spans="1:10" ht="28.5" x14ac:dyDescent="0.45">
      <c r="A146" s="6" t="s">
        <v>398</v>
      </c>
      <c r="B146" s="7" t="s">
        <v>2730</v>
      </c>
      <c r="C146" s="5" t="s">
        <v>2208</v>
      </c>
      <c r="E146" s="9" t="s">
        <v>2253</v>
      </c>
      <c r="H146" s="5" t="s">
        <v>1098</v>
      </c>
      <c r="J146" s="5" t="s">
        <v>1119</v>
      </c>
    </row>
    <row r="147" spans="1:10" ht="28.5" x14ac:dyDescent="0.45">
      <c r="A147" s="6" t="s">
        <v>397</v>
      </c>
      <c r="B147" s="7" t="s">
        <v>2729</v>
      </c>
      <c r="C147" s="5" t="s">
        <v>2255</v>
      </c>
      <c r="E147" s="9" t="s">
        <v>2254</v>
      </c>
      <c r="J147" s="5" t="s">
        <v>1111</v>
      </c>
    </row>
    <row r="148" spans="1:10" ht="28.5" x14ac:dyDescent="0.45">
      <c r="A148" s="6" t="s">
        <v>396</v>
      </c>
      <c r="B148" s="7" t="s">
        <v>799</v>
      </c>
      <c r="C148" s="5" t="s">
        <v>2257</v>
      </c>
      <c r="E148" s="9" t="s">
        <v>2256</v>
      </c>
      <c r="J148" s="5" t="s">
        <v>1113</v>
      </c>
    </row>
    <row r="149" spans="1:10" ht="28.5" x14ac:dyDescent="0.45">
      <c r="A149" s="6" t="s">
        <v>395</v>
      </c>
      <c r="B149" s="7" t="s">
        <v>798</v>
      </c>
      <c r="C149" s="5" t="s">
        <v>2259</v>
      </c>
      <c r="E149" s="9" t="s">
        <v>2258</v>
      </c>
      <c r="J149" s="5" t="s">
        <v>1113</v>
      </c>
    </row>
    <row r="150" spans="1:10" ht="42.75" x14ac:dyDescent="0.45">
      <c r="A150" s="6" t="s">
        <v>394</v>
      </c>
      <c r="B150" s="7" t="s">
        <v>797</v>
      </c>
      <c r="C150" s="5" t="s">
        <v>2261</v>
      </c>
      <c r="E150" s="9" t="s">
        <v>2260</v>
      </c>
      <c r="H150" s="5" t="s">
        <v>1098</v>
      </c>
      <c r="J150" s="5" t="s">
        <v>1113</v>
      </c>
    </row>
    <row r="151" spans="1:10" ht="28.5" x14ac:dyDescent="0.45">
      <c r="A151" s="6" t="s">
        <v>393</v>
      </c>
      <c r="B151" s="7" t="s">
        <v>796</v>
      </c>
      <c r="C151" s="5" t="s">
        <v>2263</v>
      </c>
      <c r="E151" s="9" t="s">
        <v>2262</v>
      </c>
      <c r="J151" s="5" t="s">
        <v>1113</v>
      </c>
    </row>
    <row r="152" spans="1:10" ht="28.5" x14ac:dyDescent="0.45">
      <c r="A152" s="6" t="s">
        <v>392</v>
      </c>
      <c r="B152" s="7" t="s">
        <v>795</v>
      </c>
      <c r="C152" s="5" t="s">
        <v>2265</v>
      </c>
      <c r="E152" s="9" t="s">
        <v>2264</v>
      </c>
      <c r="J152" s="5" t="s">
        <v>1118</v>
      </c>
    </row>
    <row r="153" spans="1:10" x14ac:dyDescent="0.45">
      <c r="A153" s="6" t="s">
        <v>391</v>
      </c>
      <c r="B153" s="7" t="s">
        <v>794</v>
      </c>
      <c r="C153" s="5" t="s">
        <v>2269</v>
      </c>
      <c r="E153" s="9" t="s">
        <v>2266</v>
      </c>
    </row>
    <row r="154" spans="1:10" ht="28.5" x14ac:dyDescent="0.45">
      <c r="A154" s="6" t="s">
        <v>390</v>
      </c>
      <c r="B154" s="7" t="s">
        <v>793</v>
      </c>
      <c r="C154" s="5" t="s">
        <v>2268</v>
      </c>
      <c r="E154" s="9" t="s">
        <v>2267</v>
      </c>
      <c r="F154" s="5" t="s">
        <v>1943</v>
      </c>
      <c r="G154" s="5" t="s">
        <v>1066</v>
      </c>
      <c r="J154" s="5" t="s">
        <v>1113</v>
      </c>
    </row>
    <row r="155" spans="1:10" ht="28.5" x14ac:dyDescent="0.45">
      <c r="A155" s="6" t="s">
        <v>389</v>
      </c>
      <c r="B155" s="7" t="s">
        <v>793</v>
      </c>
      <c r="C155" s="5" t="s">
        <v>2271</v>
      </c>
      <c r="E155" s="9" t="s">
        <v>2270</v>
      </c>
      <c r="J155" s="5" t="s">
        <v>1113</v>
      </c>
    </row>
    <row r="156" spans="1:10" ht="28.5" x14ac:dyDescent="0.45">
      <c r="A156" s="6" t="s">
        <v>388</v>
      </c>
      <c r="B156" s="7" t="s">
        <v>793</v>
      </c>
      <c r="C156" s="5" t="s">
        <v>2168</v>
      </c>
      <c r="E156" s="9" t="s">
        <v>2272</v>
      </c>
      <c r="J156" s="5" t="s">
        <v>1113</v>
      </c>
    </row>
    <row r="157" spans="1:10" ht="28.5" x14ac:dyDescent="0.45">
      <c r="A157" s="6" t="s">
        <v>387</v>
      </c>
      <c r="B157" s="7" t="s">
        <v>2728</v>
      </c>
      <c r="C157" s="5" t="s">
        <v>2219</v>
      </c>
      <c r="E157" s="9" t="s">
        <v>2273</v>
      </c>
      <c r="J157" s="5" t="s">
        <v>1113</v>
      </c>
    </row>
    <row r="158" spans="1:10" ht="28.5" x14ac:dyDescent="0.45">
      <c r="A158" s="6" t="s">
        <v>386</v>
      </c>
      <c r="B158" s="7" t="s">
        <v>792</v>
      </c>
      <c r="C158" s="5" t="s">
        <v>2275</v>
      </c>
      <c r="E158" s="9" t="s">
        <v>2274</v>
      </c>
      <c r="F158" s="5" t="s">
        <v>1942</v>
      </c>
      <c r="G158" s="5" t="s">
        <v>1066</v>
      </c>
      <c r="J158" s="5" t="s">
        <v>1111</v>
      </c>
    </row>
    <row r="159" spans="1:10" ht="28.5" x14ac:dyDescent="0.45">
      <c r="A159" s="6" t="s">
        <v>385</v>
      </c>
      <c r="B159" s="7" t="s">
        <v>2727</v>
      </c>
      <c r="C159" s="5" t="s">
        <v>2277</v>
      </c>
      <c r="E159" s="9" t="s">
        <v>2276</v>
      </c>
      <c r="H159" s="5" t="s">
        <v>1099</v>
      </c>
      <c r="J159" s="5" t="s">
        <v>1113</v>
      </c>
    </row>
    <row r="160" spans="1:10" ht="28.5" x14ac:dyDescent="0.45">
      <c r="A160" s="6" t="s">
        <v>384</v>
      </c>
      <c r="B160" s="7" t="s">
        <v>791</v>
      </c>
      <c r="C160" s="5" t="s">
        <v>2279</v>
      </c>
      <c r="E160" s="9" t="s">
        <v>2278</v>
      </c>
      <c r="H160" s="5" t="s">
        <v>1098</v>
      </c>
    </row>
    <row r="161" spans="1:10" ht="28.5" x14ac:dyDescent="0.45">
      <c r="A161" s="6" t="s">
        <v>383</v>
      </c>
      <c r="B161" s="7" t="s">
        <v>790</v>
      </c>
      <c r="C161" s="5" t="s">
        <v>2198</v>
      </c>
      <c r="E161" s="9" t="s">
        <v>2280</v>
      </c>
    </row>
    <row r="162" spans="1:10" ht="28.5" x14ac:dyDescent="0.45">
      <c r="A162" s="6" t="s">
        <v>382</v>
      </c>
      <c r="B162" s="7" t="s">
        <v>790</v>
      </c>
      <c r="C162" s="5" t="s">
        <v>2168</v>
      </c>
      <c r="E162" s="9" t="s">
        <v>2281</v>
      </c>
      <c r="J162" s="5" t="s">
        <v>1113</v>
      </c>
    </row>
    <row r="163" spans="1:10" ht="28.5" x14ac:dyDescent="0.45">
      <c r="A163" s="6" t="s">
        <v>381</v>
      </c>
      <c r="B163" s="7" t="s">
        <v>789</v>
      </c>
      <c r="C163" s="5" t="s">
        <v>2283</v>
      </c>
      <c r="E163" s="9" t="s">
        <v>2282</v>
      </c>
      <c r="J163" s="5" t="s">
        <v>1112</v>
      </c>
    </row>
    <row r="164" spans="1:10" ht="28.5" x14ac:dyDescent="0.45">
      <c r="A164" s="6" t="s">
        <v>380</v>
      </c>
      <c r="B164" s="7" t="s">
        <v>788</v>
      </c>
      <c r="C164" s="5" t="s">
        <v>2285</v>
      </c>
      <c r="E164" s="9" t="s">
        <v>2284</v>
      </c>
      <c r="J164" s="5" t="s">
        <v>1113</v>
      </c>
    </row>
    <row r="165" spans="1:10" ht="28.5" x14ac:dyDescent="0.45">
      <c r="A165" s="6" t="s">
        <v>379</v>
      </c>
      <c r="C165" s="5" t="s">
        <v>2268</v>
      </c>
      <c r="E165" s="9" t="s">
        <v>2286</v>
      </c>
      <c r="J165" s="5" t="s">
        <v>1113</v>
      </c>
    </row>
    <row r="166" spans="1:10" ht="28.5" x14ac:dyDescent="0.45">
      <c r="A166" s="6" t="s">
        <v>378</v>
      </c>
      <c r="B166" s="7" t="s">
        <v>787</v>
      </c>
      <c r="C166" s="5" t="s">
        <v>2288</v>
      </c>
      <c r="E166" s="9" t="s">
        <v>2287</v>
      </c>
      <c r="J166" s="5" t="s">
        <v>1113</v>
      </c>
    </row>
    <row r="167" spans="1:10" ht="28.5" x14ac:dyDescent="0.45">
      <c r="A167" s="6" t="s">
        <v>377</v>
      </c>
      <c r="B167" s="7" t="s">
        <v>2725</v>
      </c>
      <c r="C167" s="5" t="s">
        <v>2290</v>
      </c>
      <c r="E167" s="9" t="s">
        <v>2289</v>
      </c>
      <c r="H167" s="5" t="s">
        <v>1099</v>
      </c>
      <c r="J167" s="5" t="s">
        <v>1113</v>
      </c>
    </row>
    <row r="168" spans="1:10" ht="28.5" x14ac:dyDescent="0.45">
      <c r="A168" s="6" t="s">
        <v>376</v>
      </c>
      <c r="B168" s="7" t="s">
        <v>2726</v>
      </c>
      <c r="C168" s="5" t="s">
        <v>905</v>
      </c>
      <c r="E168" s="9" t="s">
        <v>1940</v>
      </c>
      <c r="F168" s="5" t="s">
        <v>1941</v>
      </c>
      <c r="G168" s="5" t="s">
        <v>1066</v>
      </c>
    </row>
    <row r="169" spans="1:10" ht="28.5" x14ac:dyDescent="0.45">
      <c r="A169" s="6" t="s">
        <v>375</v>
      </c>
      <c r="B169" s="7" t="s">
        <v>2726</v>
      </c>
      <c r="C169" s="5" t="s">
        <v>2285</v>
      </c>
      <c r="E169" s="9" t="s">
        <v>2291</v>
      </c>
      <c r="J169" s="5" t="s">
        <v>1113</v>
      </c>
    </row>
    <row r="170" spans="1:10" ht="28.5" x14ac:dyDescent="0.45">
      <c r="A170" s="6" t="s">
        <v>374</v>
      </c>
      <c r="B170" s="7" t="s">
        <v>2726</v>
      </c>
      <c r="C170" s="5" t="s">
        <v>884</v>
      </c>
      <c r="E170" s="9" t="s">
        <v>1939</v>
      </c>
      <c r="H170" s="5" t="s">
        <v>1098</v>
      </c>
      <c r="J170" s="5" t="s">
        <v>1114</v>
      </c>
    </row>
    <row r="171" spans="1:10" ht="28.5" x14ac:dyDescent="0.45">
      <c r="A171" s="6" t="s">
        <v>373</v>
      </c>
      <c r="B171" s="7" t="s">
        <v>786</v>
      </c>
      <c r="C171" s="5" t="s">
        <v>2293</v>
      </c>
      <c r="E171" s="9" t="s">
        <v>2292</v>
      </c>
      <c r="H171" s="5" t="s">
        <v>1098</v>
      </c>
      <c r="J171" s="5" t="s">
        <v>1113</v>
      </c>
    </row>
    <row r="172" spans="1:10" ht="28.5" x14ac:dyDescent="0.45">
      <c r="A172" s="6" t="s">
        <v>372</v>
      </c>
      <c r="B172" s="7" t="s">
        <v>785</v>
      </c>
      <c r="C172" s="5" t="s">
        <v>2295</v>
      </c>
      <c r="E172" s="9" t="s">
        <v>2294</v>
      </c>
      <c r="J172" s="5" t="s">
        <v>1113</v>
      </c>
    </row>
    <row r="173" spans="1:10" ht="28.5" x14ac:dyDescent="0.45">
      <c r="A173" s="6" t="s">
        <v>371</v>
      </c>
      <c r="B173" s="7" t="s">
        <v>785</v>
      </c>
      <c r="C173" s="5" t="s">
        <v>2297</v>
      </c>
      <c r="E173" s="9" t="s">
        <v>2296</v>
      </c>
      <c r="J173" s="5" t="s">
        <v>1112</v>
      </c>
    </row>
    <row r="174" spans="1:10" ht="28.5" x14ac:dyDescent="0.45">
      <c r="A174" s="6" t="s">
        <v>370</v>
      </c>
      <c r="C174" s="5" t="s">
        <v>2299</v>
      </c>
      <c r="E174" s="9" t="s">
        <v>2298</v>
      </c>
      <c r="J174" s="5" t="s">
        <v>1114</v>
      </c>
    </row>
    <row r="175" spans="1:10" ht="28.5" x14ac:dyDescent="0.45">
      <c r="A175" s="6" t="s">
        <v>369</v>
      </c>
      <c r="B175" s="7" t="s">
        <v>784</v>
      </c>
      <c r="C175" s="5" t="s">
        <v>2301</v>
      </c>
      <c r="E175" s="9" t="s">
        <v>2300</v>
      </c>
      <c r="J175" s="5" t="s">
        <v>1112</v>
      </c>
    </row>
    <row r="176" spans="1:10" ht="28.5" x14ac:dyDescent="0.45">
      <c r="A176" s="6" t="s">
        <v>368</v>
      </c>
      <c r="B176" s="7" t="s">
        <v>2724</v>
      </c>
      <c r="C176" s="5" t="s">
        <v>2303</v>
      </c>
      <c r="E176" s="9" t="s">
        <v>2302</v>
      </c>
      <c r="H176" s="5" t="s">
        <v>1098</v>
      </c>
      <c r="J176" s="5" t="s">
        <v>1111</v>
      </c>
    </row>
    <row r="177" spans="1:10" ht="28.5" x14ac:dyDescent="0.45">
      <c r="A177" s="6" t="s">
        <v>367</v>
      </c>
      <c r="B177" s="7" t="s">
        <v>2723</v>
      </c>
      <c r="C177" s="5" t="s">
        <v>2305</v>
      </c>
      <c r="E177" s="9" t="s">
        <v>2304</v>
      </c>
      <c r="H177" s="5" t="s">
        <v>1102</v>
      </c>
    </row>
    <row r="178" spans="1:10" ht="28.5" x14ac:dyDescent="0.45">
      <c r="A178" s="6" t="s">
        <v>366</v>
      </c>
      <c r="B178" s="7" t="s">
        <v>2723</v>
      </c>
      <c r="C178" s="5" t="s">
        <v>2307</v>
      </c>
      <c r="E178" s="9" t="s">
        <v>2306</v>
      </c>
      <c r="J178" s="5" t="s">
        <v>1111</v>
      </c>
    </row>
    <row r="179" spans="1:10" ht="28.5" x14ac:dyDescent="0.45">
      <c r="A179" s="6" t="s">
        <v>365</v>
      </c>
      <c r="B179" s="7" t="s">
        <v>2723</v>
      </c>
      <c r="C179" s="5" t="s">
        <v>2198</v>
      </c>
      <c r="E179" s="9" t="s">
        <v>2308</v>
      </c>
      <c r="H179" s="5" t="s">
        <v>1099</v>
      </c>
      <c r="J179" s="5" t="s">
        <v>1112</v>
      </c>
    </row>
    <row r="180" spans="1:10" ht="28.5" x14ac:dyDescent="0.45">
      <c r="A180" s="6" t="s">
        <v>364</v>
      </c>
      <c r="B180" s="7" t="s">
        <v>2722</v>
      </c>
      <c r="C180" s="5" t="s">
        <v>2310</v>
      </c>
      <c r="E180" s="9" t="s">
        <v>2309</v>
      </c>
      <c r="J180" s="5" t="s">
        <v>1111</v>
      </c>
    </row>
    <row r="181" spans="1:10" ht="28.5" x14ac:dyDescent="0.45">
      <c r="A181" s="6" t="s">
        <v>363</v>
      </c>
      <c r="B181" s="7" t="s">
        <v>783</v>
      </c>
      <c r="C181" s="5" t="s">
        <v>2312</v>
      </c>
      <c r="E181" s="9" t="s">
        <v>2311</v>
      </c>
      <c r="F181" s="5" t="s">
        <v>1938</v>
      </c>
      <c r="G181" s="5" t="s">
        <v>1069</v>
      </c>
      <c r="J181" s="5" t="s">
        <v>1113</v>
      </c>
    </row>
    <row r="182" spans="1:10" ht="28.5" x14ac:dyDescent="0.45">
      <c r="A182" s="6" t="s">
        <v>362</v>
      </c>
      <c r="B182" s="7" t="s">
        <v>2721</v>
      </c>
      <c r="C182" s="5" t="s">
        <v>2314</v>
      </c>
      <c r="E182" s="9" t="s">
        <v>2313</v>
      </c>
      <c r="J182" s="5" t="s">
        <v>1111</v>
      </c>
    </row>
    <row r="183" spans="1:10" x14ac:dyDescent="0.45">
      <c r="A183" s="6" t="s">
        <v>361</v>
      </c>
      <c r="B183" s="7" t="s">
        <v>782</v>
      </c>
      <c r="C183" s="5" t="s">
        <v>2316</v>
      </c>
      <c r="E183" s="9" t="s">
        <v>2315</v>
      </c>
      <c r="F183" s="5" t="s">
        <v>992</v>
      </c>
      <c r="G183" s="5" t="s">
        <v>1077</v>
      </c>
    </row>
    <row r="184" spans="1:10" ht="28.5" x14ac:dyDescent="0.45">
      <c r="A184" s="6" t="s">
        <v>360</v>
      </c>
      <c r="B184" s="7" t="s">
        <v>781</v>
      </c>
      <c r="C184" s="5" t="s">
        <v>2318</v>
      </c>
      <c r="E184" s="9" t="s">
        <v>2317</v>
      </c>
      <c r="H184" s="5" t="s">
        <v>1102</v>
      </c>
      <c r="J184" s="5" t="s">
        <v>1113</v>
      </c>
    </row>
    <row r="185" spans="1:10" ht="28.5" x14ac:dyDescent="0.45">
      <c r="A185" s="6" t="s">
        <v>359</v>
      </c>
      <c r="B185" s="7" t="s">
        <v>780</v>
      </c>
      <c r="C185" s="5" t="s">
        <v>2319</v>
      </c>
      <c r="E185" s="9" t="s">
        <v>2320</v>
      </c>
      <c r="F185" s="5" t="s">
        <v>1937</v>
      </c>
      <c r="G185" s="5" t="s">
        <v>1076</v>
      </c>
      <c r="H185" s="5" t="s">
        <v>1098</v>
      </c>
      <c r="J185" s="5" t="s">
        <v>1113</v>
      </c>
    </row>
    <row r="186" spans="1:10" ht="28.5" x14ac:dyDescent="0.45">
      <c r="A186" s="6" t="s">
        <v>358</v>
      </c>
      <c r="B186" s="7" t="s">
        <v>779</v>
      </c>
      <c r="C186" s="5" t="s">
        <v>2322</v>
      </c>
      <c r="E186" s="9" t="s">
        <v>2321</v>
      </c>
      <c r="H186" s="5" t="s">
        <v>1098</v>
      </c>
      <c r="J186" s="5" t="s">
        <v>1111</v>
      </c>
    </row>
    <row r="187" spans="1:10" x14ac:dyDescent="0.45">
      <c r="A187" s="6" t="s">
        <v>357</v>
      </c>
      <c r="B187" s="7" t="s">
        <v>2720</v>
      </c>
      <c r="C187" s="5" t="s">
        <v>2324</v>
      </c>
      <c r="E187" s="9" t="s">
        <v>2323</v>
      </c>
    </row>
    <row r="188" spans="1:10" ht="28.5" x14ac:dyDescent="0.45">
      <c r="A188" s="6" t="s">
        <v>356</v>
      </c>
      <c r="B188" s="7" t="s">
        <v>778</v>
      </c>
      <c r="C188" s="5" t="s">
        <v>2326</v>
      </c>
      <c r="E188" s="9" t="s">
        <v>2325</v>
      </c>
      <c r="J188" s="5" t="s">
        <v>1113</v>
      </c>
    </row>
    <row r="189" spans="1:10" x14ac:dyDescent="0.45">
      <c r="A189" s="6" t="s">
        <v>355</v>
      </c>
      <c r="B189" s="7" t="s">
        <v>777</v>
      </c>
      <c r="C189" s="5" t="s">
        <v>2327</v>
      </c>
    </row>
    <row r="190" spans="1:10" ht="28.5" x14ac:dyDescent="0.45">
      <c r="A190" s="6" t="s">
        <v>354</v>
      </c>
      <c r="B190" s="7" t="s">
        <v>776</v>
      </c>
      <c r="C190" s="5" t="s">
        <v>2329</v>
      </c>
      <c r="E190" s="9" t="s">
        <v>2328</v>
      </c>
      <c r="H190" s="5" t="s">
        <v>1098</v>
      </c>
      <c r="J190" s="5" t="s">
        <v>1113</v>
      </c>
    </row>
    <row r="191" spans="1:10" x14ac:dyDescent="0.45">
      <c r="A191" s="6" t="s">
        <v>353</v>
      </c>
      <c r="B191" s="7" t="s">
        <v>2719</v>
      </c>
      <c r="C191" s="5" t="s">
        <v>2331</v>
      </c>
      <c r="E191" s="9" t="s">
        <v>2330</v>
      </c>
    </row>
    <row r="192" spans="1:10" x14ac:dyDescent="0.45">
      <c r="A192" s="6" t="s">
        <v>352</v>
      </c>
      <c r="C192" s="5" t="s">
        <v>2333</v>
      </c>
      <c r="E192" s="9" t="s">
        <v>2332</v>
      </c>
    </row>
    <row r="193" spans="1:10" ht="28.5" x14ac:dyDescent="0.45">
      <c r="A193" s="6" t="s">
        <v>351</v>
      </c>
      <c r="B193" s="7" t="s">
        <v>775</v>
      </c>
      <c r="C193" s="5" t="s">
        <v>2335</v>
      </c>
      <c r="E193" s="9" t="s">
        <v>2334</v>
      </c>
      <c r="J193" s="5" t="s">
        <v>1113</v>
      </c>
    </row>
    <row r="194" spans="1:10" ht="28.5" x14ac:dyDescent="0.45">
      <c r="A194" s="6" t="s">
        <v>350</v>
      </c>
      <c r="B194" s="7" t="s">
        <v>2336</v>
      </c>
      <c r="C194" s="5" t="s">
        <v>2340</v>
      </c>
      <c r="E194" s="9" t="s">
        <v>2339</v>
      </c>
    </row>
    <row r="195" spans="1:10" ht="28.5" x14ac:dyDescent="0.45">
      <c r="A195" s="6" t="s">
        <v>349</v>
      </c>
      <c r="B195" s="7" t="s">
        <v>774</v>
      </c>
      <c r="C195" s="5" t="s">
        <v>2338</v>
      </c>
      <c r="E195" s="9" t="s">
        <v>2337</v>
      </c>
      <c r="H195" s="5" t="s">
        <v>1098</v>
      </c>
      <c r="J195" s="5" t="s">
        <v>1112</v>
      </c>
    </row>
    <row r="196" spans="1:10" ht="28.5" x14ac:dyDescent="0.45">
      <c r="A196" s="6" t="s">
        <v>348</v>
      </c>
      <c r="B196" s="7" t="s">
        <v>773</v>
      </c>
      <c r="C196" s="5" t="s">
        <v>2172</v>
      </c>
      <c r="E196" s="9" t="s">
        <v>2341</v>
      </c>
      <c r="H196" s="5" t="s">
        <v>1098</v>
      </c>
    </row>
    <row r="197" spans="1:10" x14ac:dyDescent="0.45">
      <c r="A197" s="6" t="s">
        <v>347</v>
      </c>
      <c r="B197" s="7" t="s">
        <v>772</v>
      </c>
      <c r="C197" s="5" t="s">
        <v>2343</v>
      </c>
      <c r="E197" s="9" t="s">
        <v>2342</v>
      </c>
      <c r="J197" s="5" t="s">
        <v>1119</v>
      </c>
    </row>
    <row r="198" spans="1:10" ht="42.75" x14ac:dyDescent="0.45">
      <c r="A198" s="6" t="s">
        <v>346</v>
      </c>
      <c r="B198" s="7" t="s">
        <v>2718</v>
      </c>
      <c r="C198" s="5" t="s">
        <v>2275</v>
      </c>
      <c r="E198" s="9" t="s">
        <v>2344</v>
      </c>
      <c r="H198" s="5" t="s">
        <v>1098</v>
      </c>
      <c r="J198" s="5" t="s">
        <v>1119</v>
      </c>
    </row>
    <row r="199" spans="1:10" ht="28.5" x14ac:dyDescent="0.45">
      <c r="A199" s="6" t="s">
        <v>345</v>
      </c>
      <c r="B199" s="7" t="s">
        <v>2718</v>
      </c>
      <c r="C199" s="5" t="s">
        <v>2345</v>
      </c>
      <c r="D199" s="8">
        <v>2</v>
      </c>
      <c r="E199" s="9" t="s">
        <v>2351</v>
      </c>
      <c r="J199" s="5" t="s">
        <v>1111</v>
      </c>
    </row>
    <row r="200" spans="1:10" ht="28.5" x14ac:dyDescent="0.45">
      <c r="A200" s="6" t="s">
        <v>344</v>
      </c>
      <c r="B200" s="7" t="s">
        <v>2718</v>
      </c>
      <c r="C200" s="5" t="s">
        <v>2259</v>
      </c>
      <c r="E200" s="9" t="s">
        <v>2346</v>
      </c>
      <c r="J200" s="5" t="s">
        <v>1113</v>
      </c>
    </row>
    <row r="201" spans="1:10" ht="28.5" x14ac:dyDescent="0.45">
      <c r="A201" s="6" t="s">
        <v>343</v>
      </c>
      <c r="B201" s="7" t="s">
        <v>771</v>
      </c>
      <c r="C201" s="5" t="s">
        <v>2348</v>
      </c>
      <c r="E201" s="9" t="s">
        <v>2347</v>
      </c>
      <c r="H201" s="5" t="s">
        <v>1098</v>
      </c>
      <c r="J201" s="5" t="s">
        <v>1111</v>
      </c>
    </row>
    <row r="202" spans="1:10" ht="28.5" x14ac:dyDescent="0.45">
      <c r="A202" s="6" t="s">
        <v>342</v>
      </c>
      <c r="B202" s="7" t="s">
        <v>770</v>
      </c>
      <c r="C202" s="5" t="s">
        <v>2350</v>
      </c>
      <c r="E202" s="9" t="s">
        <v>2349</v>
      </c>
      <c r="J202" s="5" t="s">
        <v>1112</v>
      </c>
    </row>
    <row r="203" spans="1:10" ht="28.5" x14ac:dyDescent="0.45">
      <c r="A203" s="6" t="s">
        <v>341</v>
      </c>
      <c r="B203" s="7" t="s">
        <v>2717</v>
      </c>
      <c r="C203" s="5" t="s">
        <v>2353</v>
      </c>
      <c r="E203" s="9" t="s">
        <v>2352</v>
      </c>
      <c r="H203" s="5" t="s">
        <v>1099</v>
      </c>
      <c r="J203" s="5" t="s">
        <v>1113</v>
      </c>
    </row>
    <row r="204" spans="1:10" x14ac:dyDescent="0.45">
      <c r="A204" s="6" t="s">
        <v>340</v>
      </c>
      <c r="B204" s="7" t="s">
        <v>769</v>
      </c>
      <c r="C204" s="5" t="s">
        <v>2355</v>
      </c>
      <c r="E204" s="9" t="s">
        <v>2354</v>
      </c>
      <c r="H204" s="5" t="s">
        <v>1103</v>
      </c>
    </row>
    <row r="205" spans="1:10" x14ac:dyDescent="0.45">
      <c r="A205" s="6" t="s">
        <v>339</v>
      </c>
      <c r="B205" s="7" t="s">
        <v>768</v>
      </c>
      <c r="C205" s="5" t="s">
        <v>2357</v>
      </c>
      <c r="E205" s="9" t="s">
        <v>2356</v>
      </c>
    </row>
    <row r="206" spans="1:10" ht="28.5" x14ac:dyDescent="0.45">
      <c r="A206" s="6" t="s">
        <v>338</v>
      </c>
      <c r="B206" s="7" t="s">
        <v>768</v>
      </c>
      <c r="C206" s="5" t="s">
        <v>2359</v>
      </c>
      <c r="E206" s="9" t="s">
        <v>2358</v>
      </c>
      <c r="J206" s="5" t="s">
        <v>1113</v>
      </c>
    </row>
    <row r="207" spans="1:10" ht="28.5" x14ac:dyDescent="0.45">
      <c r="A207" s="6" t="s">
        <v>337</v>
      </c>
      <c r="B207" s="7" t="s">
        <v>767</v>
      </c>
      <c r="C207" s="5" t="s">
        <v>2361</v>
      </c>
      <c r="E207" s="9" t="s">
        <v>2360</v>
      </c>
      <c r="H207" s="5" t="s">
        <v>1099</v>
      </c>
      <c r="J207" s="5" t="s">
        <v>1113</v>
      </c>
    </row>
    <row r="208" spans="1:10" ht="28.5" x14ac:dyDescent="0.45">
      <c r="A208" s="6" t="s">
        <v>336</v>
      </c>
      <c r="B208" s="7" t="s">
        <v>767</v>
      </c>
      <c r="C208" s="5" t="s">
        <v>2363</v>
      </c>
      <c r="E208" s="9" t="s">
        <v>2362</v>
      </c>
      <c r="H208" s="5" t="s">
        <v>1098</v>
      </c>
      <c r="J208" s="5" t="s">
        <v>1113</v>
      </c>
    </row>
    <row r="209" spans="1:10" ht="71.25" x14ac:dyDescent="0.45">
      <c r="A209" s="6" t="s">
        <v>335</v>
      </c>
      <c r="B209" s="7" t="s">
        <v>2716</v>
      </c>
      <c r="C209" s="5" t="s">
        <v>2365</v>
      </c>
      <c r="E209" s="9" t="s">
        <v>2364</v>
      </c>
      <c r="J209" s="5" t="s">
        <v>1113</v>
      </c>
    </row>
    <row r="210" spans="1:10" ht="57" x14ac:dyDescent="0.45">
      <c r="A210" s="6" t="s">
        <v>334</v>
      </c>
      <c r="B210" s="7" t="s">
        <v>766</v>
      </c>
      <c r="C210" s="5" t="s">
        <v>2366</v>
      </c>
      <c r="E210" s="9" t="s">
        <v>2367</v>
      </c>
    </row>
    <row r="211" spans="1:10" ht="85.5" x14ac:dyDescent="0.45">
      <c r="A211" s="6" t="s">
        <v>333</v>
      </c>
      <c r="B211" s="7" t="s">
        <v>765</v>
      </c>
      <c r="C211" s="5" t="s">
        <v>2369</v>
      </c>
      <c r="E211" s="9" t="s">
        <v>2368</v>
      </c>
      <c r="H211" s="5" t="s">
        <v>1098</v>
      </c>
      <c r="J211" s="5" t="s">
        <v>1119</v>
      </c>
    </row>
    <row r="212" spans="1:10" ht="57" x14ac:dyDescent="0.45">
      <c r="A212" s="6" t="s">
        <v>332</v>
      </c>
      <c r="B212" s="7" t="s">
        <v>764</v>
      </c>
      <c r="C212" s="5" t="s">
        <v>1616</v>
      </c>
      <c r="E212" s="9" t="s">
        <v>2372</v>
      </c>
    </row>
    <row r="213" spans="1:10" ht="85.5" x14ac:dyDescent="0.45">
      <c r="A213" s="6" t="s">
        <v>331</v>
      </c>
      <c r="B213" s="7" t="s">
        <v>2715</v>
      </c>
      <c r="C213" s="5" t="s">
        <v>2370</v>
      </c>
      <c r="E213" s="9" t="s">
        <v>2371</v>
      </c>
      <c r="J213" s="5" t="s">
        <v>1111</v>
      </c>
    </row>
    <row r="214" spans="1:10" ht="71.25" x14ac:dyDescent="0.45">
      <c r="A214" s="6" t="s">
        <v>330</v>
      </c>
      <c r="B214" s="7" t="s">
        <v>763</v>
      </c>
      <c r="C214" s="5" t="s">
        <v>2374</v>
      </c>
      <c r="E214" s="9" t="s">
        <v>2373</v>
      </c>
      <c r="J214" s="5" t="s">
        <v>1113</v>
      </c>
    </row>
    <row r="215" spans="1:10" ht="71.25" x14ac:dyDescent="0.45">
      <c r="A215" s="6" t="s">
        <v>329</v>
      </c>
      <c r="B215" s="7" t="s">
        <v>762</v>
      </c>
      <c r="C215" s="5" t="s">
        <v>2376</v>
      </c>
      <c r="E215" s="9" t="s">
        <v>2375</v>
      </c>
      <c r="J215" s="5" t="s">
        <v>1111</v>
      </c>
    </row>
    <row r="216" spans="1:10" ht="99.75" x14ac:dyDescent="0.45">
      <c r="A216" s="6" t="s">
        <v>328</v>
      </c>
      <c r="B216" s="7" t="s">
        <v>762</v>
      </c>
      <c r="C216" s="5" t="s">
        <v>2378</v>
      </c>
      <c r="E216" s="9" t="s">
        <v>2377</v>
      </c>
      <c r="H216" s="5" t="s">
        <v>1098</v>
      </c>
      <c r="J216" s="5" t="s">
        <v>1113</v>
      </c>
    </row>
    <row r="217" spans="1:10" ht="28.5" x14ac:dyDescent="0.45">
      <c r="A217" s="6" t="s">
        <v>327</v>
      </c>
      <c r="B217" s="7" t="s">
        <v>2714</v>
      </c>
      <c r="C217" s="5" t="s">
        <v>2379</v>
      </c>
      <c r="E217" s="9" t="s">
        <v>2380</v>
      </c>
      <c r="F217" s="5" t="s">
        <v>991</v>
      </c>
      <c r="G217" s="5" t="s">
        <v>1075</v>
      </c>
    </row>
    <row r="218" spans="1:10" ht="85.5" x14ac:dyDescent="0.45">
      <c r="A218" s="6" t="s">
        <v>326</v>
      </c>
      <c r="B218" s="7" t="s">
        <v>761</v>
      </c>
      <c r="C218" s="5" t="s">
        <v>2382</v>
      </c>
      <c r="E218" s="9" t="s">
        <v>2381</v>
      </c>
      <c r="H218" s="5" t="s">
        <v>1098</v>
      </c>
      <c r="J218" s="5" t="s">
        <v>1111</v>
      </c>
    </row>
    <row r="219" spans="1:10" ht="85.5" x14ac:dyDescent="0.45">
      <c r="A219" s="6" t="s">
        <v>325</v>
      </c>
      <c r="B219" s="7" t="s">
        <v>761</v>
      </c>
      <c r="C219" s="5" t="s">
        <v>2384</v>
      </c>
      <c r="E219" s="9" t="s">
        <v>2383</v>
      </c>
      <c r="J219" s="5" t="s">
        <v>1113</v>
      </c>
    </row>
    <row r="220" spans="1:10" ht="99.75" x14ac:dyDescent="0.45">
      <c r="A220" s="6" t="s">
        <v>324</v>
      </c>
      <c r="B220" s="7" t="s">
        <v>760</v>
      </c>
      <c r="C220" s="5" t="s">
        <v>2470</v>
      </c>
      <c r="E220" s="9" t="s">
        <v>2469</v>
      </c>
      <c r="H220" s="5" t="s">
        <v>1098</v>
      </c>
      <c r="J220" s="5" t="s">
        <v>1111</v>
      </c>
    </row>
    <row r="221" spans="1:10" ht="71.25" x14ac:dyDescent="0.45">
      <c r="A221" s="6" t="s">
        <v>323</v>
      </c>
      <c r="B221" s="7" t="s">
        <v>759</v>
      </c>
      <c r="C221" s="5" t="s">
        <v>2088</v>
      </c>
      <c r="E221" s="9" t="s">
        <v>2471</v>
      </c>
      <c r="H221" s="5" t="s">
        <v>1098</v>
      </c>
      <c r="J221" s="5" t="s">
        <v>1113</v>
      </c>
    </row>
    <row r="222" spans="1:10" ht="71.25" x14ac:dyDescent="0.45">
      <c r="A222" s="6" t="s">
        <v>322</v>
      </c>
      <c r="B222" s="7" t="s">
        <v>2713</v>
      </c>
      <c r="C222" s="5" t="s">
        <v>2661</v>
      </c>
      <c r="E222" s="9" t="s">
        <v>2660</v>
      </c>
      <c r="H222" s="5" t="s">
        <v>1099</v>
      </c>
      <c r="J222" s="5" t="s">
        <v>1114</v>
      </c>
    </row>
    <row r="223" spans="1:10" ht="85.5" x14ac:dyDescent="0.45">
      <c r="A223" s="6" t="s">
        <v>321</v>
      </c>
      <c r="B223" s="7" t="s">
        <v>758</v>
      </c>
      <c r="C223" s="5" t="s">
        <v>2659</v>
      </c>
      <c r="E223" s="9" t="s">
        <v>2658</v>
      </c>
      <c r="H223" s="5" t="s">
        <v>1098</v>
      </c>
      <c r="J223" s="5" t="s">
        <v>1114</v>
      </c>
    </row>
    <row r="224" spans="1:10" ht="71.25" x14ac:dyDescent="0.45">
      <c r="A224" s="6" t="s">
        <v>320</v>
      </c>
      <c r="B224" s="7" t="s">
        <v>757</v>
      </c>
      <c r="C224" s="5" t="s">
        <v>2657</v>
      </c>
      <c r="E224" s="9" t="s">
        <v>2656</v>
      </c>
      <c r="J224" s="5" t="s">
        <v>1111</v>
      </c>
    </row>
    <row r="225" spans="1:10" ht="42.75" x14ac:dyDescent="0.45">
      <c r="A225" s="6" t="s">
        <v>319</v>
      </c>
      <c r="B225" s="7" t="s">
        <v>2712</v>
      </c>
      <c r="C225" s="5" t="s">
        <v>2635</v>
      </c>
      <c r="E225" s="9" t="s">
        <v>2655</v>
      </c>
      <c r="F225" s="5" t="s">
        <v>990</v>
      </c>
      <c r="G225" s="5" t="s">
        <v>1025</v>
      </c>
      <c r="H225" s="5" t="s">
        <v>1099</v>
      </c>
    </row>
    <row r="226" spans="1:10" x14ac:dyDescent="0.45">
      <c r="A226" s="6" t="s">
        <v>318</v>
      </c>
      <c r="B226" s="7" t="s">
        <v>756</v>
      </c>
      <c r="C226" s="5" t="s">
        <v>2654</v>
      </c>
      <c r="E226" s="9" t="s">
        <v>2653</v>
      </c>
      <c r="H226" s="5" t="s">
        <v>1103</v>
      </c>
    </row>
    <row r="227" spans="1:10" ht="71.25" x14ac:dyDescent="0.45">
      <c r="A227" s="6" t="s">
        <v>317</v>
      </c>
      <c r="B227" s="7" t="s">
        <v>755</v>
      </c>
      <c r="C227" s="5" t="s">
        <v>2652</v>
      </c>
      <c r="E227" s="9" t="s">
        <v>2651</v>
      </c>
      <c r="H227" s="5" t="s">
        <v>1099</v>
      </c>
      <c r="J227" s="5" t="s">
        <v>1113</v>
      </c>
    </row>
    <row r="228" spans="1:10" ht="71.25" x14ac:dyDescent="0.45">
      <c r="A228" s="6" t="s">
        <v>316</v>
      </c>
      <c r="C228" s="5" t="s">
        <v>2650</v>
      </c>
      <c r="E228" s="9" t="s">
        <v>2649</v>
      </c>
      <c r="H228" s="5" t="s">
        <v>1099</v>
      </c>
    </row>
    <row r="229" spans="1:10" ht="71.25" x14ac:dyDescent="0.45">
      <c r="A229" s="6" t="s">
        <v>315</v>
      </c>
      <c r="B229" s="7" t="s">
        <v>754</v>
      </c>
      <c r="C229" s="5" t="s">
        <v>2648</v>
      </c>
      <c r="E229" s="9" t="s">
        <v>2647</v>
      </c>
      <c r="H229" s="5" t="s">
        <v>1099</v>
      </c>
      <c r="J229" s="5" t="s">
        <v>1113</v>
      </c>
    </row>
    <row r="230" spans="1:10" ht="71.25" x14ac:dyDescent="0.45">
      <c r="A230" s="6" t="s">
        <v>314</v>
      </c>
      <c r="B230" s="7" t="s">
        <v>2711</v>
      </c>
      <c r="C230" s="5" t="s">
        <v>2646</v>
      </c>
      <c r="E230" s="9" t="s">
        <v>2645</v>
      </c>
      <c r="H230" s="5" t="s">
        <v>1102</v>
      </c>
      <c r="J230" s="5" t="s">
        <v>1113</v>
      </c>
    </row>
    <row r="231" spans="1:10" ht="71.25" x14ac:dyDescent="0.45">
      <c r="A231" s="6" t="s">
        <v>313</v>
      </c>
      <c r="B231" s="7" t="s">
        <v>753</v>
      </c>
      <c r="C231" s="5" t="s">
        <v>2644</v>
      </c>
      <c r="E231" s="9" t="s">
        <v>2643</v>
      </c>
    </row>
    <row r="232" spans="1:10" ht="85.5" x14ac:dyDescent="0.45">
      <c r="A232" s="6" t="s">
        <v>312</v>
      </c>
      <c r="B232" s="7" t="s">
        <v>752</v>
      </c>
      <c r="C232" s="5" t="s">
        <v>2642</v>
      </c>
      <c r="E232" s="9" t="s">
        <v>2641</v>
      </c>
      <c r="H232" s="5" t="s">
        <v>1098</v>
      </c>
      <c r="J232" s="5" t="s">
        <v>1113</v>
      </c>
    </row>
    <row r="233" spans="1:10" ht="99.75" x14ac:dyDescent="0.45">
      <c r="A233" s="6" t="s">
        <v>311</v>
      </c>
      <c r="B233" s="7" t="s">
        <v>751</v>
      </c>
      <c r="C233" s="5" t="s">
        <v>2640</v>
      </c>
      <c r="E233" s="9" t="s">
        <v>2639</v>
      </c>
      <c r="H233" s="5" t="s">
        <v>1105</v>
      </c>
      <c r="J233" s="5" t="s">
        <v>1113</v>
      </c>
    </row>
    <row r="234" spans="1:10" ht="99.75" x14ac:dyDescent="0.45">
      <c r="A234" s="6" t="s">
        <v>310</v>
      </c>
      <c r="B234" s="7" t="s">
        <v>751</v>
      </c>
      <c r="C234" s="5" t="s">
        <v>905</v>
      </c>
      <c r="E234" s="9" t="s">
        <v>1936</v>
      </c>
    </row>
    <row r="235" spans="1:10" ht="28.5" x14ac:dyDescent="0.45">
      <c r="A235" s="6" t="s">
        <v>309</v>
      </c>
      <c r="B235" s="7" t="s">
        <v>750</v>
      </c>
      <c r="C235" s="5" t="s">
        <v>2638</v>
      </c>
      <c r="E235" s="9" t="s">
        <v>2637</v>
      </c>
      <c r="F235" s="5" t="s">
        <v>989</v>
      </c>
      <c r="G235" s="5" t="s">
        <v>1074</v>
      </c>
      <c r="J235" s="5" t="s">
        <v>1113</v>
      </c>
    </row>
    <row r="236" spans="1:10" ht="85.5" x14ac:dyDescent="0.45">
      <c r="A236" s="6" t="s">
        <v>1182</v>
      </c>
      <c r="B236" s="7" t="s">
        <v>749</v>
      </c>
      <c r="C236" s="5" t="s">
        <v>2585</v>
      </c>
      <c r="E236" s="9" t="s">
        <v>2636</v>
      </c>
      <c r="H236" s="5" t="s">
        <v>1098</v>
      </c>
      <c r="J236" s="5" t="s">
        <v>1113</v>
      </c>
    </row>
    <row r="237" spans="1:10" x14ac:dyDescent="0.45">
      <c r="A237" s="6" t="s">
        <v>1181</v>
      </c>
      <c r="B237" s="7" t="s">
        <v>748</v>
      </c>
      <c r="C237" s="5" t="s">
        <v>2635</v>
      </c>
      <c r="E237" s="9" t="s">
        <v>2634</v>
      </c>
      <c r="H237" s="5" t="s">
        <v>1104</v>
      </c>
    </row>
    <row r="238" spans="1:10" ht="85.5" x14ac:dyDescent="0.45">
      <c r="A238" s="6" t="s">
        <v>1180</v>
      </c>
      <c r="B238" s="7" t="s">
        <v>747</v>
      </c>
      <c r="C238" s="5" t="s">
        <v>2633</v>
      </c>
      <c r="E238" s="9" t="s">
        <v>2632</v>
      </c>
    </row>
    <row r="239" spans="1:10" ht="71.25" x14ac:dyDescent="0.45">
      <c r="A239" s="6" t="s">
        <v>1179</v>
      </c>
      <c r="B239" s="7" t="s">
        <v>747</v>
      </c>
      <c r="C239" s="5" t="s">
        <v>2631</v>
      </c>
      <c r="E239" s="9" t="s">
        <v>2630</v>
      </c>
      <c r="H239" s="5" t="s">
        <v>1099</v>
      </c>
      <c r="J239" s="5" t="s">
        <v>1111</v>
      </c>
    </row>
    <row r="240" spans="1:10" ht="57" x14ac:dyDescent="0.45">
      <c r="A240" s="6" t="s">
        <v>1178</v>
      </c>
      <c r="B240" s="7" t="s">
        <v>747</v>
      </c>
      <c r="C240" s="5" t="s">
        <v>2629</v>
      </c>
      <c r="E240" s="9" t="s">
        <v>2628</v>
      </c>
      <c r="H240" s="5" t="s">
        <v>1102</v>
      </c>
      <c r="J240" s="5" t="s">
        <v>1111</v>
      </c>
    </row>
    <row r="241" spans="1:10" ht="71.25" x14ac:dyDescent="0.45">
      <c r="A241" s="6" t="s">
        <v>1177</v>
      </c>
      <c r="B241" s="7" t="s">
        <v>746</v>
      </c>
      <c r="C241" s="5" t="s">
        <v>2627</v>
      </c>
      <c r="E241" s="9" t="s">
        <v>2626</v>
      </c>
      <c r="J241" s="5" t="s">
        <v>1113</v>
      </c>
    </row>
    <row r="242" spans="1:10" ht="85.5" x14ac:dyDescent="0.45">
      <c r="A242" s="6" t="s">
        <v>1176</v>
      </c>
      <c r="B242" s="7" t="s">
        <v>745</v>
      </c>
      <c r="C242" s="5" t="s">
        <v>2625</v>
      </c>
      <c r="E242" s="9" t="s">
        <v>2624</v>
      </c>
      <c r="F242" s="5" t="s">
        <v>1935</v>
      </c>
      <c r="G242" s="5" t="s">
        <v>1063</v>
      </c>
    </row>
    <row r="243" spans="1:10" x14ac:dyDescent="0.45">
      <c r="A243" s="6" t="s">
        <v>1175</v>
      </c>
      <c r="B243" s="7" t="s">
        <v>744</v>
      </c>
      <c r="C243" s="5" t="s">
        <v>2623</v>
      </c>
      <c r="E243" s="9" t="s">
        <v>2622</v>
      </c>
      <c r="F243" s="5" t="s">
        <v>988</v>
      </c>
      <c r="G243" s="5" t="s">
        <v>1073</v>
      </c>
    </row>
    <row r="244" spans="1:10" ht="71.25" x14ac:dyDescent="0.45">
      <c r="A244" s="6" t="s">
        <v>1174</v>
      </c>
      <c r="B244" s="7" t="s">
        <v>744</v>
      </c>
      <c r="C244" s="5" t="s">
        <v>2620</v>
      </c>
      <c r="E244" s="9" t="s">
        <v>2621</v>
      </c>
      <c r="H244" s="5" t="s">
        <v>1098</v>
      </c>
      <c r="J244" s="5" t="s">
        <v>1113</v>
      </c>
    </row>
    <row r="245" spans="1:10" ht="71.25" x14ac:dyDescent="0.45">
      <c r="A245" s="6" t="s">
        <v>1173</v>
      </c>
      <c r="B245" s="7" t="s">
        <v>742</v>
      </c>
      <c r="C245" s="5" t="s">
        <v>2619</v>
      </c>
      <c r="E245" s="9" t="s">
        <v>2618</v>
      </c>
      <c r="F245" s="5" t="s">
        <v>987</v>
      </c>
      <c r="G245" s="5" t="s">
        <v>1063</v>
      </c>
      <c r="H245" s="5" t="s">
        <v>1099</v>
      </c>
    </row>
    <row r="246" spans="1:10" ht="71.25" x14ac:dyDescent="0.45">
      <c r="A246" s="6" t="s">
        <v>1172</v>
      </c>
      <c r="B246" s="7" t="s">
        <v>742</v>
      </c>
      <c r="C246" s="5" t="s">
        <v>2617</v>
      </c>
      <c r="E246" s="9" t="s">
        <v>2616</v>
      </c>
      <c r="F246" s="5" t="s">
        <v>986</v>
      </c>
      <c r="G246" s="5" t="s">
        <v>1072</v>
      </c>
      <c r="J246" s="5" t="s">
        <v>1113</v>
      </c>
    </row>
    <row r="247" spans="1:10" ht="99.75" x14ac:dyDescent="0.45">
      <c r="A247" s="6" t="s">
        <v>1171</v>
      </c>
      <c r="B247" s="7" t="s">
        <v>741</v>
      </c>
      <c r="C247" s="5" t="s">
        <v>905</v>
      </c>
      <c r="E247" s="9" t="s">
        <v>1930</v>
      </c>
      <c r="F247" s="5" t="s">
        <v>1931</v>
      </c>
      <c r="G247" s="5" t="s">
        <v>1071</v>
      </c>
      <c r="H247" s="5" t="s">
        <v>1099</v>
      </c>
    </row>
    <row r="248" spans="1:10" ht="85.5" x14ac:dyDescent="0.45">
      <c r="A248" s="6" t="s">
        <v>1171</v>
      </c>
      <c r="B248" s="7" t="s">
        <v>741</v>
      </c>
      <c r="E248" s="9" t="s">
        <v>1932</v>
      </c>
      <c r="F248" s="5" t="s">
        <v>1933</v>
      </c>
      <c r="G248" s="5" t="s">
        <v>1066</v>
      </c>
      <c r="H248" s="5" t="s">
        <v>1099</v>
      </c>
    </row>
    <row r="249" spans="1:10" ht="85.5" x14ac:dyDescent="0.45">
      <c r="A249" s="6" t="s">
        <v>1171</v>
      </c>
      <c r="B249" s="7" t="s">
        <v>2710</v>
      </c>
      <c r="C249" s="5" t="s">
        <v>905</v>
      </c>
      <c r="E249" s="9" t="s">
        <v>1934</v>
      </c>
    </row>
    <row r="250" spans="1:10" ht="57" x14ac:dyDescent="0.45">
      <c r="A250" s="6" t="s">
        <v>1171</v>
      </c>
      <c r="B250" s="7" t="s">
        <v>743</v>
      </c>
      <c r="C250" s="5" t="s">
        <v>2615</v>
      </c>
      <c r="E250" s="9" t="s">
        <v>2614</v>
      </c>
    </row>
    <row r="251" spans="1:10" ht="28.5" x14ac:dyDescent="0.45">
      <c r="A251" s="6" t="s">
        <v>1170</v>
      </c>
      <c r="B251" s="7" t="s">
        <v>2709</v>
      </c>
      <c r="C251" s="5" t="s">
        <v>1639</v>
      </c>
      <c r="E251" s="9" t="s">
        <v>2613</v>
      </c>
      <c r="J251" s="5" t="s">
        <v>1117</v>
      </c>
    </row>
    <row r="252" spans="1:10" x14ac:dyDescent="0.45">
      <c r="A252" s="6" t="s">
        <v>1169</v>
      </c>
      <c r="B252" s="7" t="s">
        <v>2708</v>
      </c>
      <c r="C252" s="5" t="s">
        <v>2612</v>
      </c>
      <c r="E252" s="9" t="s">
        <v>2611</v>
      </c>
      <c r="H252" s="5" t="s">
        <v>1103</v>
      </c>
    </row>
    <row r="253" spans="1:10" x14ac:dyDescent="0.45">
      <c r="A253" s="6" t="s">
        <v>1168</v>
      </c>
      <c r="B253" s="7" t="s">
        <v>740</v>
      </c>
      <c r="C253" s="5" t="s">
        <v>2610</v>
      </c>
      <c r="E253" s="9" t="s">
        <v>2609</v>
      </c>
      <c r="H253" s="5" t="s">
        <v>1103</v>
      </c>
    </row>
    <row r="254" spans="1:10" ht="99.75" x14ac:dyDescent="0.45">
      <c r="A254" s="6" t="s">
        <v>1167</v>
      </c>
      <c r="B254" s="7" t="s">
        <v>740</v>
      </c>
      <c r="C254" s="5" t="s">
        <v>2384</v>
      </c>
      <c r="E254" s="9" t="s">
        <v>2608</v>
      </c>
      <c r="H254" s="5" t="s">
        <v>1098</v>
      </c>
      <c r="J254" s="5" t="s">
        <v>1113</v>
      </c>
    </row>
    <row r="255" spans="1:10" ht="85.5" x14ac:dyDescent="0.45">
      <c r="A255" s="6" t="s">
        <v>1166</v>
      </c>
      <c r="B255" s="7" t="s">
        <v>739</v>
      </c>
      <c r="C255" s="5" t="s">
        <v>2607</v>
      </c>
      <c r="E255" s="9" t="s">
        <v>2606</v>
      </c>
      <c r="J255" s="5" t="s">
        <v>1113</v>
      </c>
    </row>
    <row r="256" spans="1:10" ht="85.5" x14ac:dyDescent="0.45">
      <c r="A256" s="6" t="s">
        <v>1165</v>
      </c>
      <c r="B256" s="7" t="s">
        <v>738</v>
      </c>
      <c r="C256" s="5" t="s">
        <v>2605</v>
      </c>
      <c r="E256" s="9" t="s">
        <v>2604</v>
      </c>
      <c r="J256" s="5" t="s">
        <v>1111</v>
      </c>
    </row>
    <row r="257" spans="1:10" ht="85.5" x14ac:dyDescent="0.45">
      <c r="A257" s="6" t="s">
        <v>1164</v>
      </c>
      <c r="B257" s="7" t="s">
        <v>737</v>
      </c>
      <c r="C257" s="5" t="s">
        <v>2603</v>
      </c>
      <c r="E257" s="9" t="s">
        <v>2602</v>
      </c>
      <c r="J257" s="5" t="s">
        <v>1113</v>
      </c>
    </row>
    <row r="258" spans="1:10" x14ac:dyDescent="0.45">
      <c r="A258" s="6" t="s">
        <v>1163</v>
      </c>
      <c r="B258" s="7" t="s">
        <v>2663</v>
      </c>
      <c r="C258" s="5" t="s">
        <v>2601</v>
      </c>
      <c r="E258" s="9" t="s">
        <v>2600</v>
      </c>
    </row>
    <row r="259" spans="1:10" ht="85.5" x14ac:dyDescent="0.45">
      <c r="A259" s="6" t="s">
        <v>1162</v>
      </c>
      <c r="B259" s="7" t="s">
        <v>2707</v>
      </c>
      <c r="C259" s="5" t="s">
        <v>2599</v>
      </c>
      <c r="E259" s="9" t="s">
        <v>2598</v>
      </c>
      <c r="J259" s="5" t="s">
        <v>1111</v>
      </c>
    </row>
    <row r="260" spans="1:10" x14ac:dyDescent="0.45">
      <c r="A260" s="6" t="s">
        <v>1161</v>
      </c>
      <c r="B260" s="7" t="s">
        <v>2706</v>
      </c>
      <c r="C260" s="5" t="s">
        <v>563</v>
      </c>
      <c r="E260" s="9" t="s">
        <v>2597</v>
      </c>
    </row>
    <row r="261" spans="1:10" ht="85.5" x14ac:dyDescent="0.45">
      <c r="A261" s="6" t="s">
        <v>1160</v>
      </c>
      <c r="B261" s="7" t="s">
        <v>736</v>
      </c>
      <c r="C261" s="5" t="s">
        <v>2596</v>
      </c>
      <c r="E261" s="9" t="s">
        <v>2595</v>
      </c>
      <c r="H261" s="5" t="s">
        <v>1098</v>
      </c>
      <c r="J261" s="5" t="s">
        <v>1119</v>
      </c>
    </row>
    <row r="262" spans="1:10" ht="71.25" x14ac:dyDescent="0.45">
      <c r="A262" s="6" t="s">
        <v>1159</v>
      </c>
      <c r="B262" s="7" t="s">
        <v>735</v>
      </c>
      <c r="C262" s="5" t="s">
        <v>1183</v>
      </c>
      <c r="E262" s="9" t="s">
        <v>2594</v>
      </c>
      <c r="J262" s="5" t="s">
        <v>1113</v>
      </c>
    </row>
    <row r="263" spans="1:10" ht="85.5" x14ac:dyDescent="0.45">
      <c r="A263" s="6" t="s">
        <v>1158</v>
      </c>
      <c r="B263" s="7" t="s">
        <v>2705</v>
      </c>
      <c r="C263" s="5" t="s">
        <v>2593</v>
      </c>
      <c r="E263" s="9" t="s">
        <v>2592</v>
      </c>
      <c r="J263" s="5" t="s">
        <v>1113</v>
      </c>
    </row>
    <row r="264" spans="1:10" ht="99.75" x14ac:dyDescent="0.45">
      <c r="A264" s="6" t="s">
        <v>1157</v>
      </c>
      <c r="B264" s="7" t="s">
        <v>734</v>
      </c>
      <c r="C264" s="5" t="s">
        <v>2591</v>
      </c>
      <c r="E264" s="9" t="s">
        <v>2590</v>
      </c>
      <c r="J264" s="5" t="s">
        <v>1113</v>
      </c>
    </row>
    <row r="265" spans="1:10" x14ac:dyDescent="0.45">
      <c r="A265" s="6" t="s">
        <v>1156</v>
      </c>
      <c r="B265" s="7" t="s">
        <v>734</v>
      </c>
      <c r="C265" s="5" t="s">
        <v>2589</v>
      </c>
      <c r="E265" s="9" t="s">
        <v>2588</v>
      </c>
      <c r="F265" s="5" t="s">
        <v>985</v>
      </c>
      <c r="G265" s="5" t="s">
        <v>1070</v>
      </c>
    </row>
    <row r="266" spans="1:10" ht="85.5" x14ac:dyDescent="0.45">
      <c r="A266" s="6" t="s">
        <v>1155</v>
      </c>
      <c r="B266" s="7" t="s">
        <v>733</v>
      </c>
      <c r="C266" s="5" t="s">
        <v>1819</v>
      </c>
      <c r="E266" s="9" t="s">
        <v>2587</v>
      </c>
      <c r="J266" s="5" t="s">
        <v>1113</v>
      </c>
    </row>
    <row r="267" spans="1:10" ht="85.5" x14ac:dyDescent="0.45">
      <c r="A267" s="6" t="s">
        <v>1154</v>
      </c>
      <c r="B267" s="7" t="s">
        <v>732</v>
      </c>
      <c r="C267" s="5" t="s">
        <v>1639</v>
      </c>
      <c r="E267" s="9" t="s">
        <v>2586</v>
      </c>
      <c r="F267" s="5" t="s">
        <v>1929</v>
      </c>
      <c r="G267" s="5" t="s">
        <v>1066</v>
      </c>
      <c r="J267" s="5" t="s">
        <v>1117</v>
      </c>
    </row>
    <row r="268" spans="1:10" ht="85.5" x14ac:dyDescent="0.45">
      <c r="A268" s="6" t="s">
        <v>1153</v>
      </c>
      <c r="B268" s="7" t="s">
        <v>731</v>
      </c>
      <c r="C268" s="5" t="s">
        <v>2585</v>
      </c>
      <c r="E268" s="9" t="s">
        <v>2584</v>
      </c>
      <c r="J268" s="5" t="s">
        <v>1111</v>
      </c>
    </row>
    <row r="269" spans="1:10" ht="85.5" x14ac:dyDescent="0.45">
      <c r="A269" s="6" t="s">
        <v>1152</v>
      </c>
      <c r="B269" s="7" t="s">
        <v>730</v>
      </c>
      <c r="C269" s="5" t="s">
        <v>2583</v>
      </c>
      <c r="E269" s="9" t="s">
        <v>2582</v>
      </c>
      <c r="J269" s="5" t="s">
        <v>1111</v>
      </c>
    </row>
    <row r="270" spans="1:10" ht="71.25" x14ac:dyDescent="0.45">
      <c r="A270" s="6" t="s">
        <v>1151</v>
      </c>
      <c r="B270" s="7" t="s">
        <v>729</v>
      </c>
      <c r="C270" s="5" t="s">
        <v>2365</v>
      </c>
      <c r="E270" s="9" t="s">
        <v>2581</v>
      </c>
    </row>
    <row r="271" spans="1:10" ht="99.75" x14ac:dyDescent="0.45">
      <c r="A271" s="6" t="s">
        <v>1150</v>
      </c>
      <c r="B271" s="7" t="s">
        <v>728</v>
      </c>
      <c r="C271" s="5" t="s">
        <v>2555</v>
      </c>
      <c r="E271" s="9" t="s">
        <v>2580</v>
      </c>
    </row>
    <row r="272" spans="1:10" ht="85.5" x14ac:dyDescent="0.45">
      <c r="A272" s="6" t="s">
        <v>1149</v>
      </c>
      <c r="B272" s="7" t="s">
        <v>727</v>
      </c>
      <c r="C272" s="5" t="s">
        <v>2579</v>
      </c>
      <c r="E272" s="9" t="s">
        <v>2578</v>
      </c>
      <c r="J272" s="5" t="s">
        <v>1113</v>
      </c>
    </row>
    <row r="273" spans="1:10" ht="71.25" x14ac:dyDescent="0.45">
      <c r="A273" s="6" t="s">
        <v>1148</v>
      </c>
      <c r="B273" s="7" t="s">
        <v>2704</v>
      </c>
      <c r="C273" s="5" t="s">
        <v>2577</v>
      </c>
      <c r="E273" s="9" t="s">
        <v>2576</v>
      </c>
    </row>
    <row r="274" spans="1:10" ht="85.5" x14ac:dyDescent="0.45">
      <c r="A274" s="6" t="s">
        <v>1147</v>
      </c>
      <c r="B274" s="7" t="s">
        <v>2704</v>
      </c>
      <c r="C274" s="5" t="s">
        <v>2575</v>
      </c>
      <c r="E274" s="9" t="s">
        <v>2574</v>
      </c>
      <c r="J274" s="5" t="s">
        <v>1113</v>
      </c>
    </row>
    <row r="275" spans="1:10" ht="85.5" x14ac:dyDescent="0.45">
      <c r="A275" s="6" t="s">
        <v>308</v>
      </c>
      <c r="B275" s="7" t="s">
        <v>2704</v>
      </c>
      <c r="C275" s="5" t="s">
        <v>2573</v>
      </c>
      <c r="E275" s="9" t="s">
        <v>2572</v>
      </c>
      <c r="H275" s="5" t="s">
        <v>1102</v>
      </c>
      <c r="J275" s="5" t="s">
        <v>1111</v>
      </c>
    </row>
    <row r="276" spans="1:10" x14ac:dyDescent="0.45">
      <c r="A276" s="6" t="s">
        <v>307</v>
      </c>
      <c r="B276" s="7" t="s">
        <v>2703</v>
      </c>
      <c r="C276" s="5" t="s">
        <v>2571</v>
      </c>
      <c r="E276" s="9" t="s">
        <v>1138</v>
      </c>
    </row>
    <row r="277" spans="1:10" ht="99.75" x14ac:dyDescent="0.45">
      <c r="A277" s="6" t="s">
        <v>306</v>
      </c>
      <c r="B277" s="7" t="s">
        <v>2702</v>
      </c>
      <c r="C277" s="5" t="s">
        <v>2570</v>
      </c>
      <c r="E277" s="9" t="s">
        <v>2569</v>
      </c>
      <c r="J277" s="5" t="s">
        <v>1113</v>
      </c>
    </row>
    <row r="278" spans="1:10" ht="71.25" x14ac:dyDescent="0.45">
      <c r="A278" s="6" t="s">
        <v>305</v>
      </c>
      <c r="B278" s="7" t="s">
        <v>726</v>
      </c>
      <c r="C278" s="5" t="s">
        <v>2568</v>
      </c>
      <c r="E278" s="9" t="s">
        <v>2567</v>
      </c>
      <c r="F278" s="5" t="s">
        <v>1928</v>
      </c>
      <c r="G278" s="5" t="s">
        <v>1063</v>
      </c>
      <c r="H278" s="5" t="s">
        <v>1099</v>
      </c>
      <c r="J278" s="5" t="s">
        <v>1113</v>
      </c>
    </row>
    <row r="279" spans="1:10" ht="85.5" x14ac:dyDescent="0.45">
      <c r="A279" s="6" t="s">
        <v>304</v>
      </c>
      <c r="B279" s="7" t="s">
        <v>725</v>
      </c>
      <c r="C279" s="5" t="s">
        <v>2369</v>
      </c>
      <c r="E279" s="9" t="s">
        <v>2566</v>
      </c>
      <c r="F279" s="5" t="s">
        <v>1927</v>
      </c>
      <c r="G279" s="5" t="s">
        <v>1069</v>
      </c>
      <c r="H279" s="5" t="s">
        <v>1099</v>
      </c>
      <c r="J279" s="5" t="s">
        <v>1119</v>
      </c>
    </row>
    <row r="280" spans="1:10" ht="85.5" x14ac:dyDescent="0.45">
      <c r="A280" s="6" t="s">
        <v>303</v>
      </c>
      <c r="B280" s="7" t="s">
        <v>724</v>
      </c>
      <c r="C280" s="5" t="s">
        <v>2565</v>
      </c>
      <c r="E280" s="9" t="s">
        <v>2564</v>
      </c>
      <c r="J280" s="5" t="s">
        <v>1113</v>
      </c>
    </row>
    <row r="281" spans="1:10" ht="85.5" x14ac:dyDescent="0.45">
      <c r="A281" s="6" t="s">
        <v>302</v>
      </c>
      <c r="B281" s="7" t="s">
        <v>724</v>
      </c>
      <c r="C281" s="5" t="s">
        <v>2563</v>
      </c>
      <c r="E281" s="9" t="s">
        <v>2562</v>
      </c>
      <c r="H281" s="5" t="s">
        <v>1098</v>
      </c>
      <c r="J281" s="5" t="s">
        <v>1119</v>
      </c>
    </row>
    <row r="282" spans="1:10" ht="57" x14ac:dyDescent="0.45">
      <c r="A282" s="6" t="s">
        <v>301</v>
      </c>
      <c r="B282" s="7" t="s">
        <v>724</v>
      </c>
      <c r="C282" s="5" t="s">
        <v>2561</v>
      </c>
      <c r="E282" s="9" t="s">
        <v>2560</v>
      </c>
      <c r="H282" s="5" t="s">
        <v>1098</v>
      </c>
      <c r="J282" s="5" t="s">
        <v>1113</v>
      </c>
    </row>
    <row r="283" spans="1:10" x14ac:dyDescent="0.45">
      <c r="A283" s="6" t="s">
        <v>300</v>
      </c>
      <c r="B283" s="7" t="s">
        <v>723</v>
      </c>
      <c r="C283" s="5" t="s">
        <v>2559</v>
      </c>
      <c r="E283" s="9" t="s">
        <v>2558</v>
      </c>
    </row>
    <row r="284" spans="1:10" ht="71.25" x14ac:dyDescent="0.45">
      <c r="A284" s="6" t="s">
        <v>299</v>
      </c>
      <c r="B284" s="7" t="s">
        <v>722</v>
      </c>
      <c r="C284" s="5" t="s">
        <v>2557</v>
      </c>
      <c r="E284" s="9" t="s">
        <v>2556</v>
      </c>
      <c r="J284" s="5" t="s">
        <v>1113</v>
      </c>
    </row>
    <row r="285" spans="1:10" ht="71.25" x14ac:dyDescent="0.45">
      <c r="A285" s="6" t="s">
        <v>298</v>
      </c>
      <c r="B285" s="7" t="s">
        <v>2701</v>
      </c>
      <c r="C285" s="5" t="s">
        <v>2555</v>
      </c>
      <c r="E285" s="9" t="s">
        <v>2554</v>
      </c>
    </row>
    <row r="286" spans="1:10" ht="28.5" x14ac:dyDescent="0.45">
      <c r="A286" s="6" t="s">
        <v>297</v>
      </c>
      <c r="B286" s="7" t="s">
        <v>2701</v>
      </c>
      <c r="C286" s="5" t="s">
        <v>2553</v>
      </c>
      <c r="E286" s="9" t="s">
        <v>2552</v>
      </c>
      <c r="J286" s="5" t="s">
        <v>1113</v>
      </c>
    </row>
    <row r="287" spans="1:10" ht="28.5" x14ac:dyDescent="0.45">
      <c r="A287" s="6" t="s">
        <v>296</v>
      </c>
      <c r="B287" s="7" t="s">
        <v>2701</v>
      </c>
      <c r="C287" s="5" t="s">
        <v>2551</v>
      </c>
      <c r="E287" s="9" t="s">
        <v>2550</v>
      </c>
    </row>
    <row r="288" spans="1:10" ht="85.5" x14ac:dyDescent="0.45">
      <c r="A288" s="6" t="s">
        <v>295</v>
      </c>
      <c r="B288" s="7" t="s">
        <v>721</v>
      </c>
      <c r="C288" s="5" t="s">
        <v>2549</v>
      </c>
      <c r="E288" s="9" t="s">
        <v>2548</v>
      </c>
      <c r="H288" s="5" t="s">
        <v>1098</v>
      </c>
    </row>
    <row r="289" spans="1:10" ht="71.25" x14ac:dyDescent="0.45">
      <c r="A289" s="6" t="s">
        <v>294</v>
      </c>
      <c r="B289" s="7" t="s">
        <v>720</v>
      </c>
      <c r="C289" s="5" t="s">
        <v>2526</v>
      </c>
      <c r="E289" s="9" t="s">
        <v>2547</v>
      </c>
      <c r="H289" s="5" t="s">
        <v>1098</v>
      </c>
      <c r="J289" s="5" t="s">
        <v>1113</v>
      </c>
    </row>
    <row r="290" spans="1:10" ht="128.25" x14ac:dyDescent="0.45">
      <c r="A290" s="6" t="s">
        <v>293</v>
      </c>
      <c r="B290" s="7" t="s">
        <v>2700</v>
      </c>
      <c r="C290" s="5" t="s">
        <v>2546</v>
      </c>
      <c r="E290" s="9" t="s">
        <v>2545</v>
      </c>
      <c r="H290" s="5" t="s">
        <v>1099</v>
      </c>
      <c r="J290" s="5" t="s">
        <v>1119</v>
      </c>
    </row>
    <row r="291" spans="1:10" ht="85.5" x14ac:dyDescent="0.45">
      <c r="A291" s="6" t="s">
        <v>292</v>
      </c>
      <c r="B291" s="7" t="s">
        <v>719</v>
      </c>
      <c r="C291" s="5" t="s">
        <v>2544</v>
      </c>
      <c r="E291" s="9" t="s">
        <v>2543</v>
      </c>
      <c r="J291" s="5" t="s">
        <v>1113</v>
      </c>
    </row>
    <row r="292" spans="1:10" ht="85.5" x14ac:dyDescent="0.45">
      <c r="A292" s="6" t="s">
        <v>291</v>
      </c>
      <c r="B292" s="7" t="s">
        <v>2699</v>
      </c>
      <c r="C292" s="5" t="s">
        <v>2542</v>
      </c>
      <c r="E292" s="9" t="s">
        <v>2541</v>
      </c>
      <c r="J292" s="5" t="s">
        <v>1113</v>
      </c>
    </row>
    <row r="293" spans="1:10" ht="85.5" x14ac:dyDescent="0.45">
      <c r="A293" s="6" t="s">
        <v>290</v>
      </c>
      <c r="B293" s="7" t="s">
        <v>718</v>
      </c>
      <c r="C293" s="5" t="s">
        <v>2540</v>
      </c>
      <c r="E293" s="9" t="s">
        <v>2539</v>
      </c>
      <c r="J293" s="5" t="s">
        <v>1119</v>
      </c>
    </row>
    <row r="294" spans="1:10" ht="85.5" x14ac:dyDescent="0.45">
      <c r="A294" s="6" t="s">
        <v>289</v>
      </c>
      <c r="B294" s="7" t="s">
        <v>717</v>
      </c>
      <c r="C294" s="5" t="s">
        <v>905</v>
      </c>
      <c r="E294" s="9" t="s">
        <v>1926</v>
      </c>
    </row>
    <row r="295" spans="1:10" ht="85.5" x14ac:dyDescent="0.45">
      <c r="A295" s="6" t="s">
        <v>288</v>
      </c>
      <c r="B295" s="7" t="s">
        <v>716</v>
      </c>
      <c r="C295" s="5" t="s">
        <v>2538</v>
      </c>
      <c r="E295" s="9" t="s">
        <v>2537</v>
      </c>
      <c r="J295" s="5" t="s">
        <v>1111</v>
      </c>
    </row>
    <row r="296" spans="1:10" ht="85.5" x14ac:dyDescent="0.45">
      <c r="A296" s="6" t="s">
        <v>287</v>
      </c>
      <c r="B296" s="7" t="s">
        <v>715</v>
      </c>
      <c r="C296" s="5" t="s">
        <v>2536</v>
      </c>
      <c r="E296" s="9" t="s">
        <v>2535</v>
      </c>
      <c r="J296" s="5" t="s">
        <v>1113</v>
      </c>
    </row>
    <row r="297" spans="1:10" ht="85.5" x14ac:dyDescent="0.45">
      <c r="A297" s="6" t="s">
        <v>286</v>
      </c>
      <c r="B297" s="7" t="s">
        <v>714</v>
      </c>
      <c r="C297" s="5" t="s">
        <v>2522</v>
      </c>
      <c r="E297" s="9" t="s">
        <v>2534</v>
      </c>
    </row>
    <row r="298" spans="1:10" ht="85.5" x14ac:dyDescent="0.45">
      <c r="A298" s="6" t="s">
        <v>285</v>
      </c>
      <c r="B298" s="7" t="s">
        <v>713</v>
      </c>
      <c r="C298" s="5" t="s">
        <v>2533</v>
      </c>
      <c r="E298" s="9" t="s">
        <v>2532</v>
      </c>
      <c r="H298" s="5" t="s">
        <v>1098</v>
      </c>
      <c r="J298" s="5" t="s">
        <v>1111</v>
      </c>
    </row>
    <row r="299" spans="1:10" ht="28.5" x14ac:dyDescent="0.45">
      <c r="A299" s="6" t="s">
        <v>284</v>
      </c>
      <c r="B299" s="7" t="s">
        <v>712</v>
      </c>
      <c r="C299" s="5" t="s">
        <v>2528</v>
      </c>
      <c r="E299" s="9" t="s">
        <v>2527</v>
      </c>
      <c r="J299" s="5" t="s">
        <v>1114</v>
      </c>
    </row>
    <row r="300" spans="1:10" ht="99.75" x14ac:dyDescent="0.45">
      <c r="A300" s="6" t="s">
        <v>283</v>
      </c>
      <c r="B300" s="7" t="s">
        <v>2698</v>
      </c>
      <c r="C300" s="5" t="s">
        <v>2526</v>
      </c>
      <c r="E300" s="9" t="s">
        <v>2525</v>
      </c>
      <c r="H300" s="5" t="s">
        <v>1099</v>
      </c>
      <c r="J300" s="5" t="s">
        <v>1113</v>
      </c>
    </row>
    <row r="301" spans="1:10" ht="99.75" x14ac:dyDescent="0.45">
      <c r="A301" s="6" t="s">
        <v>282</v>
      </c>
      <c r="B301" s="7" t="s">
        <v>711</v>
      </c>
      <c r="C301" s="5" t="s">
        <v>2524</v>
      </c>
      <c r="E301" s="9" t="s">
        <v>2523</v>
      </c>
      <c r="H301" s="5" t="s">
        <v>1098</v>
      </c>
      <c r="J301" s="5" t="s">
        <v>1119</v>
      </c>
    </row>
    <row r="302" spans="1:10" ht="99.75" x14ac:dyDescent="0.45">
      <c r="A302" s="6" t="s">
        <v>281</v>
      </c>
      <c r="B302" s="7" t="s">
        <v>711</v>
      </c>
      <c r="C302" s="5" t="s">
        <v>2522</v>
      </c>
      <c r="E302" s="9" t="s">
        <v>2521</v>
      </c>
      <c r="F302" s="5" t="s">
        <v>1925</v>
      </c>
      <c r="G302" s="5" t="s">
        <v>1069</v>
      </c>
      <c r="H302" s="5" t="s">
        <v>1099</v>
      </c>
    </row>
    <row r="303" spans="1:10" x14ac:dyDescent="0.45">
      <c r="A303" s="6" t="s">
        <v>280</v>
      </c>
      <c r="B303" s="7" t="s">
        <v>2697</v>
      </c>
      <c r="C303" s="5" t="s">
        <v>547</v>
      </c>
      <c r="E303" s="9" t="s">
        <v>2520</v>
      </c>
      <c r="F303" s="5" t="s">
        <v>984</v>
      </c>
      <c r="G303" s="5" t="s">
        <v>1068</v>
      </c>
      <c r="J303" s="5" t="s">
        <v>1111</v>
      </c>
    </row>
    <row r="304" spans="1:10" ht="99.75" x14ac:dyDescent="0.45">
      <c r="A304" s="6" t="s">
        <v>279</v>
      </c>
      <c r="B304" s="7" t="s">
        <v>2696</v>
      </c>
      <c r="C304" s="5" t="s">
        <v>2519</v>
      </c>
      <c r="E304" s="9" t="s">
        <v>2529</v>
      </c>
      <c r="H304" s="5" t="s">
        <v>1099</v>
      </c>
      <c r="J304" s="5" t="s">
        <v>1119</v>
      </c>
    </row>
    <row r="305" spans="1:10" x14ac:dyDescent="0.45">
      <c r="A305" s="6" t="s">
        <v>278</v>
      </c>
      <c r="B305" s="7" t="s">
        <v>710</v>
      </c>
      <c r="C305" s="5" t="s">
        <v>2531</v>
      </c>
      <c r="E305" s="9" t="s">
        <v>2530</v>
      </c>
    </row>
    <row r="306" spans="1:10" ht="57" x14ac:dyDescent="0.45">
      <c r="A306" s="6" t="s">
        <v>277</v>
      </c>
      <c r="B306" s="7" t="s">
        <v>709</v>
      </c>
      <c r="C306" s="5" t="s">
        <v>905</v>
      </c>
      <c r="E306" s="9" t="s">
        <v>1924</v>
      </c>
      <c r="H306" s="5" t="s">
        <v>1101</v>
      </c>
    </row>
    <row r="307" spans="1:10" ht="42.75" x14ac:dyDescent="0.45">
      <c r="A307" s="6" t="s">
        <v>276</v>
      </c>
      <c r="B307" s="7" t="s">
        <v>708</v>
      </c>
      <c r="C307" s="5" t="s">
        <v>2518</v>
      </c>
      <c r="E307" s="9" t="s">
        <v>2517</v>
      </c>
      <c r="H307" s="5" t="s">
        <v>1098</v>
      </c>
    </row>
    <row r="308" spans="1:10" ht="57" x14ac:dyDescent="0.45">
      <c r="A308" s="6" t="s">
        <v>275</v>
      </c>
      <c r="B308" s="7" t="s">
        <v>707</v>
      </c>
      <c r="C308" s="5" t="s">
        <v>2516</v>
      </c>
      <c r="E308" s="9" t="s">
        <v>2515</v>
      </c>
      <c r="H308" s="5" t="s">
        <v>1099</v>
      </c>
      <c r="J308" s="5" t="s">
        <v>1113</v>
      </c>
    </row>
    <row r="309" spans="1:10" x14ac:dyDescent="0.45">
      <c r="A309" s="6" t="s">
        <v>274</v>
      </c>
      <c r="B309" s="7" t="s">
        <v>2695</v>
      </c>
      <c r="C309" s="5" t="s">
        <v>2514</v>
      </c>
      <c r="E309" s="9" t="s">
        <v>2513</v>
      </c>
      <c r="H309" s="5" t="s">
        <v>1099</v>
      </c>
    </row>
    <row r="310" spans="1:10" ht="85.5" x14ac:dyDescent="0.45">
      <c r="A310" s="6" t="s">
        <v>273</v>
      </c>
      <c r="B310" s="7" t="s">
        <v>2694</v>
      </c>
      <c r="C310" s="5" t="s">
        <v>2511</v>
      </c>
      <c r="E310" s="9" t="s">
        <v>2512</v>
      </c>
      <c r="H310" s="5" t="s">
        <v>1099</v>
      </c>
      <c r="J310" s="5" t="s">
        <v>1113</v>
      </c>
    </row>
    <row r="311" spans="1:10" ht="28.5" x14ac:dyDescent="0.45">
      <c r="A311" s="6" t="s">
        <v>272</v>
      </c>
      <c r="B311" s="7" t="s">
        <v>706</v>
      </c>
      <c r="C311" s="5" t="s">
        <v>2510</v>
      </c>
      <c r="E311" s="9" t="s">
        <v>2509</v>
      </c>
      <c r="H311" s="5" t="s">
        <v>1100</v>
      </c>
      <c r="J311" s="5" t="s">
        <v>1119</v>
      </c>
    </row>
    <row r="312" spans="1:10" x14ac:dyDescent="0.45">
      <c r="A312" s="6" t="s">
        <v>271</v>
      </c>
      <c r="B312" s="7" t="s">
        <v>705</v>
      </c>
      <c r="C312" s="5" t="s">
        <v>2508</v>
      </c>
      <c r="E312" s="9" t="s">
        <v>2507</v>
      </c>
      <c r="F312" s="5" t="s">
        <v>983</v>
      </c>
      <c r="G312" s="5" t="s">
        <v>1067</v>
      </c>
      <c r="H312" s="5" t="s">
        <v>1099</v>
      </c>
    </row>
    <row r="313" spans="1:10" ht="28.5" x14ac:dyDescent="0.45">
      <c r="A313" s="6" t="s">
        <v>270</v>
      </c>
      <c r="B313" s="7" t="s">
        <v>704</v>
      </c>
      <c r="C313" s="5" t="s">
        <v>2506</v>
      </c>
      <c r="E313" s="9" t="s">
        <v>2505</v>
      </c>
      <c r="J313" s="5" t="s">
        <v>1113</v>
      </c>
    </row>
    <row r="314" spans="1:10" ht="42.75" x14ac:dyDescent="0.45">
      <c r="A314" s="6" t="s">
        <v>269</v>
      </c>
      <c r="B314" s="7" t="s">
        <v>703</v>
      </c>
      <c r="C314" s="5" t="s">
        <v>2504</v>
      </c>
      <c r="E314" s="9" t="s">
        <v>2503</v>
      </c>
      <c r="H314" s="5" t="s">
        <v>1098</v>
      </c>
      <c r="J314" s="5" t="s">
        <v>1113</v>
      </c>
    </row>
    <row r="315" spans="1:10" ht="42.75" x14ac:dyDescent="0.45">
      <c r="A315" s="6" t="s">
        <v>268</v>
      </c>
      <c r="B315" s="7" t="s">
        <v>702</v>
      </c>
      <c r="C315" s="5" t="s">
        <v>2502</v>
      </c>
      <c r="E315" s="9" t="s">
        <v>2501</v>
      </c>
      <c r="H315" s="5" t="s">
        <v>1098</v>
      </c>
      <c r="J315" s="5" t="s">
        <v>1113</v>
      </c>
    </row>
    <row r="316" spans="1:10" ht="28.5" x14ac:dyDescent="0.45">
      <c r="A316" s="6" t="s">
        <v>267</v>
      </c>
      <c r="B316" s="7" t="s">
        <v>701</v>
      </c>
      <c r="C316" s="5" t="s">
        <v>2018</v>
      </c>
      <c r="E316" s="9" t="s">
        <v>2500</v>
      </c>
      <c r="H316" s="5" t="s">
        <v>1099</v>
      </c>
      <c r="J316" s="5" t="s">
        <v>1113</v>
      </c>
    </row>
    <row r="317" spans="1:10" ht="42.75" x14ac:dyDescent="0.45">
      <c r="A317" s="6" t="s">
        <v>267</v>
      </c>
      <c r="B317" s="7" t="s">
        <v>701</v>
      </c>
      <c r="E317" s="9" t="s">
        <v>1923</v>
      </c>
      <c r="H317" s="5" t="s">
        <v>1099</v>
      </c>
      <c r="J317" s="5" t="s">
        <v>1113</v>
      </c>
    </row>
    <row r="318" spans="1:10" x14ac:dyDescent="0.45">
      <c r="A318" s="6" t="s">
        <v>266</v>
      </c>
      <c r="B318" s="7" t="s">
        <v>701</v>
      </c>
      <c r="C318" s="5" t="s">
        <v>2499</v>
      </c>
      <c r="E318" s="9" t="s">
        <v>2498</v>
      </c>
    </row>
    <row r="319" spans="1:10" ht="42.75" x14ac:dyDescent="0.45">
      <c r="A319" s="6" t="s">
        <v>265</v>
      </c>
      <c r="B319" s="7" t="s">
        <v>700</v>
      </c>
      <c r="C319" s="5" t="s">
        <v>2495</v>
      </c>
      <c r="E319" s="9" t="s">
        <v>2494</v>
      </c>
      <c r="F319" s="5" t="s">
        <v>1921</v>
      </c>
      <c r="G319" s="5" t="s">
        <v>1066</v>
      </c>
      <c r="H319" s="5" t="s">
        <v>1099</v>
      </c>
    </row>
    <row r="320" spans="1:10" ht="28.5" x14ac:dyDescent="0.45">
      <c r="A320" s="6" t="s">
        <v>265</v>
      </c>
      <c r="B320" s="7" t="s">
        <v>700</v>
      </c>
      <c r="C320" s="5" t="s">
        <v>2497</v>
      </c>
      <c r="E320" s="9" t="s">
        <v>2496</v>
      </c>
      <c r="H320" s="5" t="s">
        <v>1099</v>
      </c>
      <c r="J320" s="5" t="s">
        <v>1111</v>
      </c>
    </row>
    <row r="321" spans="1:10" s="12" customFormat="1" ht="28.5" x14ac:dyDescent="0.45">
      <c r="A321" s="6" t="s">
        <v>265</v>
      </c>
      <c r="B321" s="7" t="s">
        <v>700</v>
      </c>
      <c r="C321" s="5"/>
      <c r="D321" s="8"/>
      <c r="E321" s="9" t="s">
        <v>1922</v>
      </c>
      <c r="F321" s="5"/>
      <c r="G321" s="5"/>
      <c r="H321" s="5" t="s">
        <v>1099</v>
      </c>
      <c r="I321" s="5"/>
      <c r="J321" s="5" t="s">
        <v>1111</v>
      </c>
    </row>
    <row r="322" spans="1:10" ht="28.5" x14ac:dyDescent="0.45">
      <c r="A322" s="6" t="s">
        <v>264</v>
      </c>
      <c r="B322" s="7" t="s">
        <v>700</v>
      </c>
      <c r="C322" s="5" t="s">
        <v>2493</v>
      </c>
      <c r="E322" s="9" t="s">
        <v>2492</v>
      </c>
      <c r="H322" s="5" t="s">
        <v>1099</v>
      </c>
      <c r="J322" s="5" t="s">
        <v>1111</v>
      </c>
    </row>
    <row r="323" spans="1:10" ht="28.5" x14ac:dyDescent="0.45">
      <c r="A323" s="6" t="s">
        <v>263</v>
      </c>
      <c r="B323" s="7" t="s">
        <v>699</v>
      </c>
      <c r="C323" s="5" t="s">
        <v>2491</v>
      </c>
      <c r="E323" s="9" t="s">
        <v>2490</v>
      </c>
      <c r="H323" s="5" t="s">
        <v>1099</v>
      </c>
      <c r="J323" s="5" t="s">
        <v>1113</v>
      </c>
    </row>
    <row r="324" spans="1:10" ht="28.5" x14ac:dyDescent="0.45">
      <c r="A324" s="6" t="s">
        <v>262</v>
      </c>
      <c r="B324" s="7" t="s">
        <v>699</v>
      </c>
      <c r="C324" s="5" t="s">
        <v>2489</v>
      </c>
      <c r="E324" s="9" t="s">
        <v>2488</v>
      </c>
      <c r="H324" s="5" t="s">
        <v>1099</v>
      </c>
      <c r="J324" s="5" t="s">
        <v>1113</v>
      </c>
    </row>
    <row r="325" spans="1:10" ht="28.5" x14ac:dyDescent="0.45">
      <c r="A325" s="6" t="s">
        <v>261</v>
      </c>
      <c r="B325" s="7" t="s">
        <v>699</v>
      </c>
      <c r="C325" s="5" t="s">
        <v>2487</v>
      </c>
      <c r="D325" s="8">
        <v>3</v>
      </c>
      <c r="E325" s="9" t="s">
        <v>2486</v>
      </c>
      <c r="H325" s="5" t="s">
        <v>1099</v>
      </c>
      <c r="J325" s="5" t="s">
        <v>1113</v>
      </c>
    </row>
    <row r="326" spans="1:10" ht="28.5" x14ac:dyDescent="0.45">
      <c r="A326" s="6" t="s">
        <v>260</v>
      </c>
      <c r="B326" s="7" t="s">
        <v>2693</v>
      </c>
      <c r="C326" s="5" t="s">
        <v>2485</v>
      </c>
      <c r="E326" s="9" t="s">
        <v>2484</v>
      </c>
      <c r="H326" s="5" t="s">
        <v>1099</v>
      </c>
      <c r="J326" s="5" t="s">
        <v>1111</v>
      </c>
    </row>
    <row r="327" spans="1:10" x14ac:dyDescent="0.45">
      <c r="A327" s="6" t="s">
        <v>259</v>
      </c>
      <c r="B327" s="7" t="s">
        <v>698</v>
      </c>
      <c r="C327" s="5" t="s">
        <v>2483</v>
      </c>
      <c r="E327" s="9" t="s">
        <v>2482</v>
      </c>
    </row>
    <row r="328" spans="1:10" x14ac:dyDescent="0.45">
      <c r="A328" s="6" t="s">
        <v>258</v>
      </c>
      <c r="B328" s="7" t="s">
        <v>2692</v>
      </c>
      <c r="C328" s="5" t="s">
        <v>2481</v>
      </c>
      <c r="E328" s="9" t="s">
        <v>2480</v>
      </c>
    </row>
    <row r="329" spans="1:10" ht="28.5" x14ac:dyDescent="0.45">
      <c r="A329" s="6" t="s">
        <v>257</v>
      </c>
      <c r="B329" s="7" t="s">
        <v>2692</v>
      </c>
      <c r="C329" s="5" t="s">
        <v>2479</v>
      </c>
      <c r="E329" s="9" t="s">
        <v>2478</v>
      </c>
      <c r="H329" s="5" t="s">
        <v>1098</v>
      </c>
      <c r="J329" s="5" t="s">
        <v>1113</v>
      </c>
    </row>
    <row r="330" spans="1:10" ht="28.5" x14ac:dyDescent="0.45">
      <c r="A330" s="6" t="s">
        <v>256</v>
      </c>
      <c r="B330" s="7" t="s">
        <v>697</v>
      </c>
      <c r="C330" s="5" t="s">
        <v>2477</v>
      </c>
      <c r="E330" s="9" t="s">
        <v>2476</v>
      </c>
      <c r="H330" s="5" t="s">
        <v>1096</v>
      </c>
    </row>
    <row r="331" spans="1:10" ht="28.5" x14ac:dyDescent="0.45">
      <c r="A331" s="6" t="s">
        <v>255</v>
      </c>
      <c r="B331" s="7" t="s">
        <v>696</v>
      </c>
      <c r="C331" s="5" t="s">
        <v>2475</v>
      </c>
      <c r="E331" s="9" t="s">
        <v>2474</v>
      </c>
      <c r="H331" s="5" t="s">
        <v>1096</v>
      </c>
      <c r="J331" s="5" t="s">
        <v>1113</v>
      </c>
    </row>
    <row r="332" spans="1:10" ht="28.5" x14ac:dyDescent="0.45">
      <c r="A332" s="6" t="s">
        <v>254</v>
      </c>
      <c r="B332" s="7" t="s">
        <v>696</v>
      </c>
      <c r="C332" s="5" t="s">
        <v>2473</v>
      </c>
      <c r="E332" s="9" t="s">
        <v>2472</v>
      </c>
      <c r="H332" s="5" t="s">
        <v>1096</v>
      </c>
    </row>
    <row r="333" spans="1:10" ht="28.5" x14ac:dyDescent="0.45">
      <c r="A333" s="6" t="s">
        <v>253</v>
      </c>
      <c r="B333" s="7" t="s">
        <v>696</v>
      </c>
      <c r="C333" s="5" t="s">
        <v>2468</v>
      </c>
      <c r="E333" s="9" t="s">
        <v>2467</v>
      </c>
      <c r="H333" s="5" t="s">
        <v>1096</v>
      </c>
      <c r="J333" s="5" t="s">
        <v>1111</v>
      </c>
    </row>
    <row r="334" spans="1:10" ht="28.5" x14ac:dyDescent="0.45">
      <c r="A334" s="6" t="s">
        <v>252</v>
      </c>
      <c r="B334" s="7" t="s">
        <v>696</v>
      </c>
      <c r="C334" s="5" t="s">
        <v>2466</v>
      </c>
      <c r="E334" s="9" t="s">
        <v>2465</v>
      </c>
      <c r="H334" s="5" t="s">
        <v>1096</v>
      </c>
      <c r="J334" s="5" t="s">
        <v>1113</v>
      </c>
    </row>
    <row r="335" spans="1:10" ht="28.5" x14ac:dyDescent="0.45">
      <c r="A335" s="6" t="s">
        <v>251</v>
      </c>
      <c r="B335" s="7" t="s">
        <v>695</v>
      </c>
      <c r="C335" s="5" t="s">
        <v>2464</v>
      </c>
      <c r="E335" s="9" t="s">
        <v>2463</v>
      </c>
      <c r="H335" s="5" t="s">
        <v>1096</v>
      </c>
    </row>
    <row r="336" spans="1:10" ht="28.5" x14ac:dyDescent="0.45">
      <c r="A336" s="6" t="s">
        <v>250</v>
      </c>
      <c r="B336" s="7" t="s">
        <v>694</v>
      </c>
      <c r="C336" s="5" t="s">
        <v>2462</v>
      </c>
      <c r="E336" s="9" t="s">
        <v>2461</v>
      </c>
      <c r="H336" s="5" t="s">
        <v>1097</v>
      </c>
      <c r="J336" s="5" t="s">
        <v>1111</v>
      </c>
    </row>
    <row r="337" spans="1:10" ht="28.5" x14ac:dyDescent="0.45">
      <c r="A337" s="6" t="s">
        <v>249</v>
      </c>
      <c r="B337" s="7" t="s">
        <v>693</v>
      </c>
      <c r="C337" s="5" t="s">
        <v>2460</v>
      </c>
      <c r="E337" s="9" t="s">
        <v>2459</v>
      </c>
      <c r="H337" s="5" t="s">
        <v>1096</v>
      </c>
      <c r="J337" s="5" t="s">
        <v>1114</v>
      </c>
    </row>
    <row r="338" spans="1:10" x14ac:dyDescent="0.45">
      <c r="A338" s="6" t="s">
        <v>248</v>
      </c>
      <c r="B338" s="7" t="s">
        <v>692</v>
      </c>
      <c r="C338" s="5" t="s">
        <v>2458</v>
      </c>
      <c r="E338" s="9" t="s">
        <v>2457</v>
      </c>
      <c r="F338" s="5" t="s">
        <v>982</v>
      </c>
      <c r="G338" s="5" t="s">
        <v>1065</v>
      </c>
    </row>
    <row r="339" spans="1:10" ht="28.5" x14ac:dyDescent="0.45">
      <c r="A339" s="6" t="s">
        <v>247</v>
      </c>
      <c r="B339" s="7" t="s">
        <v>691</v>
      </c>
      <c r="C339" s="5" t="s">
        <v>2445</v>
      </c>
      <c r="E339" s="9" t="s">
        <v>2455</v>
      </c>
      <c r="H339" s="5" t="s">
        <v>1096</v>
      </c>
      <c r="J339" s="5" t="s">
        <v>1113</v>
      </c>
    </row>
    <row r="340" spans="1:10" x14ac:dyDescent="0.45">
      <c r="A340" s="6" t="s">
        <v>246</v>
      </c>
      <c r="B340" s="7" t="s">
        <v>690</v>
      </c>
      <c r="C340" s="5" t="s">
        <v>2456</v>
      </c>
      <c r="E340" s="9" t="s">
        <v>566</v>
      </c>
      <c r="H340" s="5" t="s">
        <v>1095</v>
      </c>
    </row>
    <row r="341" spans="1:10" x14ac:dyDescent="0.45">
      <c r="A341" s="6" t="s">
        <v>245</v>
      </c>
      <c r="B341" s="7" t="s">
        <v>689</v>
      </c>
      <c r="C341" s="5" t="s">
        <v>2454</v>
      </c>
      <c r="E341" s="9" t="s">
        <v>2453</v>
      </c>
    </row>
    <row r="342" spans="1:10" ht="28.5" x14ac:dyDescent="0.45">
      <c r="A342" s="6" t="s">
        <v>244</v>
      </c>
      <c r="B342" s="7" t="s">
        <v>688</v>
      </c>
      <c r="C342" s="5" t="s">
        <v>2452</v>
      </c>
      <c r="E342" s="9" t="s">
        <v>2451</v>
      </c>
      <c r="H342" s="5" t="s">
        <v>1095</v>
      </c>
      <c r="J342" s="5" t="s">
        <v>1119</v>
      </c>
    </row>
    <row r="343" spans="1:10" ht="28.5" x14ac:dyDescent="0.45">
      <c r="A343" s="6" t="s">
        <v>243</v>
      </c>
      <c r="B343" s="7" t="s">
        <v>688</v>
      </c>
      <c r="C343" s="5" t="s">
        <v>2450</v>
      </c>
      <c r="E343" s="9" t="s">
        <v>2449</v>
      </c>
      <c r="H343" s="5" t="s">
        <v>1095</v>
      </c>
      <c r="J343" s="5" t="s">
        <v>1113</v>
      </c>
    </row>
    <row r="344" spans="1:10" ht="28.5" x14ac:dyDescent="0.45">
      <c r="A344" s="6" t="s">
        <v>242</v>
      </c>
      <c r="B344" s="7" t="s">
        <v>687</v>
      </c>
      <c r="C344" s="5" t="s">
        <v>2445</v>
      </c>
      <c r="E344" s="9" t="s">
        <v>2448</v>
      </c>
      <c r="H344" s="5" t="s">
        <v>1096</v>
      </c>
      <c r="J344" s="5" t="s">
        <v>1113</v>
      </c>
    </row>
    <row r="345" spans="1:10" ht="28.5" x14ac:dyDescent="0.45">
      <c r="A345" s="6" t="s">
        <v>241</v>
      </c>
      <c r="B345" s="7" t="s">
        <v>2691</v>
      </c>
      <c r="C345" s="5" t="s">
        <v>2447</v>
      </c>
      <c r="E345" s="9" t="s">
        <v>2446</v>
      </c>
      <c r="H345" s="5" t="s">
        <v>1096</v>
      </c>
    </row>
    <row r="346" spans="1:10" ht="28.5" x14ac:dyDescent="0.45">
      <c r="A346" s="6" t="s">
        <v>240</v>
      </c>
      <c r="B346" s="7" t="s">
        <v>686</v>
      </c>
      <c r="C346" s="5" t="s">
        <v>2445</v>
      </c>
      <c r="E346" s="9" t="s">
        <v>2444</v>
      </c>
      <c r="H346" s="5" t="s">
        <v>1096</v>
      </c>
      <c r="J346" s="5" t="s">
        <v>1113</v>
      </c>
    </row>
    <row r="347" spans="1:10" ht="28.5" x14ac:dyDescent="0.45">
      <c r="A347" s="6" t="s">
        <v>239</v>
      </c>
      <c r="B347" s="7" t="s">
        <v>685</v>
      </c>
      <c r="C347" s="5" t="s">
        <v>1975</v>
      </c>
      <c r="E347" s="9" t="s">
        <v>2443</v>
      </c>
      <c r="F347" s="5" t="s">
        <v>1920</v>
      </c>
      <c r="G347" s="5" t="s">
        <v>1064</v>
      </c>
      <c r="H347" s="5" t="s">
        <v>1097</v>
      </c>
      <c r="J347" s="5" t="s">
        <v>1117</v>
      </c>
    </row>
    <row r="348" spans="1:10" ht="28.5" x14ac:dyDescent="0.45">
      <c r="A348" s="6" t="s">
        <v>238</v>
      </c>
      <c r="B348" s="7" t="s">
        <v>685</v>
      </c>
      <c r="C348" s="5" t="s">
        <v>2442</v>
      </c>
      <c r="E348" s="9" t="s">
        <v>2441</v>
      </c>
      <c r="J348" s="5" t="s">
        <v>1114</v>
      </c>
    </row>
    <row r="349" spans="1:10" ht="28.5" x14ac:dyDescent="0.45">
      <c r="A349" s="6" t="s">
        <v>237</v>
      </c>
      <c r="B349" s="7" t="s">
        <v>685</v>
      </c>
      <c r="C349" s="5" t="s">
        <v>2440</v>
      </c>
      <c r="E349" s="9" t="s">
        <v>2439</v>
      </c>
      <c r="J349" s="5" t="s">
        <v>1114</v>
      </c>
    </row>
    <row r="350" spans="1:10" ht="28.5" x14ac:dyDescent="0.45">
      <c r="A350" s="6" t="s">
        <v>236</v>
      </c>
      <c r="B350" s="7" t="s">
        <v>685</v>
      </c>
      <c r="C350" s="5" t="s">
        <v>2438</v>
      </c>
      <c r="E350" s="9" t="s">
        <v>2437</v>
      </c>
      <c r="J350" s="5" t="s">
        <v>1113</v>
      </c>
    </row>
    <row r="351" spans="1:10" ht="28.5" x14ac:dyDescent="0.45">
      <c r="A351" s="6" t="s">
        <v>235</v>
      </c>
      <c r="B351" s="7" t="s">
        <v>685</v>
      </c>
      <c r="C351" s="5" t="s">
        <v>2435</v>
      </c>
      <c r="E351" s="9" t="s">
        <v>2436</v>
      </c>
      <c r="H351" s="5" t="s">
        <v>1097</v>
      </c>
      <c r="J351" s="5" t="s">
        <v>1113</v>
      </c>
    </row>
    <row r="352" spans="1:10" x14ac:dyDescent="0.45">
      <c r="A352" s="6" t="s">
        <v>234</v>
      </c>
      <c r="B352" s="7" t="s">
        <v>2690</v>
      </c>
      <c r="C352" s="5" t="s">
        <v>2435</v>
      </c>
      <c r="E352" s="9" t="s">
        <v>2434</v>
      </c>
      <c r="H352" s="5" t="s">
        <v>1095</v>
      </c>
      <c r="J352" s="5" t="s">
        <v>1113</v>
      </c>
    </row>
    <row r="353" spans="1:10" ht="28.5" x14ac:dyDescent="0.45">
      <c r="A353" s="6" t="s">
        <v>233</v>
      </c>
      <c r="B353" s="7" t="s">
        <v>684</v>
      </c>
      <c r="C353" s="5" t="s">
        <v>2433</v>
      </c>
      <c r="E353" s="9" t="s">
        <v>2432</v>
      </c>
      <c r="J353" s="5" t="s">
        <v>1114</v>
      </c>
    </row>
    <row r="354" spans="1:10" ht="28.5" x14ac:dyDescent="0.45">
      <c r="A354" s="6" t="s">
        <v>232</v>
      </c>
      <c r="B354" s="7" t="s">
        <v>2689</v>
      </c>
      <c r="C354" s="5" t="s">
        <v>2431</v>
      </c>
      <c r="E354" s="9" t="s">
        <v>2430</v>
      </c>
      <c r="J354" s="5" t="s">
        <v>1113</v>
      </c>
    </row>
    <row r="355" spans="1:10" ht="28.5" x14ac:dyDescent="0.45">
      <c r="A355" s="6" t="s">
        <v>231</v>
      </c>
      <c r="B355" s="7" t="s">
        <v>2689</v>
      </c>
      <c r="C355" s="5" t="s">
        <v>2428</v>
      </c>
      <c r="E355" s="9" t="s">
        <v>2429</v>
      </c>
    </row>
    <row r="356" spans="1:10" ht="28.5" x14ac:dyDescent="0.45">
      <c r="A356" s="6" t="s">
        <v>230</v>
      </c>
      <c r="B356" s="7" t="s">
        <v>683</v>
      </c>
      <c r="C356" s="5" t="s">
        <v>2427</v>
      </c>
      <c r="E356" s="9" t="s">
        <v>2426</v>
      </c>
      <c r="J356" s="5" t="s">
        <v>1119</v>
      </c>
    </row>
    <row r="357" spans="1:10" x14ac:dyDescent="0.45">
      <c r="A357" s="6" t="s">
        <v>229</v>
      </c>
      <c r="B357" s="7" t="s">
        <v>682</v>
      </c>
      <c r="C357" s="5" t="s">
        <v>2425</v>
      </c>
      <c r="E357" s="9" t="s">
        <v>2424</v>
      </c>
    </row>
    <row r="358" spans="1:10" x14ac:dyDescent="0.45">
      <c r="A358" s="6" t="s">
        <v>228</v>
      </c>
      <c r="B358" s="7" t="s">
        <v>681</v>
      </c>
      <c r="C358" s="5" t="s">
        <v>883</v>
      </c>
      <c r="E358" s="9" t="s">
        <v>2423</v>
      </c>
    </row>
    <row r="359" spans="1:10" ht="28.5" x14ac:dyDescent="0.45">
      <c r="A359" s="6" t="s">
        <v>227</v>
      </c>
      <c r="B359" s="7" t="s">
        <v>681</v>
      </c>
      <c r="C359" s="5" t="s">
        <v>2422</v>
      </c>
      <c r="E359" s="9" t="s">
        <v>2421</v>
      </c>
      <c r="J359" s="5" t="s">
        <v>1113</v>
      </c>
    </row>
    <row r="360" spans="1:10" ht="28.5" x14ac:dyDescent="0.45">
      <c r="A360" s="6" t="s">
        <v>226</v>
      </c>
      <c r="B360" s="7" t="s">
        <v>680</v>
      </c>
      <c r="C360" s="5" t="s">
        <v>2420</v>
      </c>
      <c r="E360" s="9" t="s">
        <v>2419</v>
      </c>
      <c r="F360" s="5" t="s">
        <v>1919</v>
      </c>
      <c r="G360" s="5" t="s">
        <v>1063</v>
      </c>
      <c r="J360" s="5" t="s">
        <v>1119</v>
      </c>
    </row>
    <row r="361" spans="1:10" ht="28.5" x14ac:dyDescent="0.45">
      <c r="A361" s="6" t="s">
        <v>225</v>
      </c>
      <c r="B361" s="7" t="s">
        <v>2688</v>
      </c>
      <c r="C361" s="5" t="s">
        <v>1785</v>
      </c>
      <c r="E361" s="9" t="s">
        <v>2418</v>
      </c>
      <c r="J361" s="5" t="s">
        <v>1114</v>
      </c>
    </row>
    <row r="362" spans="1:10" x14ac:dyDescent="0.45">
      <c r="A362" s="6" t="s">
        <v>224</v>
      </c>
      <c r="B362" s="7" t="s">
        <v>679</v>
      </c>
      <c r="C362" s="5" t="s">
        <v>2417</v>
      </c>
      <c r="E362" s="9" t="s">
        <v>2416</v>
      </c>
      <c r="J362" s="5" t="s">
        <v>1111</v>
      </c>
    </row>
    <row r="363" spans="1:10" ht="28.5" x14ac:dyDescent="0.45">
      <c r="A363" s="6" t="s">
        <v>223</v>
      </c>
      <c r="B363" s="7" t="s">
        <v>678</v>
      </c>
      <c r="C363" s="5" t="s">
        <v>2415</v>
      </c>
      <c r="E363" s="9" t="s">
        <v>2414</v>
      </c>
      <c r="F363" s="5" t="s">
        <v>1918</v>
      </c>
      <c r="G363" s="5" t="s">
        <v>1063</v>
      </c>
    </row>
    <row r="364" spans="1:10" ht="28.5" x14ac:dyDescent="0.45">
      <c r="A364" s="6" t="s">
        <v>222</v>
      </c>
      <c r="B364" s="7" t="s">
        <v>2687</v>
      </c>
      <c r="C364" s="5" t="s">
        <v>2405</v>
      </c>
      <c r="E364" s="9" t="s">
        <v>2413</v>
      </c>
      <c r="J364" s="5" t="s">
        <v>1111</v>
      </c>
    </row>
    <row r="365" spans="1:10" ht="28.5" x14ac:dyDescent="0.45">
      <c r="A365" s="6" t="s">
        <v>221</v>
      </c>
      <c r="B365" s="7" t="s">
        <v>2686</v>
      </c>
      <c r="C365" s="5" t="s">
        <v>2412</v>
      </c>
      <c r="E365" s="9" t="s">
        <v>2411</v>
      </c>
    </row>
    <row r="366" spans="1:10" ht="28.5" x14ac:dyDescent="0.45">
      <c r="A366" s="6" t="s">
        <v>220</v>
      </c>
      <c r="B366" s="7" t="s">
        <v>677</v>
      </c>
      <c r="C366" s="5" t="s">
        <v>2410</v>
      </c>
      <c r="E366" s="9" t="s">
        <v>2409</v>
      </c>
      <c r="J366" s="5" t="s">
        <v>1111</v>
      </c>
    </row>
    <row r="367" spans="1:10" ht="28.5" x14ac:dyDescent="0.45">
      <c r="A367" s="6" t="s">
        <v>219</v>
      </c>
      <c r="B367" s="7" t="s">
        <v>676</v>
      </c>
      <c r="C367" s="5" t="s">
        <v>2408</v>
      </c>
      <c r="E367" s="9" t="s">
        <v>2407</v>
      </c>
      <c r="J367" s="5" t="s">
        <v>1113</v>
      </c>
    </row>
    <row r="368" spans="1:10" x14ac:dyDescent="0.45">
      <c r="A368" s="6" t="s">
        <v>218</v>
      </c>
      <c r="B368" s="7" t="s">
        <v>675</v>
      </c>
      <c r="C368" s="5" t="s">
        <v>1902</v>
      </c>
      <c r="E368" s="9" t="s">
        <v>2406</v>
      </c>
      <c r="F368" s="5" t="s">
        <v>981</v>
      </c>
      <c r="G368" s="5" t="s">
        <v>1062</v>
      </c>
    </row>
    <row r="369" spans="1:10" ht="28.5" x14ac:dyDescent="0.45">
      <c r="A369" s="6" t="s">
        <v>217</v>
      </c>
      <c r="B369" s="7" t="s">
        <v>674</v>
      </c>
      <c r="C369" s="5" t="s">
        <v>2405</v>
      </c>
      <c r="E369" s="9" t="s">
        <v>2404</v>
      </c>
      <c r="H369" s="5" t="s">
        <v>1096</v>
      </c>
      <c r="J369" s="5" t="s">
        <v>1111</v>
      </c>
    </row>
    <row r="370" spans="1:10" ht="42.75" x14ac:dyDescent="0.45">
      <c r="A370" s="6" t="s">
        <v>216</v>
      </c>
      <c r="B370" s="7" t="s">
        <v>674</v>
      </c>
      <c r="C370" s="5" t="s">
        <v>2403</v>
      </c>
      <c r="E370" s="9" t="s">
        <v>2402</v>
      </c>
      <c r="H370" s="5" t="s">
        <v>1096</v>
      </c>
      <c r="J370" s="5" t="s">
        <v>1114</v>
      </c>
    </row>
    <row r="371" spans="1:10" x14ac:dyDescent="0.45">
      <c r="A371" s="6" t="s">
        <v>215</v>
      </c>
      <c r="B371" s="7" t="s">
        <v>2685</v>
      </c>
      <c r="C371" s="5" t="s">
        <v>2401</v>
      </c>
      <c r="E371" s="9" t="s">
        <v>2400</v>
      </c>
      <c r="F371" s="5" t="s">
        <v>980</v>
      </c>
      <c r="G371" s="5" t="s">
        <v>1062</v>
      </c>
    </row>
    <row r="372" spans="1:10" x14ac:dyDescent="0.45">
      <c r="A372" s="6" t="s">
        <v>214</v>
      </c>
      <c r="B372" s="7" t="s">
        <v>673</v>
      </c>
      <c r="C372" s="5" t="s">
        <v>872</v>
      </c>
      <c r="E372" s="9" t="s">
        <v>2399</v>
      </c>
    </row>
    <row r="373" spans="1:10" x14ac:dyDescent="0.45">
      <c r="A373" s="6" t="s">
        <v>213</v>
      </c>
      <c r="B373" s="7" t="s">
        <v>672</v>
      </c>
      <c r="C373" s="5" t="s">
        <v>875</v>
      </c>
      <c r="E373" s="9" t="s">
        <v>565</v>
      </c>
    </row>
    <row r="374" spans="1:10" ht="28.5" x14ac:dyDescent="0.45">
      <c r="A374" s="6" t="s">
        <v>212</v>
      </c>
      <c r="B374" s="7" t="s">
        <v>671</v>
      </c>
      <c r="C374" s="5" t="s">
        <v>2398</v>
      </c>
      <c r="E374" s="9" t="s">
        <v>2397</v>
      </c>
      <c r="J374" s="5" t="s">
        <v>1113</v>
      </c>
    </row>
    <row r="375" spans="1:10" ht="28.5" x14ac:dyDescent="0.45">
      <c r="A375" s="6" t="s">
        <v>211</v>
      </c>
      <c r="B375" s="7" t="s">
        <v>671</v>
      </c>
      <c r="C375" s="5" t="s">
        <v>2396</v>
      </c>
      <c r="E375" s="9" t="s">
        <v>2395</v>
      </c>
      <c r="J375" s="5" t="s">
        <v>1113</v>
      </c>
    </row>
    <row r="376" spans="1:10" ht="28.5" x14ac:dyDescent="0.45">
      <c r="A376" s="6" t="s">
        <v>210</v>
      </c>
      <c r="B376" s="7" t="s">
        <v>670</v>
      </c>
      <c r="C376" s="5" t="s">
        <v>2394</v>
      </c>
      <c r="D376" s="8">
        <v>2</v>
      </c>
      <c r="E376" s="9" t="s">
        <v>2393</v>
      </c>
      <c r="H376" s="5" t="s">
        <v>1095</v>
      </c>
      <c r="J376" s="5" t="s">
        <v>1113</v>
      </c>
    </row>
    <row r="377" spans="1:10" ht="28.5" x14ac:dyDescent="0.45">
      <c r="A377" s="6" t="s">
        <v>209</v>
      </c>
      <c r="B377" s="7" t="s">
        <v>2684</v>
      </c>
      <c r="C377" s="5" t="s">
        <v>2392</v>
      </c>
      <c r="E377" s="9" t="s">
        <v>2391</v>
      </c>
      <c r="H377" s="5" t="s">
        <v>1095</v>
      </c>
      <c r="J377" s="5" t="s">
        <v>1114</v>
      </c>
    </row>
    <row r="378" spans="1:10" ht="28.5" x14ac:dyDescent="0.45">
      <c r="A378" s="6" t="s">
        <v>208</v>
      </c>
      <c r="B378" s="7" t="s">
        <v>669</v>
      </c>
      <c r="C378" s="5" t="s">
        <v>1875</v>
      </c>
      <c r="E378" s="9" t="s">
        <v>2390</v>
      </c>
      <c r="H378" s="5" t="s">
        <v>1095</v>
      </c>
      <c r="J378" s="5" t="s">
        <v>1119</v>
      </c>
    </row>
    <row r="379" spans="1:10" ht="28.5" x14ac:dyDescent="0.45">
      <c r="A379" s="6" t="s">
        <v>207</v>
      </c>
      <c r="B379" s="7" t="s">
        <v>669</v>
      </c>
      <c r="C379" s="5" t="s">
        <v>2389</v>
      </c>
      <c r="E379" s="9" t="s">
        <v>2388</v>
      </c>
      <c r="J379" s="5" t="s">
        <v>1113</v>
      </c>
    </row>
    <row r="380" spans="1:10" ht="28.5" x14ac:dyDescent="0.45">
      <c r="A380" s="6" t="s">
        <v>206</v>
      </c>
      <c r="B380" s="7" t="s">
        <v>668</v>
      </c>
      <c r="C380" s="5" t="s">
        <v>2387</v>
      </c>
      <c r="E380" s="9" t="s">
        <v>2386</v>
      </c>
      <c r="J380" s="5" t="s">
        <v>1111</v>
      </c>
    </row>
    <row r="381" spans="1:10" x14ac:dyDescent="0.45">
      <c r="A381" s="6" t="s">
        <v>205</v>
      </c>
      <c r="B381" s="7" t="s">
        <v>667</v>
      </c>
      <c r="C381" s="5" t="s">
        <v>2062</v>
      </c>
      <c r="E381" s="9" t="s">
        <v>2385</v>
      </c>
    </row>
    <row r="382" spans="1:10" x14ac:dyDescent="0.45">
      <c r="A382" s="6" t="s">
        <v>204</v>
      </c>
      <c r="B382" s="7" t="s">
        <v>667</v>
      </c>
      <c r="C382" s="5" t="s">
        <v>2011</v>
      </c>
      <c r="E382" s="9" t="s">
        <v>2012</v>
      </c>
    </row>
    <row r="383" spans="1:10" ht="28.5" x14ac:dyDescent="0.45">
      <c r="A383" s="6" t="s">
        <v>203</v>
      </c>
      <c r="B383" s="7" t="s">
        <v>666</v>
      </c>
      <c r="C383" s="5" t="s">
        <v>2010</v>
      </c>
      <c r="E383" s="9" t="s">
        <v>2009</v>
      </c>
      <c r="J383" s="5" t="s">
        <v>1117</v>
      </c>
    </row>
    <row r="384" spans="1:10" ht="28.5" x14ac:dyDescent="0.45">
      <c r="A384" s="6" t="s">
        <v>202</v>
      </c>
      <c r="B384" s="7" t="s">
        <v>2683</v>
      </c>
      <c r="C384" s="5" t="s">
        <v>1989</v>
      </c>
      <c r="E384" s="9" t="s">
        <v>2008</v>
      </c>
      <c r="J384" s="5" t="s">
        <v>1114</v>
      </c>
    </row>
    <row r="385" spans="1:10" ht="28.5" x14ac:dyDescent="0.45">
      <c r="A385" s="6" t="s">
        <v>201</v>
      </c>
      <c r="B385" s="7" t="s">
        <v>665</v>
      </c>
      <c r="C385" s="5" t="s">
        <v>2007</v>
      </c>
      <c r="E385" s="9" t="s">
        <v>2006</v>
      </c>
      <c r="J385" s="5" t="s">
        <v>1111</v>
      </c>
    </row>
    <row r="386" spans="1:10" x14ac:dyDescent="0.45">
      <c r="A386" s="6" t="s">
        <v>200</v>
      </c>
      <c r="B386" s="7" t="s">
        <v>664</v>
      </c>
      <c r="C386" s="5" t="s">
        <v>2005</v>
      </c>
      <c r="E386" s="9" t="s">
        <v>2004</v>
      </c>
    </row>
    <row r="387" spans="1:10" x14ac:dyDescent="0.45">
      <c r="A387" s="6" t="s">
        <v>199</v>
      </c>
      <c r="B387" s="7" t="s">
        <v>663</v>
      </c>
      <c r="C387" s="5" t="s">
        <v>2002</v>
      </c>
      <c r="D387" s="8">
        <v>4</v>
      </c>
      <c r="E387" s="9" t="s">
        <v>2003</v>
      </c>
      <c r="F387" s="5" t="s">
        <v>979</v>
      </c>
      <c r="G387" s="5" t="s">
        <v>1061</v>
      </c>
    </row>
    <row r="388" spans="1:10" ht="28.5" x14ac:dyDescent="0.45">
      <c r="A388" s="6" t="s">
        <v>198</v>
      </c>
      <c r="B388" s="7" t="s">
        <v>2682</v>
      </c>
      <c r="C388" s="5" t="s">
        <v>2001</v>
      </c>
      <c r="E388" s="9" t="s">
        <v>2000</v>
      </c>
      <c r="J388" s="5" t="s">
        <v>1113</v>
      </c>
    </row>
    <row r="389" spans="1:10" ht="28.5" x14ac:dyDescent="0.45">
      <c r="A389" s="6" t="s">
        <v>197</v>
      </c>
      <c r="B389" s="7" t="s">
        <v>2682</v>
      </c>
      <c r="C389" s="5" t="s">
        <v>1999</v>
      </c>
      <c r="E389" s="9" t="s">
        <v>1998</v>
      </c>
      <c r="H389" s="5" t="s">
        <v>1096</v>
      </c>
      <c r="J389" s="5" t="s">
        <v>1113</v>
      </c>
    </row>
    <row r="390" spans="1:10" ht="28.5" x14ac:dyDescent="0.45">
      <c r="A390" s="6" t="s">
        <v>196</v>
      </c>
      <c r="B390" s="7" t="s">
        <v>662</v>
      </c>
      <c r="C390" s="5" t="s">
        <v>1997</v>
      </c>
      <c r="E390" s="9" t="s">
        <v>1996</v>
      </c>
      <c r="H390" s="5" t="s">
        <v>1096</v>
      </c>
      <c r="J390" s="5" t="s">
        <v>1118</v>
      </c>
    </row>
    <row r="391" spans="1:10" ht="28.5" x14ac:dyDescent="0.45">
      <c r="A391" s="6" t="s">
        <v>195</v>
      </c>
      <c r="B391" s="7" t="s">
        <v>661</v>
      </c>
      <c r="C391" s="5" t="s">
        <v>1991</v>
      </c>
      <c r="E391" s="9" t="s">
        <v>1990</v>
      </c>
      <c r="H391" s="5" t="s">
        <v>1096</v>
      </c>
      <c r="J391" s="5" t="s">
        <v>1114</v>
      </c>
    </row>
    <row r="392" spans="1:10" ht="28.5" x14ac:dyDescent="0.45">
      <c r="A392" s="6" t="s">
        <v>194</v>
      </c>
      <c r="B392" s="7" t="s">
        <v>661</v>
      </c>
      <c r="C392" s="5" t="s">
        <v>1989</v>
      </c>
      <c r="E392" s="9" t="s">
        <v>1988</v>
      </c>
      <c r="J392" s="5" t="s">
        <v>1114</v>
      </c>
    </row>
    <row r="393" spans="1:10" ht="28.5" x14ac:dyDescent="0.45">
      <c r="A393" s="6" t="s">
        <v>193</v>
      </c>
      <c r="B393" s="7" t="s">
        <v>661</v>
      </c>
      <c r="C393" s="5" t="s">
        <v>1987</v>
      </c>
      <c r="E393" s="9" t="s">
        <v>1986</v>
      </c>
      <c r="H393" s="5" t="s">
        <v>1095</v>
      </c>
      <c r="J393" s="5" t="s">
        <v>1113</v>
      </c>
    </row>
    <row r="394" spans="1:10" x14ac:dyDescent="0.45">
      <c r="A394" s="6" t="s">
        <v>1994</v>
      </c>
      <c r="B394" s="7" t="s">
        <v>660</v>
      </c>
      <c r="C394" s="5" t="s">
        <v>1985</v>
      </c>
    </row>
    <row r="395" spans="1:10" x14ac:dyDescent="0.45">
      <c r="A395" s="6" t="s">
        <v>1993</v>
      </c>
      <c r="B395" s="7" t="s">
        <v>660</v>
      </c>
      <c r="C395" s="5" t="s">
        <v>1985</v>
      </c>
    </row>
    <row r="396" spans="1:10" ht="28.5" x14ac:dyDescent="0.45">
      <c r="A396" s="6" t="s">
        <v>1992</v>
      </c>
      <c r="B396" s="7" t="s">
        <v>660</v>
      </c>
      <c r="C396" s="5" t="s">
        <v>1985</v>
      </c>
      <c r="E396" s="9" t="s">
        <v>1984</v>
      </c>
      <c r="H396" s="5" t="s">
        <v>1095</v>
      </c>
      <c r="J396" s="5" t="s">
        <v>1113</v>
      </c>
    </row>
    <row r="397" spans="1:10" x14ac:dyDescent="0.45">
      <c r="A397" s="6" t="s">
        <v>192</v>
      </c>
      <c r="B397" s="7" t="s">
        <v>659</v>
      </c>
      <c r="C397" s="5" t="s">
        <v>1983</v>
      </c>
      <c r="E397" s="9" t="s">
        <v>1982</v>
      </c>
    </row>
    <row r="398" spans="1:10" ht="28.5" x14ac:dyDescent="0.45">
      <c r="A398" s="6" t="s">
        <v>191</v>
      </c>
      <c r="B398" s="7" t="s">
        <v>659</v>
      </c>
      <c r="C398" s="5" t="s">
        <v>1980</v>
      </c>
      <c r="E398" s="9" t="s">
        <v>1981</v>
      </c>
      <c r="J398" s="5" t="s">
        <v>1111</v>
      </c>
    </row>
    <row r="399" spans="1:10" ht="28.5" x14ac:dyDescent="0.45">
      <c r="A399" s="6" t="s">
        <v>190</v>
      </c>
      <c r="B399" s="7" t="s">
        <v>1995</v>
      </c>
      <c r="C399" s="5" t="s">
        <v>1979</v>
      </c>
      <c r="E399" s="9" t="s">
        <v>1978</v>
      </c>
      <c r="J399" s="5" t="s">
        <v>1113</v>
      </c>
    </row>
    <row r="400" spans="1:10" ht="28.5" x14ac:dyDescent="0.45">
      <c r="A400" s="6" t="s">
        <v>189</v>
      </c>
      <c r="B400" s="7" t="s">
        <v>658</v>
      </c>
      <c r="C400" s="5" t="s">
        <v>1977</v>
      </c>
      <c r="E400" s="9" t="s">
        <v>1976</v>
      </c>
      <c r="H400" s="5" t="s">
        <v>1095</v>
      </c>
      <c r="J400" s="5" t="s">
        <v>1113</v>
      </c>
    </row>
    <row r="401" spans="1:10" ht="28.5" x14ac:dyDescent="0.45">
      <c r="A401" s="6" t="s">
        <v>188</v>
      </c>
      <c r="B401" s="7" t="s">
        <v>657</v>
      </c>
      <c r="C401" s="5" t="s">
        <v>1975</v>
      </c>
      <c r="E401" s="9" t="s">
        <v>1974</v>
      </c>
      <c r="H401" s="5" t="s">
        <v>1095</v>
      </c>
      <c r="J401" s="5" t="s">
        <v>1113</v>
      </c>
    </row>
    <row r="402" spans="1:10" ht="28.5" x14ac:dyDescent="0.45">
      <c r="A402" s="6" t="s">
        <v>187</v>
      </c>
      <c r="B402" s="7" t="s">
        <v>1891</v>
      </c>
      <c r="C402" s="5" t="s">
        <v>1973</v>
      </c>
      <c r="E402" s="9" t="s">
        <v>1972</v>
      </c>
      <c r="J402" s="5" t="s">
        <v>1112</v>
      </c>
    </row>
    <row r="403" spans="1:10" ht="28.5" x14ac:dyDescent="0.45">
      <c r="A403" s="6" t="s">
        <v>186</v>
      </c>
      <c r="B403" s="7" t="s">
        <v>1891</v>
      </c>
      <c r="C403" s="5" t="s">
        <v>1895</v>
      </c>
      <c r="E403" s="9" t="s">
        <v>1971</v>
      </c>
      <c r="J403" s="5" t="s">
        <v>1111</v>
      </c>
    </row>
    <row r="404" spans="1:10" ht="28.5" x14ac:dyDescent="0.45">
      <c r="A404" s="6" t="s">
        <v>185</v>
      </c>
      <c r="B404" s="7" t="s">
        <v>1891</v>
      </c>
      <c r="C404" s="5" t="s">
        <v>1875</v>
      </c>
      <c r="E404" s="9" t="s">
        <v>1970</v>
      </c>
      <c r="J404" s="5" t="s">
        <v>1119</v>
      </c>
    </row>
    <row r="405" spans="1:10" ht="28.5" x14ac:dyDescent="0.45">
      <c r="A405" s="6" t="s">
        <v>184</v>
      </c>
      <c r="B405" s="7" t="s">
        <v>656</v>
      </c>
      <c r="C405" s="5" t="s">
        <v>905</v>
      </c>
      <c r="E405" s="9" t="s">
        <v>1969</v>
      </c>
    </row>
    <row r="406" spans="1:10" x14ac:dyDescent="0.45">
      <c r="A406" s="6" t="s">
        <v>183</v>
      </c>
      <c r="B406" s="7" t="s">
        <v>655</v>
      </c>
      <c r="C406" s="5" t="s">
        <v>1968</v>
      </c>
      <c r="E406" s="9" t="s">
        <v>1967</v>
      </c>
      <c r="J406" s="5" t="s">
        <v>1111</v>
      </c>
    </row>
    <row r="407" spans="1:10" x14ac:dyDescent="0.45">
      <c r="A407" s="6" t="s">
        <v>182</v>
      </c>
      <c r="B407" s="7" t="s">
        <v>1890</v>
      </c>
      <c r="C407" s="5" t="s">
        <v>883</v>
      </c>
      <c r="E407" s="9" t="s">
        <v>1966</v>
      </c>
    </row>
    <row r="408" spans="1:10" ht="28.5" x14ac:dyDescent="0.45">
      <c r="A408" s="6" t="s">
        <v>181</v>
      </c>
      <c r="B408" s="7" t="s">
        <v>1890</v>
      </c>
      <c r="C408" s="5" t="s">
        <v>1962</v>
      </c>
      <c r="E408" s="9" t="s">
        <v>1961</v>
      </c>
      <c r="J408" s="5" t="s">
        <v>1113</v>
      </c>
    </row>
    <row r="409" spans="1:10" x14ac:dyDescent="0.45">
      <c r="A409" s="6" t="s">
        <v>180</v>
      </c>
      <c r="B409" s="7" t="s">
        <v>654</v>
      </c>
      <c r="C409" s="5" t="s">
        <v>1960</v>
      </c>
      <c r="D409" s="8">
        <v>2</v>
      </c>
      <c r="E409" s="9" t="s">
        <v>1959</v>
      </c>
      <c r="J409" s="5" t="s">
        <v>1113</v>
      </c>
    </row>
    <row r="410" spans="1:10" x14ac:dyDescent="0.45">
      <c r="A410" s="6" t="s">
        <v>179</v>
      </c>
      <c r="B410" s="7" t="s">
        <v>1889</v>
      </c>
      <c r="C410" s="5" t="s">
        <v>1958</v>
      </c>
      <c r="E410" s="9" t="s">
        <v>1957</v>
      </c>
    </row>
    <row r="411" spans="1:10" ht="28.5" x14ac:dyDescent="0.45">
      <c r="A411" s="6" t="s">
        <v>178</v>
      </c>
      <c r="B411" s="7" t="s">
        <v>1888</v>
      </c>
      <c r="C411" s="5" t="s">
        <v>1956</v>
      </c>
      <c r="E411" s="9" t="s">
        <v>1955</v>
      </c>
      <c r="J411" s="5" t="s">
        <v>1114</v>
      </c>
    </row>
    <row r="412" spans="1:10" ht="28.5" x14ac:dyDescent="0.45">
      <c r="A412" s="6" t="s">
        <v>177</v>
      </c>
      <c r="B412" s="7" t="s">
        <v>1888</v>
      </c>
      <c r="C412" s="5" t="s">
        <v>1954</v>
      </c>
      <c r="E412" s="9" t="s">
        <v>1953</v>
      </c>
      <c r="J412" s="5" t="s">
        <v>1111</v>
      </c>
    </row>
    <row r="413" spans="1:10" x14ac:dyDescent="0.45">
      <c r="A413" s="6" t="s">
        <v>176</v>
      </c>
      <c r="B413" s="7" t="s">
        <v>653</v>
      </c>
      <c r="C413" s="5" t="s">
        <v>2664</v>
      </c>
    </row>
    <row r="414" spans="1:10" x14ac:dyDescent="0.45">
      <c r="A414" s="6" t="s">
        <v>175</v>
      </c>
      <c r="B414" s="7" t="s">
        <v>652</v>
      </c>
      <c r="C414" s="5" t="s">
        <v>1902</v>
      </c>
      <c r="E414" s="9" t="s">
        <v>1901</v>
      </c>
    </row>
    <row r="415" spans="1:10" x14ac:dyDescent="0.45">
      <c r="A415" s="6" t="s">
        <v>174</v>
      </c>
      <c r="B415" s="7" t="s">
        <v>1887</v>
      </c>
      <c r="C415" s="5" t="s">
        <v>1785</v>
      </c>
      <c r="E415" s="9" t="s">
        <v>1917</v>
      </c>
      <c r="J415" s="5" t="s">
        <v>1113</v>
      </c>
    </row>
    <row r="416" spans="1:10" x14ac:dyDescent="0.45">
      <c r="A416" s="6" t="s">
        <v>173</v>
      </c>
      <c r="B416" s="7" t="s">
        <v>651</v>
      </c>
      <c r="C416" s="5" t="s">
        <v>1900</v>
      </c>
      <c r="E416" s="9" t="s">
        <v>1916</v>
      </c>
      <c r="J416" s="5" t="s">
        <v>1113</v>
      </c>
    </row>
    <row r="417" spans="1:10" x14ac:dyDescent="0.45">
      <c r="A417" s="6" t="s">
        <v>172</v>
      </c>
      <c r="B417" s="7" t="s">
        <v>651</v>
      </c>
      <c r="C417" s="5" t="s">
        <v>1899</v>
      </c>
      <c r="E417" s="9" t="s">
        <v>1915</v>
      </c>
      <c r="H417" s="5" t="s">
        <v>1095</v>
      </c>
      <c r="J417" s="5" t="s">
        <v>1119</v>
      </c>
    </row>
    <row r="418" spans="1:10" x14ac:dyDescent="0.45">
      <c r="A418" s="6" t="s">
        <v>1963</v>
      </c>
      <c r="B418" s="7" t="s">
        <v>1886</v>
      </c>
      <c r="C418" s="5" t="s">
        <v>1898</v>
      </c>
      <c r="D418" s="8">
        <v>2</v>
      </c>
      <c r="E418" s="9" t="s">
        <v>1965</v>
      </c>
    </row>
    <row r="419" spans="1:10" x14ac:dyDescent="0.45">
      <c r="A419" s="6" t="s">
        <v>1964</v>
      </c>
      <c r="B419" s="7" t="s">
        <v>1886</v>
      </c>
      <c r="C419" s="5" t="s">
        <v>1898</v>
      </c>
      <c r="D419" s="8">
        <v>2</v>
      </c>
      <c r="E419" s="9" t="s">
        <v>1914</v>
      </c>
      <c r="J419" s="5" t="s">
        <v>1114</v>
      </c>
    </row>
    <row r="420" spans="1:10" ht="28.5" x14ac:dyDescent="0.45">
      <c r="A420" s="6" t="s">
        <v>171</v>
      </c>
      <c r="B420" s="7" t="s">
        <v>650</v>
      </c>
      <c r="C420" s="5" t="s">
        <v>1897</v>
      </c>
      <c r="E420" s="9" t="s">
        <v>1913</v>
      </c>
      <c r="H420" s="5" t="s">
        <v>1095</v>
      </c>
      <c r="J420" s="5" t="s">
        <v>1113</v>
      </c>
    </row>
    <row r="421" spans="1:10" ht="28.5" x14ac:dyDescent="0.45">
      <c r="A421" s="6" t="s">
        <v>170</v>
      </c>
      <c r="B421" s="7" t="s">
        <v>650</v>
      </c>
      <c r="C421" s="5" t="s">
        <v>1896</v>
      </c>
      <c r="E421" s="9" t="s">
        <v>1912</v>
      </c>
      <c r="J421" s="5" t="s">
        <v>1113</v>
      </c>
    </row>
    <row r="422" spans="1:10" ht="28.5" x14ac:dyDescent="0.45">
      <c r="A422" s="6" t="s">
        <v>169</v>
      </c>
      <c r="B422" s="7" t="s">
        <v>649</v>
      </c>
      <c r="C422" s="5" t="s">
        <v>1895</v>
      </c>
      <c r="E422" s="9" t="s">
        <v>1911</v>
      </c>
      <c r="J422" s="5" t="s">
        <v>1111</v>
      </c>
    </row>
    <row r="423" spans="1:10" ht="28.5" x14ac:dyDescent="0.45">
      <c r="A423" s="6" t="s">
        <v>168</v>
      </c>
      <c r="B423" s="7" t="s">
        <v>648</v>
      </c>
      <c r="C423" s="5" t="s">
        <v>1894</v>
      </c>
      <c r="E423" s="9" t="s">
        <v>1910</v>
      </c>
      <c r="J423" s="5" t="s">
        <v>1113</v>
      </c>
    </row>
    <row r="424" spans="1:10" x14ac:dyDescent="0.45">
      <c r="A424" s="6" t="s">
        <v>167</v>
      </c>
      <c r="B424" s="7" t="s">
        <v>648</v>
      </c>
      <c r="C424" s="5" t="s">
        <v>1893</v>
      </c>
      <c r="E424" s="9" t="s">
        <v>1892</v>
      </c>
    </row>
    <row r="425" spans="1:10" ht="28.5" x14ac:dyDescent="0.45">
      <c r="A425" s="6" t="s">
        <v>166</v>
      </c>
      <c r="B425" s="7" t="s">
        <v>648</v>
      </c>
      <c r="C425" s="5" t="s">
        <v>894</v>
      </c>
      <c r="E425" s="9" t="s">
        <v>1909</v>
      </c>
      <c r="J425" s="5" t="s">
        <v>1113</v>
      </c>
    </row>
    <row r="426" spans="1:10" x14ac:dyDescent="0.45">
      <c r="A426" s="6" t="s">
        <v>165</v>
      </c>
      <c r="B426" s="7" t="s">
        <v>1885</v>
      </c>
      <c r="C426" s="5" t="s">
        <v>1883</v>
      </c>
      <c r="D426" s="8">
        <v>2</v>
      </c>
      <c r="E426" s="9" t="s">
        <v>1908</v>
      </c>
      <c r="J426" s="5" t="s">
        <v>1114</v>
      </c>
    </row>
    <row r="427" spans="1:10" x14ac:dyDescent="0.45">
      <c r="A427" s="6" t="s">
        <v>164</v>
      </c>
      <c r="B427" s="7" t="s">
        <v>647</v>
      </c>
      <c r="C427" s="5" t="s">
        <v>1882</v>
      </c>
      <c r="E427" s="9" t="s">
        <v>1907</v>
      </c>
      <c r="J427" s="5" t="s">
        <v>1113</v>
      </c>
    </row>
    <row r="428" spans="1:10" x14ac:dyDescent="0.45">
      <c r="A428" s="6" t="s">
        <v>163</v>
      </c>
      <c r="B428" s="7" t="s">
        <v>646</v>
      </c>
      <c r="C428" s="5" t="s">
        <v>1881</v>
      </c>
      <c r="E428" s="9" t="s">
        <v>1880</v>
      </c>
    </row>
    <row r="429" spans="1:10" x14ac:dyDescent="0.45">
      <c r="A429" s="15" t="s">
        <v>162</v>
      </c>
      <c r="B429" s="16" t="s">
        <v>1884</v>
      </c>
      <c r="C429" s="17" t="s">
        <v>1878</v>
      </c>
      <c r="D429" s="18"/>
      <c r="E429" s="19" t="s">
        <v>1906</v>
      </c>
      <c r="J429" s="5" t="s">
        <v>1114</v>
      </c>
    </row>
    <row r="430" spans="1:10" ht="28.5" x14ac:dyDescent="0.45">
      <c r="A430" s="6" t="s">
        <v>1876</v>
      </c>
      <c r="B430" s="7" t="s">
        <v>645</v>
      </c>
      <c r="C430" s="5" t="s">
        <v>1879</v>
      </c>
      <c r="E430" s="9" t="s">
        <v>1905</v>
      </c>
    </row>
    <row r="431" spans="1:10" ht="28.5" x14ac:dyDescent="0.45">
      <c r="A431" s="6" t="s">
        <v>1877</v>
      </c>
      <c r="B431" s="7" t="s">
        <v>645</v>
      </c>
      <c r="C431" s="5" t="s">
        <v>1879</v>
      </c>
      <c r="D431" s="8">
        <v>2</v>
      </c>
      <c r="E431" s="9" t="s">
        <v>1904</v>
      </c>
      <c r="J431" s="5" t="s">
        <v>1119</v>
      </c>
    </row>
    <row r="432" spans="1:10" ht="28.5" x14ac:dyDescent="0.45">
      <c r="A432" s="6" t="s">
        <v>161</v>
      </c>
      <c r="B432" s="7" t="s">
        <v>644</v>
      </c>
      <c r="C432" s="5" t="s">
        <v>1185</v>
      </c>
      <c r="E432" s="9" t="s">
        <v>1903</v>
      </c>
      <c r="J432" s="5" t="s">
        <v>1119</v>
      </c>
    </row>
    <row r="433" spans="1:10" x14ac:dyDescent="0.45">
      <c r="A433" s="6" t="s">
        <v>1866</v>
      </c>
      <c r="B433" s="7" t="s">
        <v>2681</v>
      </c>
      <c r="C433" s="5" t="s">
        <v>1862</v>
      </c>
      <c r="E433" s="9" t="s">
        <v>1871</v>
      </c>
    </row>
    <row r="434" spans="1:10" x14ac:dyDescent="0.45">
      <c r="A434" s="6" t="s">
        <v>1865</v>
      </c>
      <c r="B434" s="7" t="s">
        <v>2681</v>
      </c>
      <c r="C434" s="5" t="s">
        <v>1862</v>
      </c>
      <c r="E434" s="9" t="s">
        <v>1874</v>
      </c>
    </row>
    <row r="435" spans="1:10" x14ac:dyDescent="0.45">
      <c r="A435" s="6" t="s">
        <v>1864</v>
      </c>
      <c r="B435" s="7" t="s">
        <v>2681</v>
      </c>
      <c r="C435" s="5" t="s">
        <v>1862</v>
      </c>
      <c r="D435" s="8">
        <v>2</v>
      </c>
      <c r="E435" s="9" t="s">
        <v>1873</v>
      </c>
    </row>
    <row r="436" spans="1:10" x14ac:dyDescent="0.45">
      <c r="A436" s="6" t="s">
        <v>1863</v>
      </c>
      <c r="B436" s="7" t="s">
        <v>2681</v>
      </c>
      <c r="C436" s="5" t="s">
        <v>1862</v>
      </c>
      <c r="E436" s="9" t="s">
        <v>1872</v>
      </c>
    </row>
    <row r="437" spans="1:10" ht="28.5" x14ac:dyDescent="0.45">
      <c r="A437" s="6" t="s">
        <v>160</v>
      </c>
      <c r="B437" s="7" t="s">
        <v>643</v>
      </c>
      <c r="C437" s="5" t="s">
        <v>1861</v>
      </c>
      <c r="D437" s="8">
        <v>2</v>
      </c>
      <c r="E437" s="9" t="s">
        <v>1870</v>
      </c>
      <c r="J437" s="5" t="s">
        <v>1113</v>
      </c>
    </row>
    <row r="438" spans="1:10" x14ac:dyDescent="0.45">
      <c r="A438" s="6" t="s">
        <v>159</v>
      </c>
      <c r="B438" s="7" t="s">
        <v>2680</v>
      </c>
      <c r="C438" s="5" t="s">
        <v>1860</v>
      </c>
      <c r="E438" s="9" t="s">
        <v>1867</v>
      </c>
    </row>
    <row r="439" spans="1:10" x14ac:dyDescent="0.45">
      <c r="A439" s="6" t="s">
        <v>1859</v>
      </c>
      <c r="B439" s="7" t="s">
        <v>2680</v>
      </c>
      <c r="C439" s="5" t="s">
        <v>1856</v>
      </c>
      <c r="E439" s="9" t="s">
        <v>1869</v>
      </c>
    </row>
    <row r="440" spans="1:10" x14ac:dyDescent="0.45">
      <c r="A440" s="6" t="s">
        <v>1858</v>
      </c>
      <c r="B440" s="7" t="s">
        <v>2680</v>
      </c>
      <c r="C440" s="5" t="s">
        <v>1856</v>
      </c>
      <c r="E440" s="9" t="s">
        <v>1868</v>
      </c>
      <c r="J440" s="5" t="s">
        <v>1113</v>
      </c>
    </row>
    <row r="441" spans="1:10" x14ac:dyDescent="0.45">
      <c r="A441" s="10" t="s">
        <v>158</v>
      </c>
      <c r="B441" s="11" t="s">
        <v>642</v>
      </c>
      <c r="C441" s="12" t="s">
        <v>1855</v>
      </c>
      <c r="D441" s="13"/>
      <c r="E441" s="14" t="s">
        <v>1857</v>
      </c>
      <c r="F441" s="12"/>
      <c r="G441" s="12"/>
      <c r="H441" s="12"/>
      <c r="I441" s="12"/>
      <c r="J441" s="12" t="s">
        <v>1111</v>
      </c>
    </row>
    <row r="442" spans="1:10" x14ac:dyDescent="0.45">
      <c r="A442" s="6" t="s">
        <v>1853</v>
      </c>
      <c r="B442" s="7" t="s">
        <v>642</v>
      </c>
      <c r="C442" s="5" t="s">
        <v>1849</v>
      </c>
      <c r="E442" s="9" t="s">
        <v>1854</v>
      </c>
    </row>
    <row r="443" spans="1:10" x14ac:dyDescent="0.45">
      <c r="A443" s="6" t="s">
        <v>1851</v>
      </c>
      <c r="B443" s="7" t="s">
        <v>642</v>
      </c>
      <c r="C443" s="5" t="s">
        <v>1849</v>
      </c>
      <c r="E443" s="9" t="s">
        <v>1852</v>
      </c>
    </row>
    <row r="444" spans="1:10" x14ac:dyDescent="0.45">
      <c r="A444" s="6" t="s">
        <v>1850</v>
      </c>
      <c r="B444" s="7" t="s">
        <v>642</v>
      </c>
      <c r="C444" s="5" t="s">
        <v>1849</v>
      </c>
      <c r="D444" s="8">
        <v>2</v>
      </c>
      <c r="E444" s="9" t="s">
        <v>1848</v>
      </c>
      <c r="J444" s="5" t="s">
        <v>1113</v>
      </c>
    </row>
    <row r="445" spans="1:10" x14ac:dyDescent="0.45">
      <c r="A445" s="6" t="s">
        <v>157</v>
      </c>
      <c r="B445" s="7" t="s">
        <v>642</v>
      </c>
      <c r="C445" s="5" t="s">
        <v>905</v>
      </c>
      <c r="E445" s="9" t="s">
        <v>1847</v>
      </c>
    </row>
    <row r="446" spans="1:10" x14ac:dyDescent="0.45">
      <c r="A446" s="6" t="s">
        <v>156</v>
      </c>
      <c r="B446" s="7" t="s">
        <v>641</v>
      </c>
      <c r="C446" s="5" t="s">
        <v>1837</v>
      </c>
      <c r="E446" s="9" t="s">
        <v>1846</v>
      </c>
      <c r="F446" s="5" t="s">
        <v>978</v>
      </c>
      <c r="G446" s="5" t="s">
        <v>1060</v>
      </c>
    </row>
    <row r="447" spans="1:10" ht="28.5" x14ac:dyDescent="0.45">
      <c r="A447" s="6" t="s">
        <v>1845</v>
      </c>
      <c r="B447" s="7" t="s">
        <v>641</v>
      </c>
      <c r="C447" s="5" t="s">
        <v>1836</v>
      </c>
      <c r="E447" s="9" t="s">
        <v>1844</v>
      </c>
    </row>
    <row r="448" spans="1:10" ht="28.5" x14ac:dyDescent="0.45">
      <c r="A448" s="6" t="s">
        <v>1842</v>
      </c>
      <c r="B448" s="7" t="s">
        <v>641</v>
      </c>
      <c r="C448" s="5" t="s">
        <v>1836</v>
      </c>
      <c r="D448" s="8">
        <v>5</v>
      </c>
      <c r="E448" s="9" t="s">
        <v>1843</v>
      </c>
    </row>
    <row r="449" spans="1:10" ht="28.5" x14ac:dyDescent="0.45">
      <c r="A449" s="6" t="s">
        <v>1840</v>
      </c>
      <c r="B449" s="7" t="s">
        <v>641</v>
      </c>
      <c r="C449" s="5" t="s">
        <v>1836</v>
      </c>
      <c r="E449" s="9" t="s">
        <v>1841</v>
      </c>
    </row>
    <row r="450" spans="1:10" ht="28.5" x14ac:dyDescent="0.45">
      <c r="A450" s="6" t="s">
        <v>1838</v>
      </c>
      <c r="B450" s="7" t="s">
        <v>641</v>
      </c>
      <c r="C450" s="5" t="s">
        <v>1836</v>
      </c>
      <c r="E450" s="9" t="s">
        <v>1839</v>
      </c>
      <c r="F450" s="5" t="s">
        <v>977</v>
      </c>
      <c r="G450" s="5" t="s">
        <v>1059</v>
      </c>
      <c r="J450" s="5" t="s">
        <v>1111</v>
      </c>
    </row>
    <row r="451" spans="1:10" x14ac:dyDescent="0.45">
      <c r="A451" s="6" t="s">
        <v>155</v>
      </c>
      <c r="B451" s="7" t="s">
        <v>641</v>
      </c>
      <c r="C451" s="5" t="s">
        <v>1812</v>
      </c>
      <c r="E451" s="9" t="s">
        <v>1835</v>
      </c>
      <c r="J451" s="5" t="s">
        <v>1113</v>
      </c>
    </row>
    <row r="452" spans="1:10" x14ac:dyDescent="0.45">
      <c r="A452" s="6" t="s">
        <v>154</v>
      </c>
      <c r="B452" s="7" t="s">
        <v>640</v>
      </c>
      <c r="C452" s="5" t="s">
        <v>564</v>
      </c>
    </row>
    <row r="453" spans="1:10" x14ac:dyDescent="0.45">
      <c r="A453" s="6" t="s">
        <v>153</v>
      </c>
      <c r="B453" s="7" t="s">
        <v>639</v>
      </c>
      <c r="C453" s="5" t="s">
        <v>905</v>
      </c>
      <c r="E453" s="9" t="s">
        <v>1834</v>
      </c>
    </row>
    <row r="454" spans="1:10" x14ac:dyDescent="0.45">
      <c r="A454" s="6" t="s">
        <v>1828</v>
      </c>
      <c r="B454" s="7" t="s">
        <v>639</v>
      </c>
      <c r="C454" s="5" t="s">
        <v>1831</v>
      </c>
      <c r="E454" s="9" t="s">
        <v>1833</v>
      </c>
    </row>
    <row r="455" spans="1:10" x14ac:dyDescent="0.45">
      <c r="A455" s="6" t="s">
        <v>1827</v>
      </c>
      <c r="B455" s="7" t="s">
        <v>639</v>
      </c>
      <c r="C455" s="5" t="s">
        <v>1829</v>
      </c>
      <c r="E455" s="9" t="s">
        <v>1832</v>
      </c>
    </row>
    <row r="456" spans="1:10" x14ac:dyDescent="0.45">
      <c r="A456" s="6" t="s">
        <v>1826</v>
      </c>
      <c r="B456" s="7" t="s">
        <v>639</v>
      </c>
      <c r="C456" s="5" t="s">
        <v>1830</v>
      </c>
      <c r="E456" s="9" t="s">
        <v>1058</v>
      </c>
      <c r="F456" s="5" t="s">
        <v>976</v>
      </c>
      <c r="G456" s="5" t="s">
        <v>1058</v>
      </c>
      <c r="H456" s="5" t="s">
        <v>1094</v>
      </c>
    </row>
    <row r="457" spans="1:10" x14ac:dyDescent="0.45">
      <c r="A457" s="6" t="s">
        <v>152</v>
      </c>
      <c r="B457" s="7" t="s">
        <v>638</v>
      </c>
      <c r="C457" s="5" t="s">
        <v>1811</v>
      </c>
      <c r="E457" s="9" t="s">
        <v>1825</v>
      </c>
      <c r="J457" s="5" t="s">
        <v>1113</v>
      </c>
    </row>
    <row r="458" spans="1:10" x14ac:dyDescent="0.45">
      <c r="A458" s="6" t="s">
        <v>151</v>
      </c>
      <c r="B458" s="7" t="s">
        <v>1823</v>
      </c>
      <c r="C458" s="5" t="s">
        <v>1810</v>
      </c>
      <c r="D458" s="8">
        <v>3</v>
      </c>
      <c r="E458" s="9" t="s">
        <v>1824</v>
      </c>
    </row>
    <row r="459" spans="1:10" x14ac:dyDescent="0.45">
      <c r="A459" s="6" t="s">
        <v>150</v>
      </c>
      <c r="B459" s="7" t="s">
        <v>637</v>
      </c>
      <c r="C459" s="5" t="s">
        <v>1809</v>
      </c>
      <c r="E459" s="9" t="s">
        <v>1822</v>
      </c>
      <c r="F459" s="5" t="s">
        <v>975</v>
      </c>
      <c r="G459" s="5" t="s">
        <v>1057</v>
      </c>
    </row>
    <row r="460" spans="1:10" x14ac:dyDescent="0.45">
      <c r="A460" s="6" t="s">
        <v>149</v>
      </c>
      <c r="B460" s="7" t="s">
        <v>636</v>
      </c>
      <c r="C460" s="5" t="s">
        <v>1500</v>
      </c>
      <c r="E460" s="9" t="s">
        <v>1821</v>
      </c>
      <c r="J460" s="5" t="s">
        <v>1113</v>
      </c>
    </row>
    <row r="461" spans="1:10" x14ac:dyDescent="0.45">
      <c r="A461" s="6" t="s">
        <v>148</v>
      </c>
      <c r="B461" s="7" t="s">
        <v>636</v>
      </c>
      <c r="C461" s="5" t="s">
        <v>1819</v>
      </c>
      <c r="E461" s="9" t="s">
        <v>1820</v>
      </c>
      <c r="F461" s="5" t="s">
        <v>974</v>
      </c>
      <c r="G461" s="5" t="s">
        <v>1056</v>
      </c>
      <c r="J461" s="5" t="s">
        <v>1113</v>
      </c>
    </row>
    <row r="462" spans="1:10" x14ac:dyDescent="0.45">
      <c r="A462" s="6" t="s">
        <v>147</v>
      </c>
      <c r="B462" s="7" t="s">
        <v>636</v>
      </c>
      <c r="C462" s="5" t="s">
        <v>1808</v>
      </c>
      <c r="E462" s="9" t="s">
        <v>1818</v>
      </c>
    </row>
    <row r="463" spans="1:10" x14ac:dyDescent="0.45">
      <c r="A463" s="6" t="s">
        <v>1815</v>
      </c>
      <c r="B463" s="7" t="s">
        <v>1813</v>
      </c>
      <c r="C463" s="5" t="s">
        <v>1807</v>
      </c>
      <c r="E463" s="9" t="s">
        <v>1817</v>
      </c>
    </row>
    <row r="464" spans="1:10" x14ac:dyDescent="0.45">
      <c r="A464" s="6" t="s">
        <v>1814</v>
      </c>
      <c r="B464" s="7" t="s">
        <v>1813</v>
      </c>
      <c r="C464" s="5" t="s">
        <v>1807</v>
      </c>
      <c r="E464" s="9" t="s">
        <v>1816</v>
      </c>
      <c r="J464" s="5" t="s">
        <v>1113</v>
      </c>
    </row>
    <row r="465" spans="1:10" x14ac:dyDescent="0.45">
      <c r="A465" s="6" t="s">
        <v>146</v>
      </c>
      <c r="B465" s="7" t="s">
        <v>635</v>
      </c>
      <c r="C465" s="5" t="s">
        <v>1806</v>
      </c>
      <c r="E465" s="9" t="s">
        <v>1805</v>
      </c>
      <c r="J465" s="5" t="s">
        <v>1113</v>
      </c>
    </row>
    <row r="466" spans="1:10" x14ac:dyDescent="0.45">
      <c r="A466" s="6" t="s">
        <v>145</v>
      </c>
      <c r="B466" s="7" t="s">
        <v>635</v>
      </c>
      <c r="C466" s="5" t="s">
        <v>1803</v>
      </c>
      <c r="E466" s="9" t="s">
        <v>1804</v>
      </c>
      <c r="H466" s="5" t="s">
        <v>1093</v>
      </c>
    </row>
    <row r="467" spans="1:10" x14ac:dyDescent="0.45">
      <c r="A467" s="6" t="s">
        <v>144</v>
      </c>
      <c r="B467" s="7" t="s">
        <v>634</v>
      </c>
      <c r="C467" s="5" t="s">
        <v>1801</v>
      </c>
      <c r="E467" s="9" t="s">
        <v>1802</v>
      </c>
      <c r="F467" s="5" t="s">
        <v>973</v>
      </c>
      <c r="G467" s="5" t="s">
        <v>1055</v>
      </c>
    </row>
    <row r="468" spans="1:10" x14ac:dyDescent="0.45">
      <c r="A468" s="6" t="s">
        <v>143</v>
      </c>
      <c r="B468" s="7" t="s">
        <v>633</v>
      </c>
      <c r="C468" s="5" t="s">
        <v>563</v>
      </c>
    </row>
    <row r="469" spans="1:10" x14ac:dyDescent="0.45">
      <c r="A469" s="6" t="s">
        <v>142</v>
      </c>
      <c r="B469" s="7" t="s">
        <v>633</v>
      </c>
      <c r="C469" s="5" t="s">
        <v>1800</v>
      </c>
      <c r="E469" s="9" t="s">
        <v>1799</v>
      </c>
    </row>
    <row r="470" spans="1:10" x14ac:dyDescent="0.45">
      <c r="A470" s="6" t="s">
        <v>141</v>
      </c>
      <c r="B470" s="7" t="s">
        <v>2679</v>
      </c>
      <c r="C470" s="5" t="s">
        <v>1798</v>
      </c>
      <c r="E470" s="9" t="s">
        <v>1797</v>
      </c>
      <c r="J470" s="5" t="s">
        <v>1114</v>
      </c>
    </row>
    <row r="471" spans="1:10" x14ac:dyDescent="0.45">
      <c r="A471" s="6" t="s">
        <v>140</v>
      </c>
      <c r="B471" s="7" t="s">
        <v>2678</v>
      </c>
      <c r="C471" s="5" t="s">
        <v>1795</v>
      </c>
      <c r="E471" s="9" t="s">
        <v>1796</v>
      </c>
      <c r="F471" s="5" t="s">
        <v>972</v>
      </c>
      <c r="G471" s="5" t="s">
        <v>1054</v>
      </c>
    </row>
    <row r="472" spans="1:10" x14ac:dyDescent="0.45">
      <c r="A472" s="6" t="s">
        <v>139</v>
      </c>
      <c r="B472" s="7" t="s">
        <v>632</v>
      </c>
      <c r="C472" s="5" t="s">
        <v>1793</v>
      </c>
      <c r="E472" s="9" t="s">
        <v>1794</v>
      </c>
      <c r="J472" s="5" t="s">
        <v>1113</v>
      </c>
    </row>
    <row r="473" spans="1:10" x14ac:dyDescent="0.45">
      <c r="A473" s="6" t="s">
        <v>138</v>
      </c>
      <c r="B473" s="7" t="s">
        <v>632</v>
      </c>
      <c r="C473" s="5" t="s">
        <v>1183</v>
      </c>
      <c r="E473" s="9" t="s">
        <v>1792</v>
      </c>
      <c r="F473" s="5" t="s">
        <v>971</v>
      </c>
      <c r="G473" s="5" t="s">
        <v>1053</v>
      </c>
      <c r="J473" s="5" t="s">
        <v>1113</v>
      </c>
    </row>
    <row r="474" spans="1:10" x14ac:dyDescent="0.45">
      <c r="A474" s="6" t="s">
        <v>137</v>
      </c>
      <c r="B474" s="7" t="s">
        <v>632</v>
      </c>
      <c r="C474" s="5" t="s">
        <v>1790</v>
      </c>
      <c r="E474" s="9" t="s">
        <v>1791</v>
      </c>
      <c r="J474" s="5" t="s">
        <v>1113</v>
      </c>
    </row>
    <row r="475" spans="1:10" x14ac:dyDescent="0.45">
      <c r="A475" s="6" t="s">
        <v>136</v>
      </c>
      <c r="B475" s="7" t="s">
        <v>632</v>
      </c>
      <c r="C475" s="5" t="s">
        <v>1366</v>
      </c>
      <c r="E475" s="9" t="s">
        <v>1789</v>
      </c>
      <c r="F475" s="5" t="s">
        <v>970</v>
      </c>
      <c r="G475" s="5" t="s">
        <v>1052</v>
      </c>
    </row>
    <row r="476" spans="1:10" x14ac:dyDescent="0.45">
      <c r="A476" s="6" t="s">
        <v>135</v>
      </c>
      <c r="B476" s="7" t="s">
        <v>1782</v>
      </c>
      <c r="C476" s="5" t="s">
        <v>1787</v>
      </c>
      <c r="E476" s="9" t="s">
        <v>1788</v>
      </c>
      <c r="F476" s="5" t="s">
        <v>969</v>
      </c>
      <c r="G476" s="5" t="s">
        <v>1051</v>
      </c>
      <c r="J476" s="5" t="s">
        <v>1113</v>
      </c>
    </row>
    <row r="477" spans="1:10" x14ac:dyDescent="0.45">
      <c r="A477" s="6" t="s">
        <v>134</v>
      </c>
      <c r="B477" s="7" t="s">
        <v>1782</v>
      </c>
      <c r="C477" s="5" t="s">
        <v>1785</v>
      </c>
      <c r="E477" s="9" t="s">
        <v>1786</v>
      </c>
      <c r="F477" s="5" t="s">
        <v>968</v>
      </c>
      <c r="G477" s="5" t="s">
        <v>1050</v>
      </c>
      <c r="J477" s="5" t="s">
        <v>1113</v>
      </c>
    </row>
    <row r="478" spans="1:10" x14ac:dyDescent="0.45">
      <c r="A478" s="6" t="s">
        <v>133</v>
      </c>
      <c r="B478" s="7" t="s">
        <v>1782</v>
      </c>
      <c r="C478" s="5" t="s">
        <v>1783</v>
      </c>
      <c r="E478" s="9" t="s">
        <v>1784</v>
      </c>
    </row>
    <row r="479" spans="1:10" x14ac:dyDescent="0.45">
      <c r="A479" s="6" t="s">
        <v>132</v>
      </c>
      <c r="B479" s="7" t="s">
        <v>1781</v>
      </c>
      <c r="C479" s="5" t="s">
        <v>1778</v>
      </c>
      <c r="E479" s="9" t="s">
        <v>1777</v>
      </c>
    </row>
    <row r="480" spans="1:10" x14ac:dyDescent="0.45">
      <c r="A480" s="6" t="s">
        <v>131</v>
      </c>
      <c r="B480" s="7" t="s">
        <v>1780</v>
      </c>
      <c r="C480" s="5" t="s">
        <v>1774</v>
      </c>
      <c r="D480" s="8">
        <v>3</v>
      </c>
      <c r="E480" s="9" t="s">
        <v>1776</v>
      </c>
    </row>
    <row r="481" spans="1:10" x14ac:dyDescent="0.45">
      <c r="A481" s="6" t="s">
        <v>130</v>
      </c>
      <c r="B481" s="7" t="s">
        <v>1780</v>
      </c>
      <c r="C481" s="5" t="s">
        <v>1774</v>
      </c>
      <c r="E481" s="9" t="s">
        <v>1775</v>
      </c>
      <c r="J481" s="5" t="s">
        <v>1111</v>
      </c>
    </row>
    <row r="482" spans="1:10" x14ac:dyDescent="0.45">
      <c r="A482" s="6" t="s">
        <v>129</v>
      </c>
      <c r="B482" s="7" t="s">
        <v>1780</v>
      </c>
      <c r="C482" s="5" t="s">
        <v>1772</v>
      </c>
      <c r="E482" s="9" t="s">
        <v>1773</v>
      </c>
      <c r="J482" s="5" t="s">
        <v>1118</v>
      </c>
    </row>
    <row r="483" spans="1:10" x14ac:dyDescent="0.45">
      <c r="A483" s="6" t="s">
        <v>128</v>
      </c>
      <c r="B483" s="7" t="s">
        <v>1780</v>
      </c>
      <c r="C483" s="5" t="s">
        <v>1770</v>
      </c>
      <c r="D483" s="8">
        <v>2</v>
      </c>
      <c r="E483" s="9" t="s">
        <v>1771</v>
      </c>
    </row>
    <row r="484" spans="1:10" ht="28.5" x14ac:dyDescent="0.45">
      <c r="A484" s="6" t="s">
        <v>127</v>
      </c>
      <c r="B484" s="7" t="s">
        <v>1780</v>
      </c>
      <c r="C484" s="5" t="s">
        <v>1770</v>
      </c>
      <c r="E484" s="9" t="s">
        <v>1769</v>
      </c>
      <c r="J484" s="5" t="s">
        <v>1113</v>
      </c>
    </row>
    <row r="485" spans="1:10" x14ac:dyDescent="0.45">
      <c r="A485" s="6" t="s">
        <v>126</v>
      </c>
      <c r="B485" s="7" t="s">
        <v>1780</v>
      </c>
      <c r="C485" s="5" t="s">
        <v>1768</v>
      </c>
      <c r="E485" s="9" t="s">
        <v>1767</v>
      </c>
      <c r="J485" s="5" t="s">
        <v>1113</v>
      </c>
    </row>
    <row r="486" spans="1:10" x14ac:dyDescent="0.45">
      <c r="A486" s="6" t="s">
        <v>1763</v>
      </c>
      <c r="B486" s="7" t="s">
        <v>1779</v>
      </c>
      <c r="C486" s="5" t="s">
        <v>1760</v>
      </c>
      <c r="E486" s="9" t="s">
        <v>1764</v>
      </c>
    </row>
    <row r="487" spans="1:10" x14ac:dyDescent="0.45">
      <c r="A487" s="6" t="s">
        <v>1762</v>
      </c>
      <c r="B487" s="7" t="s">
        <v>1779</v>
      </c>
      <c r="C487" s="5" t="s">
        <v>1760</v>
      </c>
      <c r="E487" s="9" t="s">
        <v>1765</v>
      </c>
    </row>
    <row r="488" spans="1:10" x14ac:dyDescent="0.45">
      <c r="A488" s="6" t="s">
        <v>1761</v>
      </c>
      <c r="B488" s="7" t="s">
        <v>1779</v>
      </c>
      <c r="C488" s="5" t="s">
        <v>1760</v>
      </c>
      <c r="E488" s="9" t="s">
        <v>1766</v>
      </c>
      <c r="F488" s="5" t="s">
        <v>967</v>
      </c>
      <c r="G488" s="5" t="s">
        <v>1049</v>
      </c>
    </row>
    <row r="489" spans="1:10" x14ac:dyDescent="0.45">
      <c r="A489" s="6" t="s">
        <v>125</v>
      </c>
      <c r="B489" s="7" t="s">
        <v>631</v>
      </c>
      <c r="C489" s="5" t="s">
        <v>1759</v>
      </c>
      <c r="E489" s="9" t="s">
        <v>1758</v>
      </c>
    </row>
    <row r="490" spans="1:10" x14ac:dyDescent="0.45">
      <c r="A490" s="6" t="s">
        <v>124</v>
      </c>
      <c r="B490" s="7" t="s">
        <v>631</v>
      </c>
      <c r="C490" s="5" t="s">
        <v>1757</v>
      </c>
      <c r="E490" s="9" t="s">
        <v>1756</v>
      </c>
    </row>
    <row r="491" spans="1:10" x14ac:dyDescent="0.45">
      <c r="A491" s="6" t="s">
        <v>123</v>
      </c>
      <c r="B491" s="7" t="s">
        <v>1739</v>
      </c>
      <c r="C491" s="5" t="s">
        <v>1755</v>
      </c>
      <c r="E491" s="9" t="s">
        <v>1754</v>
      </c>
      <c r="J491" s="5" t="s">
        <v>1113</v>
      </c>
    </row>
    <row r="492" spans="1:10" x14ac:dyDescent="0.45">
      <c r="A492" s="6" t="s">
        <v>122</v>
      </c>
      <c r="B492" s="7" t="s">
        <v>1739</v>
      </c>
      <c r="C492" s="5" t="s">
        <v>1753</v>
      </c>
      <c r="E492" s="9" t="s">
        <v>1752</v>
      </c>
      <c r="J492" s="5" t="s">
        <v>1111</v>
      </c>
    </row>
    <row r="493" spans="1:10" x14ac:dyDescent="0.45">
      <c r="A493" s="6" t="s">
        <v>121</v>
      </c>
      <c r="B493" s="7" t="s">
        <v>630</v>
      </c>
      <c r="C493" s="5" t="s">
        <v>1751</v>
      </c>
      <c r="E493" s="9" t="s">
        <v>1750</v>
      </c>
      <c r="J493" s="5" t="s">
        <v>1113</v>
      </c>
    </row>
    <row r="494" spans="1:10" x14ac:dyDescent="0.45">
      <c r="A494" s="6" t="s">
        <v>1748</v>
      </c>
      <c r="B494" s="7" t="s">
        <v>630</v>
      </c>
      <c r="C494" s="5" t="s">
        <v>1740</v>
      </c>
      <c r="E494" s="9" t="s">
        <v>1749</v>
      </c>
    </row>
    <row r="495" spans="1:10" x14ac:dyDescent="0.45">
      <c r="A495" s="6" t="s">
        <v>1744</v>
      </c>
      <c r="B495" s="7" t="s">
        <v>630</v>
      </c>
      <c r="C495" s="5" t="s">
        <v>1740</v>
      </c>
      <c r="E495" s="9" t="s">
        <v>1745</v>
      </c>
    </row>
    <row r="496" spans="1:10" x14ac:dyDescent="0.45">
      <c r="A496" s="6" t="s">
        <v>1743</v>
      </c>
      <c r="B496" s="7" t="s">
        <v>630</v>
      </c>
      <c r="C496" s="5" t="s">
        <v>1740</v>
      </c>
      <c r="E496" s="9" t="s">
        <v>1746</v>
      </c>
    </row>
    <row r="497" spans="1:7" x14ac:dyDescent="0.45">
      <c r="A497" s="6" t="s">
        <v>1742</v>
      </c>
      <c r="B497" s="7" t="s">
        <v>630</v>
      </c>
      <c r="C497" s="5" t="s">
        <v>1740</v>
      </c>
      <c r="D497" s="8">
        <v>2</v>
      </c>
      <c r="E497" s="9" t="s">
        <v>1747</v>
      </c>
    </row>
    <row r="498" spans="1:7" x14ac:dyDescent="0.45">
      <c r="A498" s="6" t="s">
        <v>120</v>
      </c>
      <c r="B498" s="7" t="s">
        <v>629</v>
      </c>
      <c r="C498" s="5" t="s">
        <v>1738</v>
      </c>
      <c r="E498" s="9" t="s">
        <v>1737</v>
      </c>
    </row>
    <row r="499" spans="1:7" x14ac:dyDescent="0.45">
      <c r="A499" s="6" t="s">
        <v>1736</v>
      </c>
      <c r="B499" s="7" t="s">
        <v>629</v>
      </c>
      <c r="C499" s="5" t="s">
        <v>1730</v>
      </c>
      <c r="E499" s="9" t="s">
        <v>1732</v>
      </c>
    </row>
    <row r="500" spans="1:7" x14ac:dyDescent="0.45">
      <c r="A500" s="6" t="s">
        <v>1735</v>
      </c>
      <c r="B500" s="7" t="s">
        <v>629</v>
      </c>
      <c r="C500" s="5" t="s">
        <v>1730</v>
      </c>
      <c r="E500" s="9" t="s">
        <v>1731</v>
      </c>
    </row>
    <row r="501" spans="1:7" x14ac:dyDescent="0.45">
      <c r="A501" s="6" t="s">
        <v>1734</v>
      </c>
      <c r="B501" s="7" t="s">
        <v>629</v>
      </c>
      <c r="C501" s="5" t="s">
        <v>1730</v>
      </c>
      <c r="E501" s="9" t="s">
        <v>1733</v>
      </c>
    </row>
    <row r="502" spans="1:7" x14ac:dyDescent="0.45">
      <c r="A502" s="6" t="s">
        <v>1729</v>
      </c>
      <c r="B502" s="7" t="s">
        <v>629</v>
      </c>
      <c r="C502" s="5" t="s">
        <v>1720</v>
      </c>
      <c r="E502" s="9" t="s">
        <v>1725</v>
      </c>
    </row>
    <row r="503" spans="1:7" x14ac:dyDescent="0.45">
      <c r="A503" s="6" t="s">
        <v>1728</v>
      </c>
      <c r="B503" s="7" t="s">
        <v>629</v>
      </c>
      <c r="C503" s="5" t="s">
        <v>1720</v>
      </c>
      <c r="E503" s="9" t="s">
        <v>1724</v>
      </c>
    </row>
    <row r="504" spans="1:7" x14ac:dyDescent="0.45">
      <c r="A504" s="6" t="s">
        <v>1727</v>
      </c>
      <c r="B504" s="7" t="s">
        <v>629</v>
      </c>
      <c r="C504" s="5" t="s">
        <v>1720</v>
      </c>
      <c r="D504" s="8">
        <v>2</v>
      </c>
      <c r="E504" s="9" t="s">
        <v>1723</v>
      </c>
    </row>
    <row r="505" spans="1:7" x14ac:dyDescent="0.45">
      <c r="A505" s="6" t="s">
        <v>1726</v>
      </c>
      <c r="B505" s="7" t="s">
        <v>629</v>
      </c>
      <c r="C505" s="5" t="s">
        <v>1720</v>
      </c>
      <c r="D505" s="8">
        <v>10</v>
      </c>
      <c r="E505" s="9" t="s">
        <v>1722</v>
      </c>
    </row>
    <row r="506" spans="1:7" x14ac:dyDescent="0.45">
      <c r="A506" s="6" t="s">
        <v>119</v>
      </c>
      <c r="B506" s="7" t="s">
        <v>1721</v>
      </c>
      <c r="C506" s="5" t="s">
        <v>1719</v>
      </c>
      <c r="E506" s="9" t="s">
        <v>1718</v>
      </c>
    </row>
    <row r="507" spans="1:7" x14ac:dyDescent="0.45">
      <c r="A507" s="6" t="s">
        <v>118</v>
      </c>
      <c r="B507" s="7" t="s">
        <v>1721</v>
      </c>
      <c r="C507" s="5" t="s">
        <v>1717</v>
      </c>
      <c r="E507" s="9" t="s">
        <v>1716</v>
      </c>
    </row>
    <row r="508" spans="1:7" x14ac:dyDescent="0.45">
      <c r="A508" s="6" t="s">
        <v>117</v>
      </c>
      <c r="B508" s="7" t="s">
        <v>628</v>
      </c>
      <c r="C508" s="5" t="s">
        <v>1714</v>
      </c>
      <c r="E508" s="9" t="s">
        <v>1715</v>
      </c>
      <c r="F508" s="5" t="s">
        <v>966</v>
      </c>
      <c r="G508" s="5" t="s">
        <v>1048</v>
      </c>
    </row>
    <row r="509" spans="1:7" x14ac:dyDescent="0.45">
      <c r="A509" s="6" t="s">
        <v>1711</v>
      </c>
      <c r="B509" s="7" t="s">
        <v>628</v>
      </c>
      <c r="C509" s="5" t="s">
        <v>1703</v>
      </c>
      <c r="E509" s="9" t="s">
        <v>1712</v>
      </c>
    </row>
    <row r="510" spans="1:7" x14ac:dyDescent="0.45">
      <c r="A510" s="6" t="s">
        <v>1709</v>
      </c>
      <c r="B510" s="7" t="s">
        <v>628</v>
      </c>
      <c r="C510" s="5" t="s">
        <v>1703</v>
      </c>
      <c r="E510" s="9" t="s">
        <v>1713</v>
      </c>
    </row>
    <row r="511" spans="1:7" x14ac:dyDescent="0.45">
      <c r="A511" s="6" t="s">
        <v>1708</v>
      </c>
      <c r="B511" s="7" t="s">
        <v>628</v>
      </c>
      <c r="C511" s="5" t="s">
        <v>1703</v>
      </c>
      <c r="E511" s="9" t="s">
        <v>1710</v>
      </c>
    </row>
    <row r="512" spans="1:7" x14ac:dyDescent="0.45">
      <c r="A512" s="6" t="s">
        <v>1707</v>
      </c>
      <c r="B512" s="7" t="s">
        <v>628</v>
      </c>
      <c r="C512" s="5" t="s">
        <v>1703</v>
      </c>
      <c r="D512" s="8">
        <v>2</v>
      </c>
      <c r="E512" s="9" t="s">
        <v>1706</v>
      </c>
    </row>
    <row r="513" spans="1:7" x14ac:dyDescent="0.45">
      <c r="A513" s="6" t="s">
        <v>1704</v>
      </c>
      <c r="B513" s="7" t="s">
        <v>628</v>
      </c>
      <c r="C513" s="5" t="s">
        <v>1703</v>
      </c>
      <c r="D513" s="8">
        <v>3</v>
      </c>
      <c r="E513" s="9" t="s">
        <v>1705</v>
      </c>
      <c r="F513" s="5" t="s">
        <v>965</v>
      </c>
      <c r="G513" s="5" t="s">
        <v>1047</v>
      </c>
    </row>
    <row r="514" spans="1:7" x14ac:dyDescent="0.45">
      <c r="A514" s="6" t="s">
        <v>1700</v>
      </c>
      <c r="B514" s="7" t="s">
        <v>628</v>
      </c>
      <c r="C514" s="5" t="s">
        <v>1698</v>
      </c>
      <c r="D514" s="8">
        <v>2</v>
      </c>
      <c r="E514" s="9" t="s">
        <v>1702</v>
      </c>
    </row>
    <row r="515" spans="1:7" x14ac:dyDescent="0.45">
      <c r="A515" s="6" t="s">
        <v>1699</v>
      </c>
      <c r="B515" s="7" t="s">
        <v>628</v>
      </c>
      <c r="C515" s="5" t="s">
        <v>1698</v>
      </c>
      <c r="E515" s="9" t="s">
        <v>1701</v>
      </c>
    </row>
    <row r="516" spans="1:7" x14ac:dyDescent="0.45">
      <c r="A516" s="6" t="s">
        <v>116</v>
      </c>
      <c r="B516" s="7" t="s">
        <v>627</v>
      </c>
      <c r="C516" s="5" t="s">
        <v>1696</v>
      </c>
      <c r="E516" s="9" t="s">
        <v>1697</v>
      </c>
    </row>
    <row r="517" spans="1:7" x14ac:dyDescent="0.45">
      <c r="A517" s="6" t="s">
        <v>115</v>
      </c>
      <c r="B517" s="7" t="s">
        <v>626</v>
      </c>
      <c r="C517" s="5" t="s">
        <v>1694</v>
      </c>
      <c r="E517" s="9" t="s">
        <v>1695</v>
      </c>
    </row>
    <row r="518" spans="1:7" x14ac:dyDescent="0.45">
      <c r="A518" s="6" t="s">
        <v>114</v>
      </c>
      <c r="B518" s="7" t="s">
        <v>1683</v>
      </c>
      <c r="C518" s="5" t="s">
        <v>563</v>
      </c>
      <c r="E518" s="9" t="s">
        <v>1138</v>
      </c>
    </row>
    <row r="519" spans="1:7" x14ac:dyDescent="0.45">
      <c r="A519" s="6" t="s">
        <v>113</v>
      </c>
      <c r="B519" s="7" t="s">
        <v>1683</v>
      </c>
      <c r="C519" s="5" t="s">
        <v>1693</v>
      </c>
      <c r="E519" s="9" t="s">
        <v>1692</v>
      </c>
    </row>
    <row r="520" spans="1:7" x14ac:dyDescent="0.45">
      <c r="A520" s="6" t="s">
        <v>112</v>
      </c>
      <c r="B520" s="7" t="s">
        <v>1683</v>
      </c>
      <c r="C520" s="5" t="s">
        <v>886</v>
      </c>
      <c r="E520" s="9" t="s">
        <v>562</v>
      </c>
    </row>
    <row r="521" spans="1:7" x14ac:dyDescent="0.45">
      <c r="A521" s="6" t="s">
        <v>1691</v>
      </c>
      <c r="B521" s="7" t="s">
        <v>1668</v>
      </c>
      <c r="C521" s="5" t="s">
        <v>1623</v>
      </c>
      <c r="E521" s="9" t="s">
        <v>1688</v>
      </c>
    </row>
    <row r="522" spans="1:7" x14ac:dyDescent="0.45">
      <c r="A522" s="6" t="s">
        <v>1690</v>
      </c>
      <c r="B522" s="7" t="s">
        <v>1668</v>
      </c>
      <c r="C522" s="5" t="s">
        <v>1623</v>
      </c>
      <c r="E522" s="9" t="s">
        <v>1687</v>
      </c>
    </row>
    <row r="523" spans="1:7" x14ac:dyDescent="0.45">
      <c r="A523" s="6" t="s">
        <v>1689</v>
      </c>
      <c r="B523" s="7" t="s">
        <v>1668</v>
      </c>
      <c r="C523" s="5" t="s">
        <v>1623</v>
      </c>
      <c r="E523" s="9" t="s">
        <v>1686</v>
      </c>
    </row>
    <row r="524" spans="1:7" x14ac:dyDescent="0.45">
      <c r="A524" s="6" t="s">
        <v>1684</v>
      </c>
      <c r="B524" s="7" t="s">
        <v>1668</v>
      </c>
      <c r="C524" s="5" t="s">
        <v>1623</v>
      </c>
      <c r="E524" s="9" t="s">
        <v>1685</v>
      </c>
      <c r="F524" s="5" t="s">
        <v>964</v>
      </c>
      <c r="G524" s="5" t="s">
        <v>1046</v>
      </c>
    </row>
    <row r="525" spans="1:7" x14ac:dyDescent="0.45">
      <c r="A525" s="6" t="s">
        <v>111</v>
      </c>
      <c r="B525" s="7" t="s">
        <v>1668</v>
      </c>
      <c r="C525" s="5" t="s">
        <v>886</v>
      </c>
      <c r="E525" s="9" t="s">
        <v>1682</v>
      </c>
    </row>
    <row r="526" spans="1:7" x14ac:dyDescent="0.45">
      <c r="A526" s="6" t="s">
        <v>1681</v>
      </c>
      <c r="B526" s="7" t="s">
        <v>625</v>
      </c>
      <c r="C526" s="5" t="s">
        <v>1677</v>
      </c>
      <c r="E526" s="9" t="s">
        <v>1679</v>
      </c>
    </row>
    <row r="527" spans="1:7" x14ac:dyDescent="0.45">
      <c r="A527" s="6" t="s">
        <v>1680</v>
      </c>
      <c r="B527" s="7" t="s">
        <v>625</v>
      </c>
      <c r="C527" s="5" t="s">
        <v>1677</v>
      </c>
      <c r="E527" s="9" t="s">
        <v>1678</v>
      </c>
    </row>
    <row r="528" spans="1:7" x14ac:dyDescent="0.45">
      <c r="A528" s="6" t="s">
        <v>110</v>
      </c>
      <c r="B528" s="7" t="s">
        <v>624</v>
      </c>
      <c r="C528" s="5" t="s">
        <v>1676</v>
      </c>
    </row>
    <row r="529" spans="1:10" x14ac:dyDescent="0.45">
      <c r="A529" s="6" t="s">
        <v>109</v>
      </c>
      <c r="B529" s="7" t="s">
        <v>1667</v>
      </c>
      <c r="C529" s="5" t="s">
        <v>1674</v>
      </c>
      <c r="D529" s="8">
        <v>2</v>
      </c>
      <c r="E529" s="9" t="s">
        <v>1675</v>
      </c>
      <c r="F529" s="5" t="s">
        <v>963</v>
      </c>
      <c r="G529" s="5" t="s">
        <v>1045</v>
      </c>
      <c r="J529" s="5" t="s">
        <v>1113</v>
      </c>
    </row>
    <row r="530" spans="1:10" x14ac:dyDescent="0.45">
      <c r="A530" s="6" t="s">
        <v>1671</v>
      </c>
      <c r="B530" s="7" t="s">
        <v>623</v>
      </c>
      <c r="C530" s="5" t="s">
        <v>561</v>
      </c>
      <c r="E530" s="9" t="s">
        <v>1673</v>
      </c>
    </row>
    <row r="531" spans="1:10" x14ac:dyDescent="0.45">
      <c r="A531" s="6" t="s">
        <v>1670</v>
      </c>
      <c r="B531" s="7" t="s">
        <v>623</v>
      </c>
      <c r="C531" s="5" t="s">
        <v>561</v>
      </c>
      <c r="E531" s="9" t="s">
        <v>1672</v>
      </c>
    </row>
    <row r="532" spans="1:10" x14ac:dyDescent="0.45">
      <c r="A532" s="6" t="s">
        <v>1669</v>
      </c>
      <c r="B532" s="7" t="s">
        <v>623</v>
      </c>
      <c r="C532" s="5" t="s">
        <v>561</v>
      </c>
      <c r="E532" s="9" t="s">
        <v>1741</v>
      </c>
    </row>
    <row r="533" spans="1:10" x14ac:dyDescent="0.45">
      <c r="A533" s="6" t="s">
        <v>108</v>
      </c>
      <c r="B533" s="7" t="s">
        <v>623</v>
      </c>
      <c r="C533" s="5" t="s">
        <v>1666</v>
      </c>
      <c r="E533" s="9" t="s">
        <v>1665</v>
      </c>
      <c r="F533" s="5" t="s">
        <v>962</v>
      </c>
      <c r="G533" s="5" t="s">
        <v>1044</v>
      </c>
    </row>
    <row r="534" spans="1:10" x14ac:dyDescent="0.45">
      <c r="A534" s="6" t="s">
        <v>107</v>
      </c>
      <c r="B534" s="7" t="s">
        <v>623</v>
      </c>
      <c r="C534" s="5" t="s">
        <v>1663</v>
      </c>
      <c r="E534" s="9" t="s">
        <v>1664</v>
      </c>
    </row>
    <row r="535" spans="1:10" x14ac:dyDescent="0.45">
      <c r="A535" s="6" t="s">
        <v>106</v>
      </c>
      <c r="B535" s="7" t="s">
        <v>622</v>
      </c>
      <c r="C535" s="5" t="s">
        <v>884</v>
      </c>
      <c r="E535" s="9" t="s">
        <v>1662</v>
      </c>
      <c r="F535" s="5" t="s">
        <v>961</v>
      </c>
      <c r="G535" s="5" t="s">
        <v>1043</v>
      </c>
    </row>
    <row r="536" spans="1:10" x14ac:dyDescent="0.45">
      <c r="A536" s="6" t="s">
        <v>105</v>
      </c>
      <c r="B536" s="7" t="s">
        <v>622</v>
      </c>
      <c r="C536" s="5" t="s">
        <v>1660</v>
      </c>
      <c r="E536" s="9" t="s">
        <v>1661</v>
      </c>
      <c r="J536" s="5" t="s">
        <v>1111</v>
      </c>
    </row>
    <row r="537" spans="1:10" x14ac:dyDescent="0.45">
      <c r="A537" s="6" t="s">
        <v>104</v>
      </c>
      <c r="B537" s="7" t="s">
        <v>622</v>
      </c>
      <c r="C537" s="5" t="s">
        <v>902</v>
      </c>
      <c r="E537" s="9" t="s">
        <v>1659</v>
      </c>
      <c r="F537" s="5" t="s">
        <v>960</v>
      </c>
      <c r="G537" s="5" t="s">
        <v>1042</v>
      </c>
    </row>
    <row r="538" spans="1:10" x14ac:dyDescent="0.45">
      <c r="A538" s="6" t="s">
        <v>103</v>
      </c>
      <c r="B538" s="7" t="s">
        <v>622</v>
      </c>
      <c r="C538" s="5" t="s">
        <v>1657</v>
      </c>
      <c r="E538" s="9" t="s">
        <v>1656</v>
      </c>
      <c r="F538" s="5" t="s">
        <v>959</v>
      </c>
      <c r="G538" s="5" t="s">
        <v>1041</v>
      </c>
    </row>
    <row r="539" spans="1:10" x14ac:dyDescent="0.45">
      <c r="A539" s="6" t="s">
        <v>102</v>
      </c>
      <c r="B539" s="7" t="s">
        <v>621</v>
      </c>
      <c r="C539" s="5" t="s">
        <v>1655</v>
      </c>
      <c r="E539" s="9" t="s">
        <v>1654</v>
      </c>
      <c r="F539" s="5" t="s">
        <v>958</v>
      </c>
      <c r="G539" s="5" t="s">
        <v>1040</v>
      </c>
    </row>
    <row r="540" spans="1:10" x14ac:dyDescent="0.45">
      <c r="A540" s="6" t="s">
        <v>101</v>
      </c>
      <c r="B540" s="7" t="s">
        <v>620</v>
      </c>
      <c r="C540" s="5" t="s">
        <v>560</v>
      </c>
    </row>
    <row r="541" spans="1:10" x14ac:dyDescent="0.45">
      <c r="A541" s="6" t="s">
        <v>100</v>
      </c>
      <c r="B541" s="7" t="s">
        <v>1653</v>
      </c>
      <c r="C541" s="5" t="s">
        <v>884</v>
      </c>
      <c r="E541" s="9" t="s">
        <v>1652</v>
      </c>
    </row>
    <row r="542" spans="1:10" x14ac:dyDescent="0.45">
      <c r="A542" s="6" t="s">
        <v>99</v>
      </c>
      <c r="B542" s="7" t="s">
        <v>1653</v>
      </c>
      <c r="C542" s="5" t="s">
        <v>1650</v>
      </c>
      <c r="E542" s="9" t="s">
        <v>1651</v>
      </c>
      <c r="F542" s="5" t="s">
        <v>957</v>
      </c>
      <c r="G542" s="5" t="s">
        <v>1039</v>
      </c>
    </row>
    <row r="543" spans="1:10" x14ac:dyDescent="0.45">
      <c r="A543" s="6" t="s">
        <v>1645</v>
      </c>
      <c r="B543" s="7" t="s">
        <v>619</v>
      </c>
      <c r="C543" s="5" t="s">
        <v>1639</v>
      </c>
      <c r="D543" s="8">
        <v>2</v>
      </c>
      <c r="E543" s="9" t="s">
        <v>1649</v>
      </c>
    </row>
    <row r="544" spans="1:10" x14ac:dyDescent="0.45">
      <c r="A544" s="6" t="s">
        <v>1644</v>
      </c>
      <c r="B544" s="7" t="s">
        <v>619</v>
      </c>
      <c r="C544" s="5" t="s">
        <v>1639</v>
      </c>
      <c r="D544" s="8">
        <v>2</v>
      </c>
      <c r="E544" s="9" t="s">
        <v>1648</v>
      </c>
    </row>
    <row r="545" spans="1:10" x14ac:dyDescent="0.45">
      <c r="A545" s="6" t="s">
        <v>1643</v>
      </c>
      <c r="B545" s="7" t="s">
        <v>619</v>
      </c>
      <c r="C545" s="5" t="s">
        <v>1639</v>
      </c>
      <c r="D545" s="8">
        <v>2</v>
      </c>
      <c r="E545" s="9" t="s">
        <v>1646</v>
      </c>
    </row>
    <row r="546" spans="1:10" x14ac:dyDescent="0.45">
      <c r="A546" s="6" t="s">
        <v>1642</v>
      </c>
      <c r="B546" s="7" t="s">
        <v>619</v>
      </c>
      <c r="C546" s="5" t="s">
        <v>1639</v>
      </c>
      <c r="D546" s="8">
        <v>4</v>
      </c>
      <c r="E546" s="9" t="s">
        <v>1647</v>
      </c>
    </row>
    <row r="547" spans="1:10" x14ac:dyDescent="0.45">
      <c r="A547" s="6" t="s">
        <v>98</v>
      </c>
      <c r="B547" s="7" t="s">
        <v>1634</v>
      </c>
      <c r="C547" s="5" t="s">
        <v>1637</v>
      </c>
      <c r="E547" s="9" t="s">
        <v>1638</v>
      </c>
    </row>
    <row r="548" spans="1:10" x14ac:dyDescent="0.45">
      <c r="A548" s="6" t="s">
        <v>97</v>
      </c>
      <c r="B548" s="7" t="s">
        <v>1634</v>
      </c>
      <c r="C548" s="5" t="s">
        <v>1635</v>
      </c>
      <c r="E548" s="9" t="s">
        <v>1636</v>
      </c>
      <c r="F548" s="5" t="s">
        <v>956</v>
      </c>
      <c r="G548" s="5" t="s">
        <v>1038</v>
      </c>
      <c r="H548" s="5" t="s">
        <v>1092</v>
      </c>
      <c r="J548" s="5" t="s">
        <v>1117</v>
      </c>
    </row>
    <row r="549" spans="1:10" x14ac:dyDescent="0.45">
      <c r="A549" s="6" t="s">
        <v>96</v>
      </c>
      <c r="B549" s="7" t="s">
        <v>1634</v>
      </c>
      <c r="C549" s="5" t="s">
        <v>1632</v>
      </c>
      <c r="E549" s="9" t="s">
        <v>1633</v>
      </c>
      <c r="J549" s="5" t="s">
        <v>1114</v>
      </c>
    </row>
    <row r="550" spans="1:10" x14ac:dyDescent="0.45">
      <c r="A550" s="6" t="s">
        <v>95</v>
      </c>
      <c r="B550" s="7" t="s">
        <v>618</v>
      </c>
      <c r="C550" s="5" t="s">
        <v>882</v>
      </c>
      <c r="E550" s="9" t="s">
        <v>1631</v>
      </c>
      <c r="F550" s="5" t="s">
        <v>955</v>
      </c>
      <c r="G550" s="5" t="s">
        <v>1037</v>
      </c>
      <c r="J550" s="5" t="s">
        <v>1117</v>
      </c>
    </row>
    <row r="551" spans="1:10" x14ac:dyDescent="0.45">
      <c r="A551" s="6" t="s">
        <v>94</v>
      </c>
      <c r="B551" s="7" t="s">
        <v>617</v>
      </c>
      <c r="C551" s="5" t="s">
        <v>1630</v>
      </c>
    </row>
    <row r="552" spans="1:10" x14ac:dyDescent="0.45">
      <c r="A552" s="6" t="s">
        <v>93</v>
      </c>
      <c r="B552" s="7" t="s">
        <v>617</v>
      </c>
      <c r="C552" s="5" t="s">
        <v>1641</v>
      </c>
      <c r="E552" s="9" t="s">
        <v>1629</v>
      </c>
      <c r="J552" s="5" t="s">
        <v>1111</v>
      </c>
    </row>
    <row r="553" spans="1:10" x14ac:dyDescent="0.45">
      <c r="A553" s="6" t="s">
        <v>92</v>
      </c>
      <c r="B553" s="7" t="s">
        <v>617</v>
      </c>
      <c r="C553" s="5" t="s">
        <v>884</v>
      </c>
      <c r="E553" s="9" t="s">
        <v>1640</v>
      </c>
    </row>
    <row r="554" spans="1:10" x14ac:dyDescent="0.45">
      <c r="A554" s="6" t="s">
        <v>1626</v>
      </c>
      <c r="B554" s="7" t="s">
        <v>1625</v>
      </c>
      <c r="C554" s="5" t="s">
        <v>1623</v>
      </c>
      <c r="E554" s="9" t="s">
        <v>1628</v>
      </c>
    </row>
    <row r="555" spans="1:10" x14ac:dyDescent="0.45">
      <c r="A555" s="6" t="s">
        <v>1624</v>
      </c>
      <c r="B555" s="7" t="s">
        <v>1625</v>
      </c>
      <c r="C555" s="5" t="s">
        <v>1623</v>
      </c>
      <c r="E555" s="9" t="s">
        <v>1627</v>
      </c>
      <c r="F555" s="5" t="s">
        <v>954</v>
      </c>
      <c r="G555" s="5" t="s">
        <v>1036</v>
      </c>
    </row>
    <row r="556" spans="1:10" x14ac:dyDescent="0.45">
      <c r="A556" s="6" t="s">
        <v>1621</v>
      </c>
      <c r="B556" s="7" t="s">
        <v>1618</v>
      </c>
      <c r="C556" s="5" t="s">
        <v>547</v>
      </c>
      <c r="E556" s="9" t="s">
        <v>1622</v>
      </c>
    </row>
    <row r="557" spans="1:10" x14ac:dyDescent="0.45">
      <c r="A557" s="6" t="s">
        <v>1620</v>
      </c>
      <c r="B557" s="7" t="s">
        <v>1618</v>
      </c>
      <c r="C557" s="5" t="s">
        <v>547</v>
      </c>
      <c r="D557" s="8">
        <v>2</v>
      </c>
      <c r="E557" s="9" t="s">
        <v>1619</v>
      </c>
      <c r="F557" s="5" t="s">
        <v>953</v>
      </c>
      <c r="G557" s="5" t="s">
        <v>1035</v>
      </c>
      <c r="J557" s="5" t="s">
        <v>1111</v>
      </c>
    </row>
    <row r="558" spans="1:10" x14ac:dyDescent="0.45">
      <c r="A558" s="6" t="s">
        <v>91</v>
      </c>
      <c r="B558" s="7" t="s">
        <v>616</v>
      </c>
      <c r="C558" s="5" t="s">
        <v>1616</v>
      </c>
      <c r="E558" s="9" t="s">
        <v>1617</v>
      </c>
    </row>
    <row r="559" spans="1:10" x14ac:dyDescent="0.45">
      <c r="A559" s="6" t="s">
        <v>90</v>
      </c>
      <c r="B559" s="7" t="s">
        <v>615</v>
      </c>
      <c r="C559" s="5" t="s">
        <v>1615</v>
      </c>
      <c r="D559" s="8">
        <v>2</v>
      </c>
      <c r="E559" s="9" t="s">
        <v>1614</v>
      </c>
      <c r="F559" s="5" t="s">
        <v>952</v>
      </c>
      <c r="G559" s="5" t="s">
        <v>1034</v>
      </c>
      <c r="J559" s="5" t="s">
        <v>1113</v>
      </c>
    </row>
    <row r="560" spans="1:10" x14ac:dyDescent="0.45">
      <c r="A560" s="6" t="s">
        <v>1613</v>
      </c>
      <c r="B560" s="7" t="s">
        <v>1600</v>
      </c>
      <c r="C560" s="5" t="s">
        <v>876</v>
      </c>
      <c r="E560" s="9" t="s">
        <v>1610</v>
      </c>
    </row>
    <row r="561" spans="1:5" x14ac:dyDescent="0.45">
      <c r="A561" s="6" t="s">
        <v>1612</v>
      </c>
      <c r="B561" s="7" t="s">
        <v>1600</v>
      </c>
      <c r="C561" s="5" t="s">
        <v>876</v>
      </c>
      <c r="E561" s="9" t="s">
        <v>1609</v>
      </c>
    </row>
    <row r="562" spans="1:5" x14ac:dyDescent="0.45">
      <c r="A562" s="6" t="s">
        <v>1611</v>
      </c>
      <c r="B562" s="7" t="s">
        <v>1600</v>
      </c>
      <c r="C562" s="5" t="s">
        <v>876</v>
      </c>
      <c r="D562" s="8">
        <v>3</v>
      </c>
      <c r="E562" s="9" t="s">
        <v>1608</v>
      </c>
    </row>
    <row r="563" spans="1:5" x14ac:dyDescent="0.45">
      <c r="A563" s="6" t="s">
        <v>1607</v>
      </c>
      <c r="B563" s="7" t="s">
        <v>1600</v>
      </c>
      <c r="C563" s="5" t="s">
        <v>1593</v>
      </c>
      <c r="E563" s="9" t="s">
        <v>1598</v>
      </c>
    </row>
    <row r="564" spans="1:5" x14ac:dyDescent="0.45">
      <c r="A564" s="6" t="s">
        <v>1606</v>
      </c>
      <c r="B564" s="7" t="s">
        <v>1600</v>
      </c>
      <c r="C564" s="5" t="s">
        <v>1593</v>
      </c>
      <c r="E564" s="9" t="s">
        <v>1599</v>
      </c>
    </row>
    <row r="565" spans="1:5" x14ac:dyDescent="0.45">
      <c r="A565" s="6" t="s">
        <v>1605</v>
      </c>
      <c r="B565" s="7" t="s">
        <v>1600</v>
      </c>
      <c r="C565" s="5" t="s">
        <v>1593</v>
      </c>
      <c r="E565" s="9" t="s">
        <v>1598</v>
      </c>
    </row>
    <row r="566" spans="1:5" x14ac:dyDescent="0.45">
      <c r="A566" s="6" t="s">
        <v>1604</v>
      </c>
      <c r="B566" s="7" t="s">
        <v>1600</v>
      </c>
      <c r="C566" s="5" t="s">
        <v>1593</v>
      </c>
      <c r="E566" s="9" t="s">
        <v>1597</v>
      </c>
    </row>
    <row r="567" spans="1:5" x14ac:dyDescent="0.45">
      <c r="A567" s="6" t="s">
        <v>1603</v>
      </c>
      <c r="B567" s="7" t="s">
        <v>1600</v>
      </c>
      <c r="C567" s="5" t="s">
        <v>1593</v>
      </c>
      <c r="E567" s="9" t="s">
        <v>1596</v>
      </c>
    </row>
    <row r="568" spans="1:5" x14ac:dyDescent="0.45">
      <c r="A568" s="6" t="s">
        <v>1602</v>
      </c>
      <c r="B568" s="7" t="s">
        <v>1600</v>
      </c>
      <c r="C568" s="5" t="s">
        <v>1593</v>
      </c>
      <c r="E568" s="9" t="s">
        <v>1595</v>
      </c>
    </row>
    <row r="569" spans="1:5" x14ac:dyDescent="0.45">
      <c r="A569" s="6" t="s">
        <v>1601</v>
      </c>
      <c r="B569" s="7" t="s">
        <v>1600</v>
      </c>
      <c r="C569" s="5" t="s">
        <v>1593</v>
      </c>
      <c r="D569" s="8">
        <v>2</v>
      </c>
      <c r="E569" s="9" t="s">
        <v>1594</v>
      </c>
    </row>
    <row r="570" spans="1:5" x14ac:dyDescent="0.45">
      <c r="A570" s="6" t="s">
        <v>89</v>
      </c>
      <c r="B570" s="7" t="s">
        <v>1591</v>
      </c>
      <c r="C570" s="5" t="s">
        <v>877</v>
      </c>
      <c r="E570" s="9" t="s">
        <v>1592</v>
      </c>
    </row>
    <row r="571" spans="1:5" x14ac:dyDescent="0.45">
      <c r="A571" s="6" t="s">
        <v>1585</v>
      </c>
      <c r="B571" s="7" t="s">
        <v>614</v>
      </c>
      <c r="C571" s="5" t="s">
        <v>1580</v>
      </c>
      <c r="E571" s="9" t="s">
        <v>1586</v>
      </c>
    </row>
    <row r="572" spans="1:5" x14ac:dyDescent="0.45">
      <c r="A572" s="6" t="s">
        <v>1584</v>
      </c>
      <c r="B572" s="7" t="s">
        <v>614</v>
      </c>
      <c r="C572" s="5" t="s">
        <v>1580</v>
      </c>
      <c r="E572" s="9" t="s">
        <v>1587</v>
      </c>
    </row>
    <row r="573" spans="1:5" x14ac:dyDescent="0.45">
      <c r="A573" s="6" t="s">
        <v>1583</v>
      </c>
      <c r="B573" s="7" t="s">
        <v>614</v>
      </c>
      <c r="C573" s="5" t="s">
        <v>1580</v>
      </c>
      <c r="E573" s="9" t="s">
        <v>1588</v>
      </c>
    </row>
    <row r="574" spans="1:5" x14ac:dyDescent="0.45">
      <c r="A574" s="6" t="s">
        <v>1582</v>
      </c>
      <c r="B574" s="7" t="s">
        <v>614</v>
      </c>
      <c r="C574" s="5" t="s">
        <v>1580</v>
      </c>
      <c r="E574" s="9" t="s">
        <v>1589</v>
      </c>
    </row>
    <row r="575" spans="1:5" x14ac:dyDescent="0.45">
      <c r="A575" s="6" t="s">
        <v>1581</v>
      </c>
      <c r="B575" s="7" t="s">
        <v>614</v>
      </c>
      <c r="C575" s="5" t="s">
        <v>1580</v>
      </c>
      <c r="E575" s="9" t="s">
        <v>1590</v>
      </c>
    </row>
    <row r="576" spans="1:5" x14ac:dyDescent="0.45">
      <c r="A576" s="6" t="s">
        <v>1579</v>
      </c>
      <c r="B576" s="7" t="s">
        <v>613</v>
      </c>
      <c r="C576" s="5" t="s">
        <v>1573</v>
      </c>
      <c r="E576" s="9" t="s">
        <v>1576</v>
      </c>
    </row>
    <row r="577" spans="1:8" x14ac:dyDescent="0.45">
      <c r="A577" s="6" t="s">
        <v>1578</v>
      </c>
      <c r="B577" s="7" t="s">
        <v>613</v>
      </c>
      <c r="C577" s="5" t="s">
        <v>1573</v>
      </c>
      <c r="E577" s="9" t="s">
        <v>1575</v>
      </c>
    </row>
    <row r="578" spans="1:8" x14ac:dyDescent="0.45">
      <c r="A578" s="6" t="s">
        <v>1577</v>
      </c>
      <c r="B578" s="7" t="s">
        <v>613</v>
      </c>
      <c r="C578" s="5" t="s">
        <v>1573</v>
      </c>
      <c r="E578" s="9" t="s">
        <v>1574</v>
      </c>
    </row>
    <row r="579" spans="1:8" x14ac:dyDescent="0.45">
      <c r="A579" s="6" t="s">
        <v>1569</v>
      </c>
      <c r="B579" s="7" t="s">
        <v>612</v>
      </c>
      <c r="C579" s="5" t="s">
        <v>1566</v>
      </c>
      <c r="E579" s="9" t="s">
        <v>1572</v>
      </c>
    </row>
    <row r="580" spans="1:8" x14ac:dyDescent="0.45">
      <c r="A580" s="6" t="s">
        <v>1568</v>
      </c>
      <c r="B580" s="7" t="s">
        <v>612</v>
      </c>
      <c r="C580" s="5" t="s">
        <v>1566</v>
      </c>
      <c r="D580" s="8">
        <v>2</v>
      </c>
      <c r="E580" s="9" t="s">
        <v>1571</v>
      </c>
    </row>
    <row r="581" spans="1:8" x14ac:dyDescent="0.45">
      <c r="A581" s="6" t="s">
        <v>1567</v>
      </c>
      <c r="B581" s="7" t="s">
        <v>612</v>
      </c>
      <c r="C581" s="5" t="s">
        <v>1566</v>
      </c>
      <c r="D581" s="8">
        <v>2</v>
      </c>
      <c r="E581" s="9" t="s">
        <v>1570</v>
      </c>
      <c r="H581" s="5" t="s">
        <v>1091</v>
      </c>
    </row>
    <row r="582" spans="1:8" x14ac:dyDescent="0.45">
      <c r="A582" s="6" t="s">
        <v>1553</v>
      </c>
      <c r="B582" s="7" t="s">
        <v>611</v>
      </c>
      <c r="C582" s="5" t="s">
        <v>1549</v>
      </c>
      <c r="E582" s="9" t="s">
        <v>1565</v>
      </c>
    </row>
    <row r="583" spans="1:8" x14ac:dyDescent="0.45">
      <c r="A583" s="6" t="s">
        <v>1552</v>
      </c>
      <c r="B583" s="7" t="s">
        <v>611</v>
      </c>
      <c r="C583" s="5" t="s">
        <v>1549</v>
      </c>
      <c r="E583" s="9" t="s">
        <v>1555</v>
      </c>
    </row>
    <row r="584" spans="1:8" x14ac:dyDescent="0.45">
      <c r="A584" s="6" t="s">
        <v>1550</v>
      </c>
      <c r="B584" s="7" t="s">
        <v>611</v>
      </c>
      <c r="C584" s="5" t="s">
        <v>1549</v>
      </c>
      <c r="D584" s="8">
        <v>2</v>
      </c>
      <c r="E584" s="9" t="s">
        <v>1554</v>
      </c>
    </row>
    <row r="585" spans="1:8" x14ac:dyDescent="0.45">
      <c r="A585" s="6" t="s">
        <v>1548</v>
      </c>
      <c r="B585" s="7" t="s">
        <v>611</v>
      </c>
      <c r="C585" s="5" t="s">
        <v>1549</v>
      </c>
      <c r="E585" s="9" t="s">
        <v>1551</v>
      </c>
      <c r="F585" s="5" t="s">
        <v>951</v>
      </c>
      <c r="G585" s="5" t="s">
        <v>1033</v>
      </c>
    </row>
    <row r="586" spans="1:8" x14ac:dyDescent="0.45">
      <c r="A586" s="6" t="s">
        <v>1547</v>
      </c>
      <c r="B586" s="7" t="s">
        <v>610</v>
      </c>
      <c r="C586" s="5" t="s">
        <v>1540</v>
      </c>
      <c r="D586" s="8">
        <v>2</v>
      </c>
      <c r="E586" s="9" t="s">
        <v>1544</v>
      </c>
    </row>
    <row r="587" spans="1:8" x14ac:dyDescent="0.45">
      <c r="A587" s="6" t="s">
        <v>1546</v>
      </c>
      <c r="B587" s="7" t="s">
        <v>610</v>
      </c>
      <c r="C587" s="5" t="s">
        <v>1540</v>
      </c>
      <c r="D587" s="8">
        <v>2</v>
      </c>
      <c r="E587" s="9" t="s">
        <v>1543</v>
      </c>
    </row>
    <row r="588" spans="1:8" x14ac:dyDescent="0.45">
      <c r="A588" s="6" t="s">
        <v>1542</v>
      </c>
      <c r="B588" s="7" t="s">
        <v>610</v>
      </c>
      <c r="C588" s="5" t="s">
        <v>1540</v>
      </c>
      <c r="E588" s="9" t="s">
        <v>1545</v>
      </c>
      <c r="F588" s="5" t="s">
        <v>950</v>
      </c>
      <c r="G588" s="5" t="s">
        <v>1032</v>
      </c>
    </row>
    <row r="589" spans="1:8" x14ac:dyDescent="0.45">
      <c r="A589" s="6" t="s">
        <v>1541</v>
      </c>
      <c r="B589" s="7" t="s">
        <v>609</v>
      </c>
      <c r="C589" s="5" t="s">
        <v>900</v>
      </c>
      <c r="E589" s="9" t="s">
        <v>1539</v>
      </c>
    </row>
    <row r="590" spans="1:8" x14ac:dyDescent="0.45">
      <c r="A590" s="6" t="s">
        <v>88</v>
      </c>
      <c r="B590" s="7" t="s">
        <v>608</v>
      </c>
      <c r="C590" s="5" t="s">
        <v>911</v>
      </c>
      <c r="E590" s="9" t="s">
        <v>1564</v>
      </c>
    </row>
    <row r="591" spans="1:8" x14ac:dyDescent="0.45">
      <c r="A591" s="6" t="s">
        <v>87</v>
      </c>
      <c r="B591" s="7" t="s">
        <v>607</v>
      </c>
      <c r="C591" s="5" t="s">
        <v>875</v>
      </c>
      <c r="E591" s="9" t="s">
        <v>1538</v>
      </c>
    </row>
    <row r="592" spans="1:8" x14ac:dyDescent="0.45">
      <c r="A592" s="6" t="s">
        <v>1534</v>
      </c>
      <c r="B592" s="7" t="s">
        <v>2677</v>
      </c>
      <c r="C592" s="5" t="s">
        <v>910</v>
      </c>
      <c r="E592" s="9" t="s">
        <v>1537</v>
      </c>
    </row>
    <row r="593" spans="1:10" x14ac:dyDescent="0.45">
      <c r="A593" s="6" t="s">
        <v>1535</v>
      </c>
      <c r="B593" s="7" t="s">
        <v>2677</v>
      </c>
      <c r="C593" s="5" t="s">
        <v>910</v>
      </c>
      <c r="D593" s="8">
        <v>4</v>
      </c>
      <c r="E593" s="9" t="s">
        <v>1536</v>
      </c>
      <c r="J593" s="5" t="s">
        <v>1114</v>
      </c>
    </row>
    <row r="594" spans="1:10" x14ac:dyDescent="0.45">
      <c r="A594" s="6" t="s">
        <v>1530</v>
      </c>
      <c r="B594" s="7" t="s">
        <v>606</v>
      </c>
      <c r="C594" s="5" t="s">
        <v>1528</v>
      </c>
      <c r="D594" s="8">
        <v>3</v>
      </c>
      <c r="E594" s="9" t="s">
        <v>1533</v>
      </c>
    </row>
    <row r="595" spans="1:10" x14ac:dyDescent="0.45">
      <c r="A595" s="6" t="s">
        <v>1529</v>
      </c>
      <c r="B595" s="7" t="s">
        <v>606</v>
      </c>
      <c r="C595" s="5" t="s">
        <v>1528</v>
      </c>
      <c r="E595" s="9" t="s">
        <v>1532</v>
      </c>
      <c r="F595" s="5" t="s">
        <v>949</v>
      </c>
      <c r="G595" s="5" t="s">
        <v>1031</v>
      </c>
    </row>
    <row r="596" spans="1:10" x14ac:dyDescent="0.45">
      <c r="A596" s="6" t="s">
        <v>1526</v>
      </c>
      <c r="B596" s="7" t="s">
        <v>1531</v>
      </c>
      <c r="C596" s="5" t="s">
        <v>909</v>
      </c>
      <c r="E596" s="9" t="s">
        <v>1527</v>
      </c>
      <c r="J596" s="5" t="s">
        <v>1111</v>
      </c>
    </row>
    <row r="597" spans="1:10" x14ac:dyDescent="0.45">
      <c r="A597" s="6" t="s">
        <v>1524</v>
      </c>
      <c r="B597" s="7" t="s">
        <v>1521</v>
      </c>
      <c r="C597" s="5" t="s">
        <v>908</v>
      </c>
      <c r="E597" s="9" t="s">
        <v>1525</v>
      </c>
    </row>
    <row r="598" spans="1:10" x14ac:dyDescent="0.45">
      <c r="A598" s="6" t="s">
        <v>1522</v>
      </c>
      <c r="B598" s="7" t="s">
        <v>1521</v>
      </c>
      <c r="C598" s="5" t="s">
        <v>908</v>
      </c>
      <c r="E598" s="9" t="s">
        <v>1523</v>
      </c>
      <c r="F598" s="5" t="s">
        <v>948</v>
      </c>
      <c r="G598" s="5" t="s">
        <v>1030</v>
      </c>
      <c r="J598" s="5" t="s">
        <v>1116</v>
      </c>
    </row>
    <row r="599" spans="1:10" x14ac:dyDescent="0.45">
      <c r="A599" s="6" t="s">
        <v>86</v>
      </c>
      <c r="B599" s="7" t="s">
        <v>1520</v>
      </c>
      <c r="C599" s="5" t="s">
        <v>907</v>
      </c>
    </row>
    <row r="600" spans="1:10" x14ac:dyDescent="0.45">
      <c r="A600" s="6" t="s">
        <v>1516</v>
      </c>
      <c r="B600" s="7" t="s">
        <v>602</v>
      </c>
      <c r="C600" s="5" t="s">
        <v>906</v>
      </c>
      <c r="E600" s="9" t="s">
        <v>1517</v>
      </c>
    </row>
    <row r="601" spans="1:10" x14ac:dyDescent="0.45">
      <c r="A601" s="6" t="s">
        <v>1514</v>
      </c>
      <c r="B601" s="7" t="s">
        <v>602</v>
      </c>
      <c r="C601" s="5" t="s">
        <v>906</v>
      </c>
      <c r="E601" s="9" t="s">
        <v>1515</v>
      </c>
    </row>
    <row r="602" spans="1:10" x14ac:dyDescent="0.45">
      <c r="A602" s="6" t="s">
        <v>85</v>
      </c>
      <c r="B602" s="7" t="s">
        <v>602</v>
      </c>
      <c r="C602" s="5" t="s">
        <v>1511</v>
      </c>
      <c r="E602" s="9" t="s">
        <v>1512</v>
      </c>
    </row>
    <row r="603" spans="1:10" x14ac:dyDescent="0.45">
      <c r="A603" s="6" t="s">
        <v>1519</v>
      </c>
      <c r="B603" s="7" t="s">
        <v>1510</v>
      </c>
      <c r="C603" s="5" t="s">
        <v>902</v>
      </c>
      <c r="E603" s="9" t="s">
        <v>1513</v>
      </c>
      <c r="F603" s="5" t="s">
        <v>947</v>
      </c>
      <c r="G603" s="5" t="s">
        <v>1029</v>
      </c>
    </row>
    <row r="604" spans="1:10" x14ac:dyDescent="0.45">
      <c r="A604" s="6" t="s">
        <v>1518</v>
      </c>
      <c r="B604" s="7" t="s">
        <v>605</v>
      </c>
      <c r="C604" s="5" t="s">
        <v>905</v>
      </c>
      <c r="E604" s="9" t="s">
        <v>1509</v>
      </c>
    </row>
    <row r="605" spans="1:10" x14ac:dyDescent="0.45">
      <c r="A605" s="6" t="s">
        <v>84</v>
      </c>
      <c r="B605" s="7" t="s">
        <v>604</v>
      </c>
      <c r="C605" s="5" t="s">
        <v>884</v>
      </c>
      <c r="E605" s="9" t="s">
        <v>1508</v>
      </c>
      <c r="J605" s="5" t="s">
        <v>1115</v>
      </c>
    </row>
    <row r="606" spans="1:10" x14ac:dyDescent="0.45">
      <c r="A606" s="6" t="s">
        <v>1506</v>
      </c>
      <c r="B606" s="7" t="s">
        <v>603</v>
      </c>
      <c r="C606" s="5" t="s">
        <v>904</v>
      </c>
      <c r="E606" s="9" t="s">
        <v>1507</v>
      </c>
    </row>
    <row r="607" spans="1:10" x14ac:dyDescent="0.45">
      <c r="A607" s="6" t="s">
        <v>1505</v>
      </c>
      <c r="B607" s="7" t="s">
        <v>1502</v>
      </c>
      <c r="C607" s="5" t="s">
        <v>903</v>
      </c>
    </row>
    <row r="608" spans="1:10" x14ac:dyDescent="0.45">
      <c r="A608" s="6" t="s">
        <v>1504</v>
      </c>
      <c r="B608" s="7" t="s">
        <v>1502</v>
      </c>
      <c r="C608" s="5" t="s">
        <v>902</v>
      </c>
      <c r="E608" s="9" t="s">
        <v>1658</v>
      </c>
    </row>
    <row r="609" spans="1:7" x14ac:dyDescent="0.45">
      <c r="A609" s="6" t="s">
        <v>1503</v>
      </c>
      <c r="B609" s="7" t="s">
        <v>1502</v>
      </c>
      <c r="C609" s="5" t="s">
        <v>1500</v>
      </c>
      <c r="E609" s="9" t="s">
        <v>1501</v>
      </c>
    </row>
    <row r="610" spans="1:7" x14ac:dyDescent="0.45">
      <c r="A610" s="6" t="s">
        <v>83</v>
      </c>
      <c r="B610" s="7" t="s">
        <v>601</v>
      </c>
      <c r="C610" s="5" t="s">
        <v>1499</v>
      </c>
      <c r="E610" s="9" t="s">
        <v>1498</v>
      </c>
    </row>
    <row r="611" spans="1:7" x14ac:dyDescent="0.45">
      <c r="A611" s="6" t="s">
        <v>82</v>
      </c>
      <c r="B611" s="7" t="s">
        <v>1495</v>
      </c>
      <c r="C611" s="5" t="s">
        <v>1496</v>
      </c>
      <c r="E611" s="9" t="s">
        <v>1497</v>
      </c>
    </row>
    <row r="612" spans="1:7" x14ac:dyDescent="0.45">
      <c r="A612" s="6" t="s">
        <v>81</v>
      </c>
      <c r="B612" s="7" t="s">
        <v>1494</v>
      </c>
      <c r="C612" s="5" t="s">
        <v>1395</v>
      </c>
      <c r="E612" s="9" t="s">
        <v>556</v>
      </c>
    </row>
    <row r="613" spans="1:7" x14ac:dyDescent="0.45">
      <c r="A613" s="6" t="s">
        <v>80</v>
      </c>
      <c r="B613" s="7" t="s">
        <v>1490</v>
      </c>
      <c r="C613" s="5" t="s">
        <v>901</v>
      </c>
      <c r="E613" s="9" t="s">
        <v>1493</v>
      </c>
    </row>
    <row r="614" spans="1:7" x14ac:dyDescent="0.45">
      <c r="A614" s="6" t="s">
        <v>79</v>
      </c>
      <c r="B614" s="7" t="s">
        <v>1490</v>
      </c>
      <c r="C614" s="5" t="s">
        <v>1491</v>
      </c>
      <c r="E614" s="9" t="s">
        <v>1492</v>
      </c>
    </row>
    <row r="615" spans="1:7" x14ac:dyDescent="0.45">
      <c r="A615" s="6" t="s">
        <v>78</v>
      </c>
      <c r="B615" s="7" t="s">
        <v>600</v>
      </c>
      <c r="C615" s="5" t="s">
        <v>1485</v>
      </c>
      <c r="E615" s="9" t="s">
        <v>1489</v>
      </c>
      <c r="F615" s="5" t="s">
        <v>946</v>
      </c>
      <c r="G615" s="5" t="s">
        <v>1028</v>
      </c>
    </row>
    <row r="616" spans="1:7" x14ac:dyDescent="0.45">
      <c r="A616" s="6" t="s">
        <v>78</v>
      </c>
      <c r="B616" s="7" t="s">
        <v>600</v>
      </c>
      <c r="C616" s="5" t="s">
        <v>1485</v>
      </c>
      <c r="E616" s="9" t="s">
        <v>1488</v>
      </c>
    </row>
    <row r="617" spans="1:7" x14ac:dyDescent="0.45">
      <c r="A617" s="6" t="s">
        <v>78</v>
      </c>
      <c r="B617" s="7" t="s">
        <v>600</v>
      </c>
      <c r="C617" s="5" t="s">
        <v>1485</v>
      </c>
      <c r="E617" s="9" t="s">
        <v>1487</v>
      </c>
    </row>
    <row r="618" spans="1:7" x14ac:dyDescent="0.45">
      <c r="A618" s="6" t="s">
        <v>78</v>
      </c>
      <c r="B618" s="7" t="s">
        <v>600</v>
      </c>
      <c r="C618" s="5" t="s">
        <v>1485</v>
      </c>
      <c r="E618" s="9" t="s">
        <v>1486</v>
      </c>
    </row>
    <row r="619" spans="1:7" x14ac:dyDescent="0.45">
      <c r="A619" s="6" t="s">
        <v>77</v>
      </c>
      <c r="B619" s="7" t="s">
        <v>600</v>
      </c>
      <c r="C619" s="5" t="s">
        <v>900</v>
      </c>
      <c r="E619" s="9" t="s">
        <v>1484</v>
      </c>
      <c r="F619" s="5" t="s">
        <v>945</v>
      </c>
      <c r="G619" s="5" t="s">
        <v>1027</v>
      </c>
    </row>
    <row r="620" spans="1:7" x14ac:dyDescent="0.45">
      <c r="A620" s="6" t="s">
        <v>76</v>
      </c>
      <c r="B620" s="7" t="s">
        <v>600</v>
      </c>
      <c r="C620" s="5" t="s">
        <v>1483</v>
      </c>
      <c r="E620" s="9" t="s">
        <v>556</v>
      </c>
    </row>
    <row r="621" spans="1:7" x14ac:dyDescent="0.45">
      <c r="A621" s="6" t="s">
        <v>75</v>
      </c>
      <c r="B621" s="7" t="s">
        <v>599</v>
      </c>
      <c r="C621" s="5" t="s">
        <v>1481</v>
      </c>
      <c r="E621" s="9" t="s">
        <v>1482</v>
      </c>
    </row>
    <row r="622" spans="1:7" x14ac:dyDescent="0.45">
      <c r="A622" s="6" t="s">
        <v>1478</v>
      </c>
      <c r="B622" s="7" t="s">
        <v>598</v>
      </c>
      <c r="C622" s="5" t="s">
        <v>1479</v>
      </c>
      <c r="E622" s="9" t="s">
        <v>1480</v>
      </c>
    </row>
    <row r="623" spans="1:7" x14ac:dyDescent="0.45">
      <c r="A623" s="6" t="s">
        <v>74</v>
      </c>
      <c r="B623" s="7" t="s">
        <v>598</v>
      </c>
      <c r="C623" s="5" t="s">
        <v>1477</v>
      </c>
      <c r="E623" s="9" t="s">
        <v>1476</v>
      </c>
      <c r="F623" s="5" t="s">
        <v>944</v>
      </c>
      <c r="G623" s="5" t="s">
        <v>1026</v>
      </c>
    </row>
    <row r="624" spans="1:7" x14ac:dyDescent="0.45">
      <c r="A624" s="6" t="s">
        <v>73</v>
      </c>
      <c r="B624" s="7" t="s">
        <v>1474</v>
      </c>
      <c r="C624" s="5" t="s">
        <v>1256</v>
      </c>
      <c r="E624" s="9" t="s">
        <v>1475</v>
      </c>
    </row>
    <row r="625" spans="1:10" x14ac:dyDescent="0.45">
      <c r="A625" s="6" t="s">
        <v>72</v>
      </c>
      <c r="B625" s="7" t="s">
        <v>1473</v>
      </c>
      <c r="C625" s="5" t="s">
        <v>899</v>
      </c>
      <c r="E625" s="9" t="s">
        <v>559</v>
      </c>
      <c r="F625" s="5" t="s">
        <v>943</v>
      </c>
      <c r="G625" s="5" t="s">
        <v>1025</v>
      </c>
    </row>
    <row r="626" spans="1:10" x14ac:dyDescent="0.45">
      <c r="A626" s="6" t="s">
        <v>71</v>
      </c>
      <c r="B626" s="7" t="s">
        <v>1472</v>
      </c>
      <c r="C626" s="5" t="s">
        <v>883</v>
      </c>
      <c r="E626" s="9" t="s">
        <v>558</v>
      </c>
    </row>
    <row r="627" spans="1:10" x14ac:dyDescent="0.45">
      <c r="A627" s="6" t="s">
        <v>70</v>
      </c>
      <c r="B627" s="7" t="s">
        <v>596</v>
      </c>
      <c r="C627" s="5" t="s">
        <v>892</v>
      </c>
      <c r="E627" s="9" t="s">
        <v>557</v>
      </c>
      <c r="J627" s="5" t="s">
        <v>1114</v>
      </c>
    </row>
    <row r="628" spans="1:10" x14ac:dyDescent="0.45">
      <c r="A628" s="6" t="s">
        <v>69</v>
      </c>
      <c r="B628" s="7" t="s">
        <v>596</v>
      </c>
      <c r="C628" s="5" t="s">
        <v>896</v>
      </c>
      <c r="D628" s="8">
        <v>2</v>
      </c>
      <c r="E628" s="9" t="s">
        <v>1471</v>
      </c>
      <c r="H628" s="5" t="s">
        <v>1090</v>
      </c>
    </row>
    <row r="629" spans="1:10" x14ac:dyDescent="0.45">
      <c r="A629" s="6" t="s">
        <v>68</v>
      </c>
      <c r="B629" s="7" t="s">
        <v>597</v>
      </c>
      <c r="C629" s="5" t="s">
        <v>1469</v>
      </c>
      <c r="E629" s="9" t="s">
        <v>1470</v>
      </c>
      <c r="F629" s="5" t="s">
        <v>942</v>
      </c>
      <c r="G629" s="5" t="s">
        <v>1024</v>
      </c>
      <c r="J629" s="5" t="s">
        <v>1113</v>
      </c>
    </row>
    <row r="630" spans="1:10" x14ac:dyDescent="0.45">
      <c r="A630" s="6" t="s">
        <v>1464</v>
      </c>
      <c r="B630" s="7" t="s">
        <v>1458</v>
      </c>
      <c r="C630" s="5" t="s">
        <v>1457</v>
      </c>
      <c r="E630" s="9" t="s">
        <v>1468</v>
      </c>
    </row>
    <row r="631" spans="1:10" x14ac:dyDescent="0.45">
      <c r="A631" s="6" t="s">
        <v>1463</v>
      </c>
      <c r="B631" s="7" t="s">
        <v>1458</v>
      </c>
      <c r="C631" s="5" t="s">
        <v>1457</v>
      </c>
      <c r="E631" s="9" t="s">
        <v>1467</v>
      </c>
    </row>
    <row r="632" spans="1:10" x14ac:dyDescent="0.45">
      <c r="A632" s="6" t="s">
        <v>1462</v>
      </c>
      <c r="B632" s="7" t="s">
        <v>1458</v>
      </c>
      <c r="C632" s="5" t="s">
        <v>1457</v>
      </c>
      <c r="E632" s="9" t="s">
        <v>1466</v>
      </c>
    </row>
    <row r="633" spans="1:10" x14ac:dyDescent="0.45">
      <c r="A633" s="6" t="s">
        <v>1461</v>
      </c>
      <c r="B633" s="7" t="s">
        <v>1458</v>
      </c>
      <c r="C633" s="5" t="s">
        <v>1457</v>
      </c>
      <c r="E633" s="9" t="s">
        <v>1465</v>
      </c>
    </row>
    <row r="634" spans="1:10" x14ac:dyDescent="0.45">
      <c r="A634" s="6" t="s">
        <v>1459</v>
      </c>
      <c r="B634" s="7" t="s">
        <v>1458</v>
      </c>
      <c r="C634" s="5" t="s">
        <v>1457</v>
      </c>
      <c r="E634" s="9" t="s">
        <v>1460</v>
      </c>
      <c r="F634" s="5" t="s">
        <v>941</v>
      </c>
      <c r="G634" s="5" t="s">
        <v>1023</v>
      </c>
    </row>
    <row r="635" spans="1:10" x14ac:dyDescent="0.45">
      <c r="A635" s="6" t="s">
        <v>67</v>
      </c>
      <c r="B635" s="7" t="s">
        <v>1458</v>
      </c>
      <c r="C635" s="5" t="s">
        <v>1455</v>
      </c>
      <c r="E635" s="9" t="s">
        <v>1456</v>
      </c>
      <c r="F635" s="5" t="s">
        <v>940</v>
      </c>
      <c r="G635" s="5" t="s">
        <v>1022</v>
      </c>
    </row>
    <row r="636" spans="1:10" x14ac:dyDescent="0.45">
      <c r="A636" s="6" t="s">
        <v>1563</v>
      </c>
      <c r="B636" s="7" t="s">
        <v>1452</v>
      </c>
      <c r="C636" s="5" t="s">
        <v>898</v>
      </c>
      <c r="E636" s="9" t="s">
        <v>1561</v>
      </c>
    </row>
    <row r="637" spans="1:10" x14ac:dyDescent="0.45">
      <c r="A637" s="6" t="s">
        <v>1562</v>
      </c>
      <c r="B637" s="7" t="s">
        <v>1452</v>
      </c>
      <c r="C637" s="5" t="s">
        <v>898</v>
      </c>
      <c r="E637" s="9" t="s">
        <v>1560</v>
      </c>
      <c r="F637" s="5" t="s">
        <v>939</v>
      </c>
      <c r="G637" s="5" t="s">
        <v>1021</v>
      </c>
    </row>
    <row r="638" spans="1:10" x14ac:dyDescent="0.45">
      <c r="A638" s="6" t="s">
        <v>66</v>
      </c>
      <c r="B638" s="7" t="s">
        <v>1452</v>
      </c>
      <c r="C638" s="5" t="s">
        <v>1454</v>
      </c>
      <c r="E638" s="9" t="s">
        <v>897</v>
      </c>
    </row>
    <row r="639" spans="1:10" x14ac:dyDescent="0.45">
      <c r="A639" s="6" t="s">
        <v>65</v>
      </c>
      <c r="B639" s="7" t="s">
        <v>1452</v>
      </c>
      <c r="C639" s="5" t="s">
        <v>896</v>
      </c>
      <c r="E639" s="9" t="s">
        <v>1453</v>
      </c>
    </row>
    <row r="640" spans="1:10" x14ac:dyDescent="0.45">
      <c r="A640" s="6" t="s">
        <v>64</v>
      </c>
      <c r="B640" s="7" t="s">
        <v>1451</v>
      </c>
      <c r="C640" s="5" t="s">
        <v>895</v>
      </c>
      <c r="E640" s="9" t="s">
        <v>1450</v>
      </c>
    </row>
    <row r="641" spans="1:10" x14ac:dyDescent="0.45">
      <c r="A641" s="6" t="s">
        <v>1444</v>
      </c>
      <c r="B641" s="7" t="s">
        <v>595</v>
      </c>
      <c r="C641" s="5" t="s">
        <v>894</v>
      </c>
      <c r="E641" s="9" t="s">
        <v>1449</v>
      </c>
    </row>
    <row r="642" spans="1:10" x14ac:dyDescent="0.45">
      <c r="A642" s="6" t="s">
        <v>1443</v>
      </c>
      <c r="B642" s="7" t="s">
        <v>595</v>
      </c>
      <c r="C642" s="5" t="s">
        <v>894</v>
      </c>
      <c r="E642" s="9" t="s">
        <v>1448</v>
      </c>
    </row>
    <row r="643" spans="1:10" x14ac:dyDescent="0.45">
      <c r="A643" s="6" t="s">
        <v>1442</v>
      </c>
      <c r="B643" s="7" t="s">
        <v>595</v>
      </c>
      <c r="C643" s="5" t="s">
        <v>894</v>
      </c>
      <c r="E643" s="9" t="s">
        <v>1445</v>
      </c>
      <c r="J643" s="5" t="s">
        <v>1114</v>
      </c>
    </row>
    <row r="644" spans="1:10" x14ac:dyDescent="0.45">
      <c r="A644" s="6" t="s">
        <v>63</v>
      </c>
      <c r="B644" s="7" t="s">
        <v>595</v>
      </c>
      <c r="C644" s="5" t="s">
        <v>893</v>
      </c>
      <c r="E644" s="9" t="s">
        <v>1446</v>
      </c>
      <c r="J644" s="5" t="s">
        <v>1113</v>
      </c>
    </row>
    <row r="645" spans="1:10" x14ac:dyDescent="0.45">
      <c r="A645" s="6" t="s">
        <v>62</v>
      </c>
      <c r="B645" s="7" t="s">
        <v>595</v>
      </c>
      <c r="C645" s="5" t="s">
        <v>892</v>
      </c>
      <c r="E645" s="9" t="s">
        <v>1447</v>
      </c>
      <c r="J645" s="5" t="s">
        <v>1114</v>
      </c>
    </row>
    <row r="646" spans="1:10" x14ac:dyDescent="0.45">
      <c r="A646" s="6" t="s">
        <v>61</v>
      </c>
      <c r="B646" s="7" t="s">
        <v>1441</v>
      </c>
      <c r="C646" s="5" t="s">
        <v>874</v>
      </c>
      <c r="E646" s="9" t="s">
        <v>1440</v>
      </c>
    </row>
    <row r="647" spans="1:10" x14ac:dyDescent="0.45">
      <c r="A647" s="6" t="s">
        <v>60</v>
      </c>
      <c r="B647" s="7" t="s">
        <v>1437</v>
      </c>
      <c r="C647" s="5" t="s">
        <v>1439</v>
      </c>
      <c r="D647" s="8">
        <v>2</v>
      </c>
      <c r="E647" s="9" t="s">
        <v>1438</v>
      </c>
      <c r="F647" s="5" t="s">
        <v>938</v>
      </c>
      <c r="G647" s="5" t="s">
        <v>1020</v>
      </c>
    </row>
    <row r="648" spans="1:10" x14ac:dyDescent="0.45">
      <c r="A648" s="6" t="s">
        <v>59</v>
      </c>
      <c r="B648" s="7" t="s">
        <v>594</v>
      </c>
      <c r="C648" s="5" t="s">
        <v>1436</v>
      </c>
      <c r="E648" s="9" t="s">
        <v>1435</v>
      </c>
      <c r="F648" s="5" t="s">
        <v>937</v>
      </c>
      <c r="G648" s="5" t="s">
        <v>1019</v>
      </c>
    </row>
    <row r="649" spans="1:10" x14ac:dyDescent="0.45">
      <c r="A649" s="6" t="s">
        <v>58</v>
      </c>
      <c r="B649" s="7" t="s">
        <v>593</v>
      </c>
      <c r="C649" s="5" t="s">
        <v>1433</v>
      </c>
      <c r="E649" s="9" t="s">
        <v>1434</v>
      </c>
      <c r="F649" s="5" t="s">
        <v>936</v>
      </c>
      <c r="G649" s="5" t="s">
        <v>1018</v>
      </c>
    </row>
    <row r="650" spans="1:10" x14ac:dyDescent="0.45">
      <c r="A650" s="6" t="s">
        <v>57</v>
      </c>
      <c r="B650" s="7" t="s">
        <v>1432</v>
      </c>
      <c r="C650" s="5" t="s">
        <v>876</v>
      </c>
      <c r="E650" s="9" t="s">
        <v>556</v>
      </c>
    </row>
    <row r="651" spans="1:10" x14ac:dyDescent="0.45">
      <c r="A651" s="6" t="s">
        <v>56</v>
      </c>
      <c r="B651" s="7" t="s">
        <v>592</v>
      </c>
      <c r="C651" s="5" t="s">
        <v>891</v>
      </c>
      <c r="E651" s="9" t="s">
        <v>1431</v>
      </c>
    </row>
    <row r="652" spans="1:10" x14ac:dyDescent="0.45">
      <c r="A652" s="6" t="s">
        <v>55</v>
      </c>
      <c r="B652" s="7" t="s">
        <v>1428</v>
      </c>
      <c r="C652" s="5" t="s">
        <v>890</v>
      </c>
      <c r="E652" s="9" t="s">
        <v>1430</v>
      </c>
    </row>
    <row r="653" spans="1:10" x14ac:dyDescent="0.45">
      <c r="A653" s="6" t="s">
        <v>54</v>
      </c>
      <c r="B653" s="7" t="s">
        <v>1427</v>
      </c>
      <c r="C653" s="5" t="s">
        <v>889</v>
      </c>
      <c r="E653" s="9" t="s">
        <v>1429</v>
      </c>
      <c r="J653" s="5" t="s">
        <v>1111</v>
      </c>
    </row>
    <row r="654" spans="1:10" x14ac:dyDescent="0.45">
      <c r="A654" s="6" t="s">
        <v>53</v>
      </c>
      <c r="B654" s="7" t="s">
        <v>591</v>
      </c>
      <c r="C654" s="5" t="s">
        <v>1425</v>
      </c>
      <c r="E654" s="9" t="s">
        <v>1426</v>
      </c>
      <c r="J654" s="5" t="s">
        <v>1113</v>
      </c>
    </row>
    <row r="655" spans="1:10" x14ac:dyDescent="0.45">
      <c r="A655" s="6" t="s">
        <v>52</v>
      </c>
      <c r="B655" s="7" t="s">
        <v>590</v>
      </c>
      <c r="C655" s="5" t="s">
        <v>935</v>
      </c>
      <c r="E655" s="9" t="s">
        <v>1424</v>
      </c>
      <c r="F655" s="5" t="s">
        <v>935</v>
      </c>
      <c r="G655" s="5" t="s">
        <v>1017</v>
      </c>
    </row>
    <row r="656" spans="1:10" x14ac:dyDescent="0.45">
      <c r="A656" s="6" t="s">
        <v>51</v>
      </c>
      <c r="B656" s="7" t="s">
        <v>1423</v>
      </c>
      <c r="C656" s="5" t="s">
        <v>1422</v>
      </c>
      <c r="E656" s="9" t="s">
        <v>556</v>
      </c>
    </row>
    <row r="657" spans="1:10" x14ac:dyDescent="0.45">
      <c r="A657" s="6" t="s">
        <v>50</v>
      </c>
      <c r="B657" s="7" t="s">
        <v>589</v>
      </c>
      <c r="C657" s="5" t="s">
        <v>1420</v>
      </c>
      <c r="E657" s="9" t="s">
        <v>1421</v>
      </c>
      <c r="F657" s="5" t="s">
        <v>934</v>
      </c>
      <c r="G657" s="5" t="s">
        <v>1016</v>
      </c>
    </row>
    <row r="658" spans="1:10" x14ac:dyDescent="0.45">
      <c r="A658" s="6" t="s">
        <v>49</v>
      </c>
      <c r="B658" s="7" t="s">
        <v>1419</v>
      </c>
      <c r="C658" s="5" t="s">
        <v>1416</v>
      </c>
      <c r="E658" s="9" t="s">
        <v>1417</v>
      </c>
      <c r="F658" s="5" t="s">
        <v>933</v>
      </c>
      <c r="G658" s="5" t="s">
        <v>1015</v>
      </c>
      <c r="J658" s="5" t="s">
        <v>1111</v>
      </c>
    </row>
    <row r="659" spans="1:10" x14ac:dyDescent="0.45">
      <c r="A659" s="6" t="s">
        <v>48</v>
      </c>
      <c r="B659" s="7" t="s">
        <v>1418</v>
      </c>
      <c r="C659" s="5" t="s">
        <v>1414</v>
      </c>
      <c r="D659" s="8">
        <v>2</v>
      </c>
      <c r="E659" s="9" t="s">
        <v>1415</v>
      </c>
    </row>
    <row r="660" spans="1:10" x14ac:dyDescent="0.45">
      <c r="A660" s="6" t="s">
        <v>47</v>
      </c>
      <c r="B660" s="7" t="s">
        <v>1418</v>
      </c>
      <c r="C660" s="5" t="s">
        <v>1412</v>
      </c>
      <c r="D660" s="8">
        <v>2</v>
      </c>
      <c r="E660" s="9" t="s">
        <v>1413</v>
      </c>
    </row>
    <row r="661" spans="1:10" x14ac:dyDescent="0.45">
      <c r="A661" s="6" t="s">
        <v>1411</v>
      </c>
      <c r="B661" s="7" t="s">
        <v>588</v>
      </c>
      <c r="C661" s="5" t="s">
        <v>872</v>
      </c>
      <c r="E661" s="9" t="s">
        <v>1407</v>
      </c>
    </row>
    <row r="662" spans="1:10" x14ac:dyDescent="0.45">
      <c r="A662" s="6" t="s">
        <v>1410</v>
      </c>
      <c r="B662" s="7" t="s">
        <v>588</v>
      </c>
      <c r="C662" s="5" t="s">
        <v>872</v>
      </c>
      <c r="E662" s="9" t="s">
        <v>1408</v>
      </c>
    </row>
    <row r="663" spans="1:10" x14ac:dyDescent="0.45">
      <c r="A663" s="6" t="s">
        <v>1406</v>
      </c>
      <c r="B663" s="7" t="s">
        <v>588</v>
      </c>
      <c r="C663" s="5" t="s">
        <v>872</v>
      </c>
      <c r="E663" s="9" t="s">
        <v>1409</v>
      </c>
      <c r="F663" s="5" t="s">
        <v>932</v>
      </c>
      <c r="G663" s="5" t="s">
        <v>1014</v>
      </c>
    </row>
    <row r="664" spans="1:10" x14ac:dyDescent="0.45">
      <c r="A664" s="6" t="s">
        <v>46</v>
      </c>
      <c r="B664" s="7" t="s">
        <v>587</v>
      </c>
      <c r="C664" s="5" t="s">
        <v>1302</v>
      </c>
      <c r="E664" s="9" t="s">
        <v>1405</v>
      </c>
      <c r="F664" s="5" t="s">
        <v>931</v>
      </c>
      <c r="G664" s="5" t="s">
        <v>1013</v>
      </c>
      <c r="J664" s="5" t="s">
        <v>1112</v>
      </c>
    </row>
    <row r="665" spans="1:10" x14ac:dyDescent="0.45">
      <c r="A665" s="6" t="s">
        <v>1403</v>
      </c>
      <c r="B665" s="7" t="s">
        <v>586</v>
      </c>
      <c r="C665" s="5" t="s">
        <v>1400</v>
      </c>
      <c r="E665" s="9" t="s">
        <v>1404</v>
      </c>
    </row>
    <row r="666" spans="1:10" x14ac:dyDescent="0.45">
      <c r="A666" s="6" t="s">
        <v>1402</v>
      </c>
      <c r="B666" s="7" t="s">
        <v>586</v>
      </c>
      <c r="C666" s="5" t="s">
        <v>1400</v>
      </c>
      <c r="E666" s="9" t="s">
        <v>1401</v>
      </c>
      <c r="F666" s="5" t="s">
        <v>930</v>
      </c>
      <c r="G666" s="5" t="s">
        <v>1012</v>
      </c>
      <c r="J666" s="5" t="s">
        <v>1113</v>
      </c>
    </row>
    <row r="667" spans="1:10" x14ac:dyDescent="0.45">
      <c r="A667" s="6" t="s">
        <v>45</v>
      </c>
      <c r="B667" s="7" t="s">
        <v>585</v>
      </c>
      <c r="C667" s="5" t="s">
        <v>1399</v>
      </c>
      <c r="E667" s="9" t="s">
        <v>1398</v>
      </c>
      <c r="F667" s="5" t="s">
        <v>929</v>
      </c>
      <c r="G667" s="5" t="s">
        <v>1011</v>
      </c>
    </row>
    <row r="668" spans="1:10" x14ac:dyDescent="0.45">
      <c r="A668" s="6" t="s">
        <v>44</v>
      </c>
      <c r="B668" s="7" t="s">
        <v>1397</v>
      </c>
      <c r="C668" s="5" t="s">
        <v>888</v>
      </c>
      <c r="E668" s="9" t="s">
        <v>1396</v>
      </c>
    </row>
    <row r="669" spans="1:10" x14ac:dyDescent="0.45">
      <c r="A669" s="6" t="s">
        <v>43</v>
      </c>
      <c r="B669" s="7" t="s">
        <v>584</v>
      </c>
      <c r="C669" s="5" t="s">
        <v>1395</v>
      </c>
      <c r="E669" s="9" t="s">
        <v>1394</v>
      </c>
    </row>
    <row r="670" spans="1:10" x14ac:dyDescent="0.45">
      <c r="A670" s="6" t="s">
        <v>42</v>
      </c>
      <c r="B670" s="7" t="s">
        <v>583</v>
      </c>
      <c r="C670" s="5" t="s">
        <v>872</v>
      </c>
      <c r="D670" s="8">
        <v>2</v>
      </c>
      <c r="E670" s="9" t="s">
        <v>1393</v>
      </c>
      <c r="F670" s="5" t="s">
        <v>928</v>
      </c>
      <c r="G670" s="5" t="s">
        <v>1010</v>
      </c>
    </row>
    <row r="671" spans="1:10" x14ac:dyDescent="0.45">
      <c r="A671" s="6" t="s">
        <v>1391</v>
      </c>
      <c r="B671" s="7" t="s">
        <v>2676</v>
      </c>
      <c r="C671" s="5" t="s">
        <v>1388</v>
      </c>
      <c r="E671" s="9" t="s">
        <v>1392</v>
      </c>
    </row>
    <row r="672" spans="1:10" x14ac:dyDescent="0.45">
      <c r="A672" s="6" t="s">
        <v>1390</v>
      </c>
      <c r="B672" s="7" t="s">
        <v>2676</v>
      </c>
      <c r="C672" s="5" t="s">
        <v>1388</v>
      </c>
      <c r="E672" s="9" t="s">
        <v>1389</v>
      </c>
      <c r="J672" s="5" t="s">
        <v>1113</v>
      </c>
    </row>
    <row r="673" spans="1:11" x14ac:dyDescent="0.45">
      <c r="A673" s="6" t="s">
        <v>41</v>
      </c>
      <c r="B673" s="7" t="s">
        <v>2676</v>
      </c>
      <c r="C673" s="5" t="s">
        <v>887</v>
      </c>
      <c r="E673" s="9" t="s">
        <v>1387</v>
      </c>
      <c r="J673" s="5" t="s">
        <v>1113</v>
      </c>
    </row>
    <row r="674" spans="1:11" x14ac:dyDescent="0.45">
      <c r="A674" s="6" t="s">
        <v>1386</v>
      </c>
      <c r="B674" s="7" t="s">
        <v>2676</v>
      </c>
      <c r="C674" s="5" t="s">
        <v>1302</v>
      </c>
      <c r="E674" s="9" t="s">
        <v>1263</v>
      </c>
      <c r="J674" s="5" t="s">
        <v>1114</v>
      </c>
    </row>
    <row r="675" spans="1:11" x14ac:dyDescent="0.45">
      <c r="A675" s="6" t="s">
        <v>1383</v>
      </c>
      <c r="B675" s="7" t="s">
        <v>1379</v>
      </c>
      <c r="C675" s="5" t="s">
        <v>1384</v>
      </c>
      <c r="D675" s="8">
        <v>2</v>
      </c>
      <c r="E675" s="9" t="s">
        <v>1385</v>
      </c>
    </row>
    <row r="676" spans="1:11" ht="15" x14ac:dyDescent="0.45">
      <c r="A676" s="6" t="s">
        <v>1380</v>
      </c>
      <c r="B676" s="7" t="s">
        <v>1379</v>
      </c>
      <c r="C676" s="5" t="s">
        <v>1381</v>
      </c>
      <c r="E676" s="9" t="s">
        <v>1382</v>
      </c>
      <c r="K676" s="20"/>
    </row>
    <row r="677" spans="1:11" ht="15" x14ac:dyDescent="0.45">
      <c r="A677" s="6" t="s">
        <v>1375</v>
      </c>
      <c r="B677" s="7" t="s">
        <v>1376</v>
      </c>
      <c r="C677" s="5" t="s">
        <v>1377</v>
      </c>
      <c r="E677" s="9" t="s">
        <v>1378</v>
      </c>
      <c r="K677" s="21"/>
    </row>
    <row r="678" spans="1:11" x14ac:dyDescent="0.45">
      <c r="A678" s="6" t="s">
        <v>1373</v>
      </c>
      <c r="B678" s="7" t="s">
        <v>1374</v>
      </c>
      <c r="C678" s="5" t="s">
        <v>1371</v>
      </c>
      <c r="E678" s="9" t="s">
        <v>1372</v>
      </c>
      <c r="K678" s="22"/>
    </row>
    <row r="679" spans="1:11" x14ac:dyDescent="0.45">
      <c r="A679" s="6" t="s">
        <v>1363</v>
      </c>
      <c r="B679" s="7" t="s">
        <v>1364</v>
      </c>
      <c r="C679" s="5" t="s">
        <v>1369</v>
      </c>
      <c r="E679" s="9" t="s">
        <v>1370</v>
      </c>
    </row>
    <row r="680" spans="1:11" x14ac:dyDescent="0.45">
      <c r="A680" s="6" t="s">
        <v>1362</v>
      </c>
      <c r="B680" s="7" t="s">
        <v>1364</v>
      </c>
      <c r="C680" s="5" t="s">
        <v>1351</v>
      </c>
      <c r="E680" s="9" t="s">
        <v>1368</v>
      </c>
    </row>
    <row r="681" spans="1:11" x14ac:dyDescent="0.45">
      <c r="A681" s="6" t="s">
        <v>40</v>
      </c>
      <c r="B681" s="7" t="s">
        <v>1361</v>
      </c>
      <c r="C681" s="5" t="s">
        <v>1366</v>
      </c>
      <c r="E681" s="9" t="s">
        <v>1367</v>
      </c>
    </row>
    <row r="682" spans="1:11" x14ac:dyDescent="0.45">
      <c r="A682" s="6" t="s">
        <v>39</v>
      </c>
      <c r="B682" s="7" t="s">
        <v>1360</v>
      </c>
      <c r="C682" s="5" t="s">
        <v>2674</v>
      </c>
      <c r="E682" s="9" t="s">
        <v>2673</v>
      </c>
    </row>
    <row r="683" spans="1:11" x14ac:dyDescent="0.45">
      <c r="A683" s="6" t="s">
        <v>38</v>
      </c>
      <c r="B683" s="7" t="s">
        <v>1360</v>
      </c>
      <c r="C683" s="5" t="s">
        <v>885</v>
      </c>
      <c r="E683" s="9" t="s">
        <v>1365</v>
      </c>
    </row>
    <row r="684" spans="1:11" x14ac:dyDescent="0.45">
      <c r="A684" s="6" t="s">
        <v>38</v>
      </c>
      <c r="B684" s="7" t="s">
        <v>1360</v>
      </c>
      <c r="C684" s="5" t="s">
        <v>885</v>
      </c>
      <c r="E684" s="9" t="s">
        <v>555</v>
      </c>
    </row>
    <row r="685" spans="1:11" x14ac:dyDescent="0.45">
      <c r="A685" s="6" t="s">
        <v>1356</v>
      </c>
      <c r="B685" s="7" t="s">
        <v>1357</v>
      </c>
      <c r="C685" s="5" t="s">
        <v>1358</v>
      </c>
      <c r="E685" s="9" t="s">
        <v>1359</v>
      </c>
    </row>
    <row r="686" spans="1:11" x14ac:dyDescent="0.45">
      <c r="A686" s="6" t="s">
        <v>1353</v>
      </c>
      <c r="B686" s="7" t="s">
        <v>1350</v>
      </c>
      <c r="C686" s="5" t="s">
        <v>1354</v>
      </c>
      <c r="E686" s="9" t="s">
        <v>1355</v>
      </c>
    </row>
    <row r="687" spans="1:11" x14ac:dyDescent="0.45">
      <c r="A687" s="6" t="s">
        <v>1349</v>
      </c>
      <c r="B687" s="7" t="s">
        <v>1350</v>
      </c>
      <c r="C687" s="5" t="s">
        <v>1351</v>
      </c>
      <c r="E687" s="9" t="s">
        <v>1352</v>
      </c>
    </row>
    <row r="688" spans="1:11" x14ac:dyDescent="0.45">
      <c r="A688" s="6" t="s">
        <v>1346</v>
      </c>
      <c r="B688" s="7" t="s">
        <v>1343</v>
      </c>
      <c r="C688" s="5" t="s">
        <v>1344</v>
      </c>
      <c r="E688" s="9" t="s">
        <v>1348</v>
      </c>
    </row>
    <row r="689" spans="1:7" x14ac:dyDescent="0.45">
      <c r="A689" s="6" t="s">
        <v>1345</v>
      </c>
      <c r="B689" s="7" t="s">
        <v>1343</v>
      </c>
      <c r="C689" s="5" t="s">
        <v>1344</v>
      </c>
      <c r="E689" s="9" t="s">
        <v>1347</v>
      </c>
    </row>
    <row r="690" spans="1:7" x14ac:dyDescent="0.45">
      <c r="A690" s="6" t="s">
        <v>1341</v>
      </c>
      <c r="B690" s="7" t="s">
        <v>1342</v>
      </c>
      <c r="C690" s="5" t="s">
        <v>2665</v>
      </c>
    </row>
    <row r="691" spans="1:7" x14ac:dyDescent="0.45">
      <c r="A691" s="6" t="s">
        <v>37</v>
      </c>
      <c r="B691" s="7" t="s">
        <v>1334</v>
      </c>
      <c r="C691" s="5" t="s">
        <v>1339</v>
      </c>
      <c r="D691" s="8">
        <v>2</v>
      </c>
      <c r="E691" s="9" t="s">
        <v>1340</v>
      </c>
      <c r="F691" s="5" t="s">
        <v>927</v>
      </c>
      <c r="G691" s="5" t="s">
        <v>1009</v>
      </c>
    </row>
    <row r="692" spans="1:7" x14ac:dyDescent="0.45">
      <c r="A692" s="6" t="s">
        <v>1337</v>
      </c>
      <c r="B692" s="7" t="s">
        <v>1334</v>
      </c>
      <c r="C692" s="5" t="s">
        <v>1307</v>
      </c>
      <c r="E692" s="9" t="s">
        <v>1338</v>
      </c>
    </row>
    <row r="693" spans="1:7" x14ac:dyDescent="0.45">
      <c r="A693" s="6" t="s">
        <v>1335</v>
      </c>
      <c r="B693" s="7" t="s">
        <v>1334</v>
      </c>
      <c r="C693" s="5" t="s">
        <v>1307</v>
      </c>
      <c r="D693" s="8">
        <v>2</v>
      </c>
      <c r="E693" s="9" t="s">
        <v>1336</v>
      </c>
    </row>
    <row r="694" spans="1:7" x14ac:dyDescent="0.45">
      <c r="A694" s="6" t="s">
        <v>1330</v>
      </c>
      <c r="B694" s="7" t="s">
        <v>1331</v>
      </c>
      <c r="C694" s="5" t="s">
        <v>1332</v>
      </c>
      <c r="E694" s="9" t="s">
        <v>1333</v>
      </c>
    </row>
    <row r="695" spans="1:7" x14ac:dyDescent="0.45">
      <c r="A695" s="6" t="s">
        <v>1327</v>
      </c>
      <c r="B695" s="7" t="s">
        <v>1328</v>
      </c>
      <c r="C695" s="5" t="s">
        <v>1269</v>
      </c>
      <c r="E695" s="9" t="s">
        <v>1329</v>
      </c>
    </row>
    <row r="696" spans="1:7" x14ac:dyDescent="0.45">
      <c r="A696" s="6" t="s">
        <v>1324</v>
      </c>
      <c r="B696" s="7" t="s">
        <v>1323</v>
      </c>
      <c r="C696" s="5" t="s">
        <v>1325</v>
      </c>
      <c r="E696" s="9" t="s">
        <v>1326</v>
      </c>
    </row>
    <row r="697" spans="1:7" x14ac:dyDescent="0.45">
      <c r="A697" s="6" t="s">
        <v>36</v>
      </c>
      <c r="B697" s="7" t="s">
        <v>1322</v>
      </c>
      <c r="C697" s="5" t="s">
        <v>1321</v>
      </c>
      <c r="E697" s="9" t="s">
        <v>1138</v>
      </c>
    </row>
    <row r="698" spans="1:7" x14ac:dyDescent="0.45">
      <c r="A698" s="6" t="s">
        <v>1313</v>
      </c>
      <c r="B698" s="7" t="s">
        <v>574</v>
      </c>
      <c r="C698" s="5" t="s">
        <v>1314</v>
      </c>
      <c r="E698" s="9" t="s">
        <v>1320</v>
      </c>
    </row>
    <row r="699" spans="1:7" x14ac:dyDescent="0.45">
      <c r="A699" s="6" t="s">
        <v>1318</v>
      </c>
      <c r="B699" s="7" t="s">
        <v>1312</v>
      </c>
      <c r="C699" s="5" t="s">
        <v>1316</v>
      </c>
      <c r="E699" s="9" t="s">
        <v>1319</v>
      </c>
    </row>
    <row r="700" spans="1:7" x14ac:dyDescent="0.45">
      <c r="A700" s="6" t="s">
        <v>1317</v>
      </c>
      <c r="B700" s="7" t="s">
        <v>1312</v>
      </c>
      <c r="C700" s="5" t="s">
        <v>1316</v>
      </c>
      <c r="E700" s="9" t="s">
        <v>1315</v>
      </c>
    </row>
    <row r="701" spans="1:7" x14ac:dyDescent="0.45">
      <c r="A701" s="6" t="s">
        <v>1309</v>
      </c>
      <c r="B701" s="7" t="s">
        <v>582</v>
      </c>
      <c r="C701" s="5" t="s">
        <v>1307</v>
      </c>
      <c r="E701" s="9" t="s">
        <v>1311</v>
      </c>
    </row>
    <row r="702" spans="1:7" x14ac:dyDescent="0.45">
      <c r="A702" s="6" t="s">
        <v>1308</v>
      </c>
      <c r="B702" s="7" t="s">
        <v>582</v>
      </c>
      <c r="C702" s="5" t="s">
        <v>1307</v>
      </c>
      <c r="E702" s="9" t="s">
        <v>1310</v>
      </c>
    </row>
    <row r="703" spans="1:7" x14ac:dyDescent="0.45">
      <c r="A703" s="6" t="s">
        <v>1304</v>
      </c>
      <c r="B703" s="7" t="s">
        <v>582</v>
      </c>
      <c r="C703" s="5" t="s">
        <v>1300</v>
      </c>
      <c r="E703" s="9" t="s">
        <v>1306</v>
      </c>
      <c r="F703" s="5" t="s">
        <v>926</v>
      </c>
      <c r="G703" s="5" t="s">
        <v>1008</v>
      </c>
    </row>
    <row r="704" spans="1:7" x14ac:dyDescent="0.45">
      <c r="A704" s="6" t="s">
        <v>1303</v>
      </c>
      <c r="B704" s="7" t="s">
        <v>582</v>
      </c>
      <c r="C704" s="5" t="s">
        <v>1300</v>
      </c>
      <c r="E704" s="9" t="s">
        <v>1305</v>
      </c>
      <c r="F704" s="5" t="s">
        <v>926</v>
      </c>
      <c r="G704" s="5" t="s">
        <v>1008</v>
      </c>
    </row>
    <row r="705" spans="1:10" x14ac:dyDescent="0.45">
      <c r="A705" s="6" t="s">
        <v>35</v>
      </c>
      <c r="B705" s="7" t="s">
        <v>581</v>
      </c>
      <c r="C705" s="5" t="s">
        <v>1300</v>
      </c>
      <c r="E705" s="9" t="s">
        <v>1301</v>
      </c>
      <c r="F705" s="5" t="s">
        <v>925</v>
      </c>
      <c r="G705" s="5" t="s">
        <v>1007</v>
      </c>
    </row>
    <row r="706" spans="1:10" x14ac:dyDescent="0.45">
      <c r="A706" s="6" t="s">
        <v>34</v>
      </c>
      <c r="B706" s="7" t="s">
        <v>1292</v>
      </c>
      <c r="C706" s="5" t="s">
        <v>1299</v>
      </c>
      <c r="E706" s="9" t="s">
        <v>1298</v>
      </c>
      <c r="F706" s="5" t="s">
        <v>924</v>
      </c>
      <c r="G706" s="5" t="s">
        <v>1006</v>
      </c>
    </row>
    <row r="707" spans="1:10" x14ac:dyDescent="0.45">
      <c r="A707" s="6" t="s">
        <v>1289</v>
      </c>
      <c r="B707" s="7" t="s">
        <v>1291</v>
      </c>
      <c r="C707" s="5" t="s">
        <v>1296</v>
      </c>
      <c r="E707" s="9" t="s">
        <v>1297</v>
      </c>
    </row>
    <row r="708" spans="1:10" x14ac:dyDescent="0.45">
      <c r="A708" s="6" t="s">
        <v>1288</v>
      </c>
      <c r="B708" s="7" t="s">
        <v>1290</v>
      </c>
      <c r="C708" s="5" t="s">
        <v>1294</v>
      </c>
      <c r="E708" s="9" t="s">
        <v>1295</v>
      </c>
    </row>
    <row r="709" spans="1:10" x14ac:dyDescent="0.45">
      <c r="A709" s="6" t="s">
        <v>1287</v>
      </c>
      <c r="B709" s="7" t="s">
        <v>580</v>
      </c>
      <c r="C709" s="5" t="s">
        <v>883</v>
      </c>
      <c r="E709" s="9" t="s">
        <v>1293</v>
      </c>
    </row>
    <row r="710" spans="1:10" x14ac:dyDescent="0.45">
      <c r="A710" s="6" t="s">
        <v>33</v>
      </c>
      <c r="B710" s="7" t="s">
        <v>580</v>
      </c>
      <c r="C710" s="5" t="s">
        <v>1283</v>
      </c>
      <c r="E710" s="9" t="s">
        <v>1286</v>
      </c>
      <c r="F710" s="5" t="s">
        <v>923</v>
      </c>
      <c r="G710" s="5" t="s">
        <v>1005</v>
      </c>
    </row>
    <row r="711" spans="1:10" x14ac:dyDescent="0.45">
      <c r="A711" s="6" t="s">
        <v>32</v>
      </c>
      <c r="B711" s="7" t="s">
        <v>1274</v>
      </c>
      <c r="C711" s="5" t="s">
        <v>1284</v>
      </c>
      <c r="E711" s="9" t="s">
        <v>1285</v>
      </c>
      <c r="J711" s="5" t="s">
        <v>1113</v>
      </c>
    </row>
    <row r="712" spans="1:10" x14ac:dyDescent="0.45">
      <c r="A712" s="6" t="s">
        <v>1272</v>
      </c>
      <c r="B712" s="7" t="s">
        <v>1274</v>
      </c>
      <c r="C712" s="5" t="s">
        <v>1281</v>
      </c>
      <c r="E712" s="9" t="s">
        <v>1282</v>
      </c>
    </row>
    <row r="713" spans="1:10" x14ac:dyDescent="0.45">
      <c r="A713" s="6" t="s">
        <v>1271</v>
      </c>
      <c r="B713" s="7" t="s">
        <v>1273</v>
      </c>
      <c r="C713" s="5" t="s">
        <v>1279</v>
      </c>
      <c r="E713" s="9" t="s">
        <v>1280</v>
      </c>
    </row>
    <row r="714" spans="1:10" x14ac:dyDescent="0.45">
      <c r="A714" s="6" t="s">
        <v>1270</v>
      </c>
      <c r="B714" s="7" t="s">
        <v>1275</v>
      </c>
      <c r="C714" s="5" t="s">
        <v>1276</v>
      </c>
      <c r="E714" s="9" t="s">
        <v>1278</v>
      </c>
    </row>
    <row r="715" spans="1:10" x14ac:dyDescent="0.45">
      <c r="A715" s="6" t="s">
        <v>1268</v>
      </c>
      <c r="B715" s="7" t="s">
        <v>1275</v>
      </c>
      <c r="C715" s="5" t="s">
        <v>1269</v>
      </c>
      <c r="E715" s="9" t="s">
        <v>1277</v>
      </c>
      <c r="H715" s="5" t="s">
        <v>1089</v>
      </c>
    </row>
    <row r="716" spans="1:10" x14ac:dyDescent="0.45">
      <c r="A716" s="6" t="s">
        <v>31</v>
      </c>
      <c r="B716" s="7" t="s">
        <v>1266</v>
      </c>
      <c r="C716" s="5" t="s">
        <v>1262</v>
      </c>
      <c r="E716" s="9" t="s">
        <v>1264</v>
      </c>
      <c r="H716" s="5" t="s">
        <v>1089</v>
      </c>
    </row>
    <row r="717" spans="1:10" x14ac:dyDescent="0.45">
      <c r="A717" s="6" t="s">
        <v>1261</v>
      </c>
      <c r="B717" s="7" t="s">
        <v>1267</v>
      </c>
      <c r="C717" s="5" t="s">
        <v>881</v>
      </c>
      <c r="E717" s="9" t="s">
        <v>1265</v>
      </c>
      <c r="F717" s="5" t="s">
        <v>922</v>
      </c>
      <c r="G717" s="5" t="s">
        <v>1004</v>
      </c>
    </row>
    <row r="718" spans="1:10" x14ac:dyDescent="0.45">
      <c r="A718" s="6" t="s">
        <v>1260</v>
      </c>
      <c r="B718" s="7" t="s">
        <v>1267</v>
      </c>
      <c r="C718" s="5" t="s">
        <v>881</v>
      </c>
      <c r="E718" s="9" t="s">
        <v>1559</v>
      </c>
      <c r="F718" s="5" t="s">
        <v>922</v>
      </c>
      <c r="G718" s="5" t="s">
        <v>1004</v>
      </c>
    </row>
    <row r="719" spans="1:10" x14ac:dyDescent="0.45">
      <c r="A719" s="6" t="s">
        <v>30</v>
      </c>
      <c r="B719" s="7" t="s">
        <v>1267</v>
      </c>
      <c r="C719" s="5" t="s">
        <v>2672</v>
      </c>
      <c r="E719" s="9" t="s">
        <v>2671</v>
      </c>
    </row>
    <row r="720" spans="1:10" x14ac:dyDescent="0.45">
      <c r="A720" s="6" t="s">
        <v>29</v>
      </c>
      <c r="B720" s="7" t="s">
        <v>1267</v>
      </c>
      <c r="C720" s="5" t="s">
        <v>2670</v>
      </c>
      <c r="E720" s="9" t="s">
        <v>2669</v>
      </c>
      <c r="F720" s="5" t="s">
        <v>921</v>
      </c>
      <c r="G720" s="5" t="s">
        <v>1003</v>
      </c>
    </row>
    <row r="721" spans="1:10" x14ac:dyDescent="0.45">
      <c r="A721" s="6" t="s">
        <v>28</v>
      </c>
      <c r="B721" s="7" t="s">
        <v>579</v>
      </c>
      <c r="C721" s="5" t="s">
        <v>2667</v>
      </c>
      <c r="E721" s="9" t="s">
        <v>2666</v>
      </c>
    </row>
    <row r="722" spans="1:10" x14ac:dyDescent="0.45">
      <c r="A722" s="6" t="s">
        <v>28</v>
      </c>
      <c r="B722" s="7" t="s">
        <v>579</v>
      </c>
      <c r="C722" s="5" t="s">
        <v>2667</v>
      </c>
      <c r="E722" s="9" t="s">
        <v>2668</v>
      </c>
    </row>
    <row r="723" spans="1:10" x14ac:dyDescent="0.45">
      <c r="A723" s="6" t="s">
        <v>27</v>
      </c>
      <c r="B723" s="7" t="s">
        <v>578</v>
      </c>
      <c r="C723" s="5" t="s">
        <v>880</v>
      </c>
      <c r="E723" s="9" t="s">
        <v>553</v>
      </c>
      <c r="H723" s="5" t="s">
        <v>1088</v>
      </c>
    </row>
    <row r="724" spans="1:10" x14ac:dyDescent="0.45">
      <c r="A724" s="6" t="s">
        <v>27</v>
      </c>
      <c r="B724" s="7" t="s">
        <v>578</v>
      </c>
      <c r="C724" s="5" t="s">
        <v>880</v>
      </c>
      <c r="E724" s="9" t="s">
        <v>554</v>
      </c>
      <c r="H724" s="5" t="s">
        <v>1088</v>
      </c>
    </row>
    <row r="725" spans="1:10" x14ac:dyDescent="0.45">
      <c r="A725" s="6" t="s">
        <v>26</v>
      </c>
      <c r="B725" s="7" t="s">
        <v>577</v>
      </c>
      <c r="C725" s="5" t="s">
        <v>873</v>
      </c>
      <c r="E725" s="9" t="s">
        <v>552</v>
      </c>
      <c r="F725" s="5" t="s">
        <v>920</v>
      </c>
      <c r="G725" s="5" t="s">
        <v>1002</v>
      </c>
    </row>
    <row r="726" spans="1:10" x14ac:dyDescent="0.45">
      <c r="A726" s="6" t="s">
        <v>25</v>
      </c>
      <c r="B726" s="7" t="s">
        <v>2675</v>
      </c>
      <c r="C726" s="5" t="s">
        <v>879</v>
      </c>
      <c r="E726" s="9" t="s">
        <v>550</v>
      </c>
      <c r="F726" s="5" t="s">
        <v>918</v>
      </c>
      <c r="G726" s="5" t="s">
        <v>1000</v>
      </c>
    </row>
    <row r="727" spans="1:10" x14ac:dyDescent="0.45">
      <c r="A727" s="6" t="s">
        <v>25</v>
      </c>
      <c r="B727" s="7" t="s">
        <v>577</v>
      </c>
      <c r="C727" s="5" t="s">
        <v>879</v>
      </c>
      <c r="E727" s="9" t="s">
        <v>551</v>
      </c>
      <c r="F727" s="5" t="s">
        <v>919</v>
      </c>
      <c r="G727" s="5" t="s">
        <v>1001</v>
      </c>
    </row>
    <row r="728" spans="1:10" x14ac:dyDescent="0.45">
      <c r="A728" s="6" t="s">
        <v>24</v>
      </c>
      <c r="B728" s="7" t="s">
        <v>576</v>
      </c>
      <c r="C728" s="5" t="s">
        <v>878</v>
      </c>
      <c r="E728" s="9" t="s">
        <v>549</v>
      </c>
      <c r="F728" s="5" t="s">
        <v>917</v>
      </c>
      <c r="G728" s="5" t="s">
        <v>999</v>
      </c>
    </row>
    <row r="729" spans="1:10" x14ac:dyDescent="0.45">
      <c r="A729" s="6" t="s">
        <v>23</v>
      </c>
      <c r="B729" s="7" t="s">
        <v>575</v>
      </c>
      <c r="C729" s="5" t="s">
        <v>877</v>
      </c>
      <c r="E729" s="9" t="s">
        <v>548</v>
      </c>
    </row>
    <row r="730" spans="1:10" x14ac:dyDescent="0.45">
      <c r="A730" s="6" t="s">
        <v>23</v>
      </c>
      <c r="B730" s="7" t="s">
        <v>575</v>
      </c>
      <c r="C730" s="5" t="s">
        <v>877</v>
      </c>
      <c r="E730" s="9" t="s">
        <v>548</v>
      </c>
    </row>
    <row r="731" spans="1:10" x14ac:dyDescent="0.45">
      <c r="A731" s="6" t="s">
        <v>22</v>
      </c>
      <c r="B731" s="7" t="s">
        <v>1259</v>
      </c>
      <c r="C731" s="5" t="s">
        <v>1221</v>
      </c>
      <c r="E731" s="9" t="s">
        <v>1220</v>
      </c>
      <c r="F731" s="5" t="s">
        <v>916</v>
      </c>
      <c r="G731" s="5" t="s">
        <v>998</v>
      </c>
    </row>
    <row r="732" spans="1:10" x14ac:dyDescent="0.45">
      <c r="A732" s="6" t="s">
        <v>1223</v>
      </c>
      <c r="B732" s="7" t="s">
        <v>1226</v>
      </c>
      <c r="C732" s="5" t="s">
        <v>1222</v>
      </c>
      <c r="E732" s="9" t="s">
        <v>1224</v>
      </c>
    </row>
    <row r="733" spans="1:10" x14ac:dyDescent="0.45">
      <c r="A733" s="6" t="s">
        <v>21</v>
      </c>
      <c r="B733" s="7" t="s">
        <v>573</v>
      </c>
      <c r="C733" s="5" t="s">
        <v>1222</v>
      </c>
      <c r="E733" s="9" t="s">
        <v>1225</v>
      </c>
      <c r="F733" s="5" t="s">
        <v>915</v>
      </c>
      <c r="G733" s="5" t="s">
        <v>997</v>
      </c>
    </row>
    <row r="734" spans="1:10" x14ac:dyDescent="0.45">
      <c r="A734" s="6" t="s">
        <v>20</v>
      </c>
      <c r="B734" s="7" t="s">
        <v>573</v>
      </c>
      <c r="C734" s="5" t="s">
        <v>874</v>
      </c>
      <c r="E734" s="9" t="s">
        <v>1227</v>
      </c>
    </row>
    <row r="735" spans="1:10" x14ac:dyDescent="0.45">
      <c r="A735" s="6" t="s">
        <v>19</v>
      </c>
      <c r="B735" s="7" t="s">
        <v>572</v>
      </c>
      <c r="C735" s="5" t="s">
        <v>1228</v>
      </c>
      <c r="J735" s="5" t="s">
        <v>1111</v>
      </c>
    </row>
    <row r="736" spans="1:10" x14ac:dyDescent="0.45">
      <c r="A736" s="6" t="s">
        <v>1558</v>
      </c>
      <c r="B736" s="7" t="s">
        <v>1232</v>
      </c>
      <c r="C736" s="5" t="s">
        <v>872</v>
      </c>
      <c r="E736" s="9" t="s">
        <v>546</v>
      </c>
      <c r="F736" s="5" t="s">
        <v>914</v>
      </c>
      <c r="G736" s="5" t="s">
        <v>996</v>
      </c>
      <c r="H736" s="5" t="s">
        <v>1087</v>
      </c>
      <c r="J736" s="5" t="s">
        <v>1112</v>
      </c>
    </row>
    <row r="737" spans="1:10" x14ac:dyDescent="0.45">
      <c r="A737" s="6" t="s">
        <v>1229</v>
      </c>
      <c r="B737" s="7" t="s">
        <v>1230</v>
      </c>
      <c r="C737" s="5" t="s">
        <v>1257</v>
      </c>
      <c r="E737" s="9" t="s">
        <v>1258</v>
      </c>
    </row>
    <row r="738" spans="1:10" x14ac:dyDescent="0.45">
      <c r="A738" s="6" t="s">
        <v>1254</v>
      </c>
      <c r="B738" s="7" t="s">
        <v>1231</v>
      </c>
      <c r="C738" s="5" t="s">
        <v>1253</v>
      </c>
      <c r="D738" s="8">
        <v>2</v>
      </c>
      <c r="E738" s="9" t="s">
        <v>1255</v>
      </c>
    </row>
    <row r="739" spans="1:10" x14ac:dyDescent="0.45">
      <c r="A739" s="6" t="s">
        <v>1234</v>
      </c>
      <c r="B739" s="7" t="s">
        <v>1231</v>
      </c>
      <c r="C739" s="5" t="s">
        <v>1253</v>
      </c>
      <c r="E739" s="9" t="s">
        <v>545</v>
      </c>
      <c r="H739" s="5" t="s">
        <v>1086</v>
      </c>
    </row>
    <row r="740" spans="1:10" x14ac:dyDescent="0.45">
      <c r="A740" s="6" t="s">
        <v>1251</v>
      </c>
      <c r="B740" s="7" t="s">
        <v>1231</v>
      </c>
      <c r="C740" s="5" t="s">
        <v>1250</v>
      </c>
      <c r="E740" s="9" t="s">
        <v>1252</v>
      </c>
    </row>
    <row r="741" spans="1:10" x14ac:dyDescent="0.45">
      <c r="A741" s="6" t="s">
        <v>1249</v>
      </c>
      <c r="B741" s="7" t="s">
        <v>1248</v>
      </c>
      <c r="C741" s="5" t="s">
        <v>1246</v>
      </c>
      <c r="E741" s="9" t="s">
        <v>1247</v>
      </c>
    </row>
    <row r="742" spans="1:10" x14ac:dyDescent="0.45">
      <c r="A742" s="6" t="s">
        <v>1242</v>
      </c>
      <c r="B742" s="7" t="s">
        <v>1245</v>
      </c>
      <c r="C742" s="5" t="s">
        <v>1243</v>
      </c>
      <c r="E742" s="9" t="s">
        <v>1244</v>
      </c>
    </row>
    <row r="743" spans="1:10" x14ac:dyDescent="0.45">
      <c r="A743" s="6" t="s">
        <v>1240</v>
      </c>
      <c r="B743" s="7" t="s">
        <v>1237</v>
      </c>
      <c r="C743" s="5" t="s">
        <v>1239</v>
      </c>
      <c r="E743" s="9" t="s">
        <v>1241</v>
      </c>
    </row>
    <row r="744" spans="1:10" x14ac:dyDescent="0.45">
      <c r="A744" s="6" t="s">
        <v>1236</v>
      </c>
      <c r="B744" s="7" t="s">
        <v>1237</v>
      </c>
      <c r="C744" s="5" t="s">
        <v>1238</v>
      </c>
      <c r="E744" s="9" t="s">
        <v>1235</v>
      </c>
    </row>
    <row r="745" spans="1:10" x14ac:dyDescent="0.45">
      <c r="A745" s="6" t="s">
        <v>1216</v>
      </c>
      <c r="B745" s="7" t="s">
        <v>1217</v>
      </c>
      <c r="C745" s="5" t="s">
        <v>1218</v>
      </c>
      <c r="E745" s="9" t="s">
        <v>1219</v>
      </c>
    </row>
    <row r="746" spans="1:10" x14ac:dyDescent="0.45">
      <c r="A746" s="6" t="s">
        <v>1213</v>
      </c>
      <c r="B746" s="7" t="s">
        <v>1214</v>
      </c>
      <c r="C746" s="5" t="s">
        <v>871</v>
      </c>
      <c r="E746" s="9" t="s">
        <v>1215</v>
      </c>
    </row>
    <row r="747" spans="1:10" x14ac:dyDescent="0.45">
      <c r="A747" s="6" t="s">
        <v>18</v>
      </c>
      <c r="B747" s="7" t="s">
        <v>571</v>
      </c>
      <c r="C747" s="5" t="s">
        <v>871</v>
      </c>
      <c r="E747" s="9" t="s">
        <v>1120</v>
      </c>
    </row>
    <row r="748" spans="1:10" x14ac:dyDescent="0.45">
      <c r="A748" s="6" t="s">
        <v>1209</v>
      </c>
      <c r="B748" s="7" t="s">
        <v>570</v>
      </c>
      <c r="C748" s="5" t="s">
        <v>544</v>
      </c>
      <c r="E748" s="9" t="s">
        <v>1212</v>
      </c>
      <c r="J748" s="5" t="s">
        <v>1111</v>
      </c>
    </row>
    <row r="749" spans="1:10" x14ac:dyDescent="0.45">
      <c r="A749" s="6" t="s">
        <v>1208</v>
      </c>
      <c r="B749" s="7" t="s">
        <v>570</v>
      </c>
      <c r="C749" s="5" t="s">
        <v>544</v>
      </c>
      <c r="E749" s="9" t="s">
        <v>1211</v>
      </c>
    </row>
    <row r="750" spans="1:10" x14ac:dyDescent="0.45">
      <c r="A750" s="6" t="s">
        <v>1207</v>
      </c>
      <c r="B750" s="7" t="s">
        <v>570</v>
      </c>
      <c r="C750" s="5" t="s">
        <v>544</v>
      </c>
      <c r="E750" s="9" t="s">
        <v>1210</v>
      </c>
    </row>
    <row r="751" spans="1:10" x14ac:dyDescent="0.45">
      <c r="A751" s="6" t="s">
        <v>1557</v>
      </c>
      <c r="B751" s="7" t="s">
        <v>1233</v>
      </c>
      <c r="C751" s="5" t="s">
        <v>1206</v>
      </c>
      <c r="E751" s="9" t="s">
        <v>543</v>
      </c>
    </row>
    <row r="752" spans="1:10" x14ac:dyDescent="0.45">
      <c r="A752" s="6" t="s">
        <v>17</v>
      </c>
      <c r="B752" s="7" t="s">
        <v>1233</v>
      </c>
      <c r="C752" s="5" t="s">
        <v>1206</v>
      </c>
      <c r="D752" s="8">
        <v>3</v>
      </c>
      <c r="E752" s="9" t="s">
        <v>542</v>
      </c>
    </row>
    <row r="753" spans="1:5" x14ac:dyDescent="0.45">
      <c r="A753" s="6" t="s">
        <v>16</v>
      </c>
      <c r="B753" s="7" t="s">
        <v>569</v>
      </c>
      <c r="C753" s="5" t="s">
        <v>547</v>
      </c>
      <c r="E753" s="9" t="s">
        <v>1205</v>
      </c>
    </row>
    <row r="754" spans="1:5" x14ac:dyDescent="0.45">
      <c r="A754" s="6" t="s">
        <v>15</v>
      </c>
      <c r="B754" s="7" t="s">
        <v>568</v>
      </c>
      <c r="C754" s="5" t="s">
        <v>1204</v>
      </c>
      <c r="E754" s="9" t="s">
        <v>1203</v>
      </c>
    </row>
    <row r="755" spans="1:5" x14ac:dyDescent="0.45">
      <c r="A755" s="6" t="s">
        <v>14</v>
      </c>
      <c r="B755" s="7" t="s">
        <v>2662</v>
      </c>
      <c r="C755" s="5" t="s">
        <v>913</v>
      </c>
      <c r="E755" s="9" t="s">
        <v>1202</v>
      </c>
    </row>
    <row r="756" spans="1:5" x14ac:dyDescent="0.45">
      <c r="A756" s="6" t="s">
        <v>13</v>
      </c>
      <c r="B756" s="7" t="s">
        <v>567</v>
      </c>
      <c r="C756" s="5" t="s">
        <v>912</v>
      </c>
      <c r="E756" s="9" t="s">
        <v>1201</v>
      </c>
    </row>
    <row r="757" spans="1:5" x14ac:dyDescent="0.45">
      <c r="A757" s="6" t="s">
        <v>12</v>
      </c>
      <c r="C757" s="5" t="s">
        <v>1200</v>
      </c>
      <c r="E757" s="9" t="s">
        <v>1199</v>
      </c>
    </row>
    <row r="758" spans="1:5" x14ac:dyDescent="0.45">
      <c r="A758" s="6" t="s">
        <v>11</v>
      </c>
      <c r="C758" s="5" t="s">
        <v>1198</v>
      </c>
      <c r="E758" s="9" t="s">
        <v>1197</v>
      </c>
    </row>
    <row r="759" spans="1:5" x14ac:dyDescent="0.45">
      <c r="A759" s="6" t="s">
        <v>10</v>
      </c>
      <c r="C759" s="5" t="s">
        <v>1196</v>
      </c>
      <c r="E759" s="9" t="s">
        <v>1195</v>
      </c>
    </row>
  </sheetData>
  <autoFilter ref="A2:J2" xr:uid="{00000000-0001-0000-0000-000000000000}">
    <sortState xmlns:xlrd2="http://schemas.microsoft.com/office/spreadsheetml/2017/richdata2" ref="A3:J759">
      <sortCondition descending="1" ref="A2"/>
    </sortState>
  </autoFilter>
  <phoneticPr fontId="3" type="noConversion"/>
  <pageMargins left="0.7" right="0.7" top="0.75" bottom="0.75" header="0.3" footer="0.3"/>
  <pageSetup paperSize="9" orientation="portrait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0D35-F554-4771-8CA8-5DADEA3347E5}">
  <dimension ref="C5:E9"/>
  <sheetViews>
    <sheetView workbookViewId="0">
      <selection activeCell="H16" sqref="H16"/>
    </sheetView>
  </sheetViews>
  <sheetFormatPr defaultRowHeight="14.25" x14ac:dyDescent="0.45"/>
  <sheetData>
    <row r="5" spans="3:5" x14ac:dyDescent="0.45">
      <c r="D5" s="37" t="s">
        <v>4085</v>
      </c>
      <c r="E5" s="37" t="s">
        <v>4084</v>
      </c>
    </row>
    <row r="6" spans="3:5" x14ac:dyDescent="0.45">
      <c r="C6" t="s">
        <v>4086</v>
      </c>
      <c r="D6">
        <v>299</v>
      </c>
      <c r="E6">
        <f>D6*1.511</f>
        <v>451.78899999999999</v>
      </c>
    </row>
    <row r="7" spans="3:5" x14ac:dyDescent="0.45">
      <c r="C7" t="s">
        <v>4086</v>
      </c>
      <c r="D7">
        <v>299</v>
      </c>
      <c r="E7">
        <f>D7*1.511</f>
        <v>451.78899999999999</v>
      </c>
    </row>
    <row r="8" spans="3:5" x14ac:dyDescent="0.45">
      <c r="C8" t="s">
        <v>4087</v>
      </c>
      <c r="D8">
        <v>350</v>
      </c>
      <c r="E8">
        <f>D8*1.511</f>
        <v>528.84999999999991</v>
      </c>
    </row>
    <row r="9" spans="3:5" x14ac:dyDescent="0.45">
      <c r="C9" s="38" t="s">
        <v>4088</v>
      </c>
      <c r="D9" s="38">
        <f>SUM(D6:D8)</f>
        <v>948</v>
      </c>
      <c r="E9" s="38">
        <f>D9*1.511</f>
        <v>1432.4279999999999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20250213_WP</vt:lpstr>
      <vt:lpstr>20250930_STIFFENER</vt:lpstr>
      <vt:lpstr>ORIG_DELETE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Eriko Watanabe</dc:creator>
  <cp:lastModifiedBy>Prasanna kumar Mechineni</cp:lastModifiedBy>
  <dcterms:created xsi:type="dcterms:W3CDTF">2025-02-05T05:15:43Z</dcterms:created>
  <dcterms:modified xsi:type="dcterms:W3CDTF">2026-05-03T13:45:03Z</dcterms:modified>
</cp:coreProperties>
</file>